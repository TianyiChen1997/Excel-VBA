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styw\Desktop\"/>
    </mc:Choice>
  </mc:AlternateContent>
  <xr:revisionPtr revIDLastSave="0" documentId="13_ncr:1_{99BDF597-5E3D-428B-86FF-ADAD2085D48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D Summary" sheetId="1" r:id="rId1"/>
    <sheet name="Pad Restock" sheetId="2" r:id="rId2"/>
  </sheets>
  <definedNames>
    <definedName name="_xlnm._FilterDatabase" localSheetId="1" hidden="1">'Pad Restock'!$A$1:$B$1</definedName>
    <definedName name="_xlnm._FilterDatabase" localSheetId="0" hidden="1">'PAD Summary'!$A$2:$BA$1144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30" i="1" l="1"/>
  <c r="AK31" i="1"/>
  <c r="AK32" i="1"/>
  <c r="AK33" i="1"/>
  <c r="AK20" i="1"/>
  <c r="AK34" i="1"/>
  <c r="AK35" i="1"/>
  <c r="AK36" i="1"/>
  <c r="AK37" i="1"/>
  <c r="AK38" i="1"/>
  <c r="AK39" i="1"/>
  <c r="AK40" i="1"/>
  <c r="AK41" i="1"/>
  <c r="AK42" i="1"/>
  <c r="AK3" i="1"/>
  <c r="AK13" i="1"/>
  <c r="AK43" i="1"/>
  <c r="AK44" i="1"/>
  <c r="AK4" i="1"/>
  <c r="AK45" i="1"/>
  <c r="AK26" i="1"/>
  <c r="AK46" i="1"/>
  <c r="AK47" i="1"/>
  <c r="AK48" i="1"/>
  <c r="AK27" i="1"/>
  <c r="AK5" i="1"/>
  <c r="AK49" i="1"/>
  <c r="AK50" i="1"/>
  <c r="AK51" i="1"/>
  <c r="AK52" i="1"/>
  <c r="AK53" i="1"/>
  <c r="AK54" i="1"/>
  <c r="AK55" i="1"/>
  <c r="AK56" i="1"/>
  <c r="AK57" i="1"/>
  <c r="AK58" i="1"/>
  <c r="AK7" i="1"/>
  <c r="AK16" i="1"/>
  <c r="AK59" i="1"/>
  <c r="AK6" i="1"/>
  <c r="AK60" i="1"/>
  <c r="AK61" i="1"/>
  <c r="AK62" i="1"/>
  <c r="AK63" i="1"/>
  <c r="AK64" i="1"/>
  <c r="AK10" i="1"/>
  <c r="AK8" i="1"/>
  <c r="AK21" i="1"/>
  <c r="AK65" i="1"/>
  <c r="AK66" i="1"/>
  <c r="AK9" i="1"/>
  <c r="AK67" i="1"/>
  <c r="AK68" i="1"/>
  <c r="AK69" i="1"/>
  <c r="AK70" i="1"/>
  <c r="AK71" i="1"/>
  <c r="AK72" i="1"/>
  <c r="AK11" i="1"/>
  <c r="AK73" i="1"/>
  <c r="AK74" i="1"/>
  <c r="AK75" i="1"/>
  <c r="AK76" i="1"/>
  <c r="AK77" i="1"/>
  <c r="AK78" i="1"/>
  <c r="AK79" i="1"/>
  <c r="AK80" i="1"/>
  <c r="AK14" i="1"/>
  <c r="AK81" i="1"/>
  <c r="AK15" i="1"/>
  <c r="AK22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12" i="1"/>
  <c r="AK98" i="1"/>
  <c r="AK99" i="1"/>
  <c r="AK100" i="1"/>
  <c r="AK101" i="1"/>
  <c r="AK102" i="1"/>
  <c r="AK103" i="1"/>
  <c r="AK104" i="1"/>
  <c r="AK105" i="1"/>
  <c r="AK106" i="1"/>
  <c r="AK107" i="1"/>
  <c r="AK18" i="1"/>
  <c r="AK108" i="1"/>
  <c r="AK28" i="1"/>
  <c r="AK109" i="1"/>
  <c r="AK19" i="1"/>
  <c r="AK110" i="1"/>
  <c r="AK111" i="1"/>
  <c r="AK112" i="1"/>
  <c r="AK113" i="1"/>
  <c r="AK114" i="1"/>
  <c r="AK115" i="1"/>
  <c r="AK116" i="1"/>
  <c r="AK117" i="1"/>
  <c r="AK24" i="1"/>
  <c r="AK118" i="1"/>
  <c r="AK119" i="1"/>
  <c r="AK120" i="1"/>
  <c r="AK121" i="1"/>
  <c r="AK25" i="1"/>
  <c r="AK17" i="1"/>
  <c r="AK122" i="1"/>
  <c r="AK123" i="1"/>
  <c r="AK124" i="1"/>
  <c r="AK125" i="1"/>
  <c r="AK126" i="1"/>
  <c r="AK127" i="1"/>
  <c r="AK128" i="1"/>
  <c r="AK129" i="1"/>
  <c r="AK130" i="1"/>
  <c r="AK131" i="1"/>
  <c r="AK23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29" i="1"/>
  <c r="AL471" i="1" l="1"/>
  <c r="S471" i="1" s="1"/>
  <c r="AM471" i="1" l="1"/>
  <c r="AN471" i="1" s="1"/>
  <c r="AL525" i="1"/>
  <c r="S525" i="1" s="1"/>
  <c r="AL764" i="1" l="1"/>
  <c r="S764" i="1" s="1"/>
  <c r="AM525" i="1"/>
  <c r="AN525" i="1" s="1"/>
  <c r="AL478" i="1"/>
  <c r="S478" i="1" s="1"/>
  <c r="AL812" i="1"/>
  <c r="S812" i="1" s="1"/>
  <c r="AL816" i="1"/>
  <c r="S816" i="1" s="1"/>
  <c r="AL490" i="1"/>
  <c r="S490" i="1" s="1"/>
  <c r="AL817" i="1"/>
  <c r="S817" i="1" s="1"/>
  <c r="AL640" i="1"/>
  <c r="S640" i="1" s="1"/>
  <c r="AL458" i="1"/>
  <c r="S458" i="1" s="1"/>
  <c r="AL728" i="1"/>
  <c r="S728" i="1" s="1"/>
  <c r="AL686" i="1"/>
  <c r="S686" i="1" s="1"/>
  <c r="AL690" i="1"/>
  <c r="S690" i="1" s="1"/>
  <c r="AL841" i="1"/>
  <c r="S841" i="1" s="1"/>
  <c r="AL518" i="1"/>
  <c r="S518" i="1" s="1"/>
  <c r="AL878" i="1"/>
  <c r="S878" i="1" s="1"/>
  <c r="AL865" i="1"/>
  <c r="S865" i="1" s="1"/>
  <c r="AL741" i="1"/>
  <c r="S741" i="1" s="1"/>
  <c r="AL885" i="1"/>
  <c r="S885" i="1" s="1"/>
  <c r="AL953" i="1"/>
  <c r="S953" i="1" s="1"/>
  <c r="AL476" i="1"/>
  <c r="S476" i="1" s="1"/>
  <c r="AL879" i="1"/>
  <c r="S879" i="1" s="1"/>
  <c r="AL527" i="1"/>
  <c r="S527" i="1" s="1"/>
  <c r="AL994" i="1"/>
  <c r="S994" i="1" s="1"/>
  <c r="AL644" i="1"/>
  <c r="S644" i="1" s="1"/>
  <c r="AL791" i="1"/>
  <c r="S791" i="1" s="1"/>
  <c r="AL973" i="1"/>
  <c r="S973" i="1" s="1"/>
  <c r="AL548" i="1"/>
  <c r="S548" i="1" s="1"/>
  <c r="AL927" i="1"/>
  <c r="S927" i="1" s="1"/>
  <c r="AL952" i="1"/>
  <c r="S952" i="1" s="1"/>
  <c r="AL945" i="1"/>
  <c r="S945" i="1" s="1"/>
  <c r="AL700" i="1"/>
  <c r="S700" i="1" s="1"/>
  <c r="AL976" i="1"/>
  <c r="S976" i="1" s="1"/>
  <c r="AL978" i="1"/>
  <c r="S978" i="1" s="1"/>
  <c r="AL734" i="1"/>
  <c r="S734" i="1" s="1"/>
  <c r="AL674" i="1"/>
  <c r="S674" i="1" s="1"/>
  <c r="AL1041" i="1"/>
  <c r="S1041" i="1" s="1"/>
  <c r="AL1044" i="1"/>
  <c r="S1044" i="1" s="1"/>
  <c r="AL581" i="1"/>
  <c r="S581" i="1" s="1"/>
  <c r="AL680" i="1"/>
  <c r="S680" i="1" s="1"/>
  <c r="AL756" i="1"/>
  <c r="S756" i="1" s="1"/>
  <c r="AL997" i="1"/>
  <c r="S997" i="1" s="1"/>
  <c r="AL1054" i="1"/>
  <c r="S1054" i="1" s="1"/>
  <c r="AL1056" i="1"/>
  <c r="S1056" i="1" s="1"/>
  <c r="AL1058" i="1"/>
  <c r="S1058" i="1" s="1"/>
  <c r="AL309" i="1"/>
  <c r="S309" i="1" s="1"/>
  <c r="AL743" i="1"/>
  <c r="S743" i="1" s="1"/>
  <c r="AL1064" i="1"/>
  <c r="S1064" i="1" s="1"/>
  <c r="AL1068" i="1"/>
  <c r="S1068" i="1" s="1"/>
  <c r="AL922" i="1"/>
  <c r="S922" i="1" s="1"/>
  <c r="AL1070" i="1"/>
  <c r="S1070" i="1" s="1"/>
  <c r="AL1072" i="1"/>
  <c r="S1072" i="1" s="1"/>
  <c r="AL1074" i="1"/>
  <c r="S1074" i="1" s="1"/>
  <c r="AL1078" i="1"/>
  <c r="S1078" i="1" s="1"/>
  <c r="AL714" i="1"/>
  <c r="S714" i="1" s="1"/>
  <c r="AL778" i="1"/>
  <c r="S778" i="1" s="1"/>
  <c r="AL1084" i="1"/>
  <c r="S1084" i="1" s="1"/>
  <c r="AL1085" i="1"/>
  <c r="S1085" i="1" s="1"/>
  <c r="AL236" i="1"/>
  <c r="S236" i="1" s="1"/>
  <c r="AL746" i="1"/>
  <c r="S746" i="1" s="1"/>
  <c r="AL391" i="1"/>
  <c r="S391" i="1" s="1"/>
  <c r="AL1016" i="1"/>
  <c r="S1016" i="1" s="1"/>
  <c r="AL1094" i="1"/>
  <c r="S1094" i="1" s="1"/>
  <c r="AL440" i="1"/>
  <c r="S440" i="1" s="1"/>
  <c r="AL433" i="1"/>
  <c r="S433" i="1" s="1"/>
  <c r="AL356" i="1"/>
  <c r="S356" i="1" s="1"/>
  <c r="AL428" i="1"/>
  <c r="S428" i="1" s="1"/>
  <c r="AL349" i="1"/>
  <c r="S349" i="1" s="1"/>
  <c r="AL357" i="1"/>
  <c r="S357" i="1" s="1"/>
  <c r="AL128" i="1"/>
  <c r="S128" i="1" s="1"/>
  <c r="AL1095" i="1"/>
  <c r="S1095" i="1" s="1"/>
  <c r="AL53" i="1"/>
  <c r="S53" i="1" s="1"/>
  <c r="AL152" i="1"/>
  <c r="S152" i="1" s="1"/>
  <c r="AL1136" i="1"/>
  <c r="S1136" i="1" s="1"/>
  <c r="AL1019" i="1"/>
  <c r="S1019" i="1" s="1"/>
  <c r="AL240" i="1"/>
  <c r="S240" i="1" s="1"/>
  <c r="AL264" i="1"/>
  <c r="S264" i="1" s="1"/>
  <c r="AL499" i="1"/>
  <c r="S499" i="1" s="1"/>
  <c r="AL347" i="1"/>
  <c r="S347" i="1" s="1"/>
  <c r="AL271" i="1"/>
  <c r="S271" i="1" s="1"/>
  <c r="AL308" i="1"/>
  <c r="S308" i="1" s="1"/>
  <c r="AL405" i="1"/>
  <c r="S405" i="1" s="1"/>
  <c r="AL57" i="1"/>
  <c r="S57" i="1" s="1"/>
  <c r="AL44" i="1"/>
  <c r="S44" i="1" s="1"/>
  <c r="AL207" i="1"/>
  <c r="S207" i="1" s="1"/>
  <c r="AL85" i="1"/>
  <c r="S85" i="1" s="1"/>
  <c r="AL97" i="1"/>
  <c r="S97" i="1" s="1"/>
  <c r="AL45" i="1"/>
  <c r="S45" i="1" s="1"/>
  <c r="AL580" i="1"/>
  <c r="S580" i="1" s="1"/>
  <c r="AL650" i="1"/>
  <c r="S650" i="1" s="1"/>
  <c r="AL564" i="1"/>
  <c r="S564" i="1" s="1"/>
  <c r="AL902" i="1"/>
  <c r="S902" i="1" s="1"/>
  <c r="AL624" i="1"/>
  <c r="S624" i="1" s="1"/>
  <c r="AL895" i="1"/>
  <c r="S895" i="1" s="1"/>
  <c r="AL890" i="1"/>
  <c r="S890" i="1" s="1"/>
  <c r="AL929" i="1"/>
  <c r="S929" i="1" s="1"/>
  <c r="AL682" i="1"/>
  <c r="S682" i="1" s="1"/>
  <c r="AL949" i="1"/>
  <c r="S949" i="1" s="1"/>
  <c r="AL1051" i="1"/>
  <c r="S1051" i="1" s="1"/>
  <c r="AL738" i="1"/>
  <c r="S738" i="1" s="1"/>
  <c r="AL826" i="1"/>
  <c r="S826" i="1" s="1"/>
  <c r="AL483" i="1"/>
  <c r="S483" i="1" s="1"/>
  <c r="AL466" i="1"/>
  <c r="S466" i="1" s="1"/>
  <c r="AL833" i="1"/>
  <c r="S833" i="1" s="1"/>
  <c r="AL749" i="1"/>
  <c r="S749" i="1" s="1"/>
  <c r="AL652" i="1"/>
  <c r="S652" i="1" s="1"/>
  <c r="AL793" i="1"/>
  <c r="S793" i="1" s="1"/>
  <c r="AL1020" i="1"/>
  <c r="S1020" i="1" s="1"/>
  <c r="AL800" i="1"/>
  <c r="S800" i="1" s="1"/>
  <c r="AL799" i="1"/>
  <c r="S799" i="1" s="1"/>
  <c r="AL684" i="1"/>
  <c r="S684" i="1" s="1"/>
  <c r="AL788" i="1"/>
  <c r="S788" i="1" s="1"/>
  <c r="AL721" i="1"/>
  <c r="S721" i="1" s="1"/>
  <c r="AL801" i="1"/>
  <c r="S801" i="1" s="1"/>
  <c r="AL802" i="1"/>
  <c r="S802" i="1" s="1"/>
  <c r="AL807" i="1"/>
  <c r="S807" i="1" s="1"/>
  <c r="AL727" i="1"/>
  <c r="S727" i="1" s="1"/>
  <c r="AL181" i="1"/>
  <c r="S181" i="1" s="1"/>
  <c r="AL808" i="1"/>
  <c r="S808" i="1" s="1"/>
  <c r="AL156" i="1"/>
  <c r="S156" i="1" s="1"/>
  <c r="AL457" i="1"/>
  <c r="S457" i="1" s="1"/>
  <c r="AL896" i="1"/>
  <c r="S896" i="1" s="1"/>
  <c r="AL534" i="1"/>
  <c r="S534" i="1" s="1"/>
  <c r="AL570" i="1"/>
  <c r="S570" i="1" s="1"/>
  <c r="AL685" i="1"/>
  <c r="S685" i="1" s="1"/>
  <c r="AL805" i="1"/>
  <c r="S805" i="1" s="1"/>
  <c r="AL606" i="1"/>
  <c r="S606" i="1" s="1"/>
  <c r="AL897" i="1"/>
  <c r="S897" i="1" s="1"/>
  <c r="AL635" i="1"/>
  <c r="S635" i="1" s="1"/>
  <c r="AL798" i="1"/>
  <c r="S798" i="1" s="1"/>
  <c r="AL608" i="1"/>
  <c r="S608" i="1" s="1"/>
  <c r="AL1023" i="1"/>
  <c r="S1023" i="1" s="1"/>
  <c r="AL551" i="1"/>
  <c r="S551" i="1" s="1"/>
  <c r="AL683" i="1"/>
  <c r="S683" i="1" s="1"/>
  <c r="AL1024" i="1"/>
  <c r="S1024" i="1" s="1"/>
  <c r="AL785" i="1"/>
  <c r="S785" i="1" s="1"/>
  <c r="AL796" i="1"/>
  <c r="S796" i="1" s="1"/>
  <c r="AL578" i="1"/>
  <c r="S578" i="1" s="1"/>
  <c r="AL574" i="1"/>
  <c r="S574" i="1" s="1"/>
  <c r="AL533" i="1"/>
  <c r="S533" i="1" s="1"/>
  <c r="AL789" i="1"/>
  <c r="S789" i="1" s="1"/>
  <c r="AL553" i="1"/>
  <c r="S553" i="1" s="1"/>
  <c r="AL140" i="1"/>
  <c r="S140" i="1" s="1"/>
  <c r="AL121" i="1"/>
  <c r="S121" i="1" s="1"/>
  <c r="AL31" i="1"/>
  <c r="S31" i="1" s="1"/>
  <c r="AL894" i="1"/>
  <c r="S894" i="1" s="1"/>
  <c r="AL903" i="1"/>
  <c r="S903" i="1" s="1"/>
  <c r="AL526" i="1"/>
  <c r="S526" i="1" s="1"/>
  <c r="AL712" i="1"/>
  <c r="S712" i="1" s="1"/>
  <c r="AL1027" i="1"/>
  <c r="S1027" i="1" s="1"/>
  <c r="AL561" i="1"/>
  <c r="S561" i="1" s="1"/>
  <c r="AL790" i="1"/>
  <c r="S790" i="1" s="1"/>
  <c r="AL771" i="1"/>
  <c r="S771" i="1" s="1"/>
  <c r="AL806" i="1"/>
  <c r="S806" i="1" s="1"/>
  <c r="AL1025" i="1"/>
  <c r="S1025" i="1" s="1"/>
  <c r="AL815" i="1"/>
  <c r="S815" i="1" s="1"/>
  <c r="AL740" i="1"/>
  <c r="S740" i="1" s="1"/>
  <c r="AL485" i="1"/>
  <c r="S485" i="1" s="1"/>
  <c r="AL497" i="1"/>
  <c r="S497" i="1" s="1"/>
  <c r="AL495" i="1"/>
  <c r="S495" i="1" s="1"/>
  <c r="AL630" i="1"/>
  <c r="S630" i="1" s="1"/>
  <c r="AL666" i="1"/>
  <c r="S666" i="1" s="1"/>
  <c r="AL503" i="1"/>
  <c r="S503" i="1" s="1"/>
  <c r="AL456" i="1"/>
  <c r="S456" i="1" s="1"/>
  <c r="AL598" i="1"/>
  <c r="S598" i="1" s="1"/>
  <c r="AL531" i="1"/>
  <c r="S531" i="1" s="1"/>
  <c r="AL604" i="1"/>
  <c r="S604" i="1" s="1"/>
  <c r="AL528" i="1"/>
  <c r="S528" i="1" s="1"/>
  <c r="AL543" i="1"/>
  <c r="S543" i="1" s="1"/>
  <c r="AL607" i="1"/>
  <c r="S607" i="1" s="1"/>
  <c r="AL454" i="1"/>
  <c r="S454" i="1" s="1"/>
  <c r="AL508" i="1"/>
  <c r="S508" i="1" s="1"/>
  <c r="AL472" i="1"/>
  <c r="S472" i="1" s="1"/>
  <c r="AL629" i="1"/>
  <c r="S629" i="1" s="1"/>
  <c r="AL602" i="1"/>
  <c r="S602" i="1" s="1"/>
  <c r="AL507" i="1"/>
  <c r="S507" i="1" s="1"/>
  <c r="AL555" i="1"/>
  <c r="S555" i="1" s="1"/>
  <c r="AL510" i="1"/>
  <c r="S510" i="1" s="1"/>
  <c r="AL475" i="1"/>
  <c r="S475" i="1" s="1"/>
  <c r="AL591" i="1"/>
  <c r="S591" i="1" s="1"/>
  <c r="AL537" i="1"/>
  <c r="S537" i="1" s="1"/>
  <c r="AL589" i="1"/>
  <c r="S589" i="1" s="1"/>
  <c r="AL544" i="1"/>
  <c r="S544" i="1" s="1"/>
  <c r="AL583" i="1"/>
  <c r="S583" i="1" s="1"/>
  <c r="AL814" i="1"/>
  <c r="S814" i="1" s="1"/>
  <c r="AL455" i="1"/>
  <c r="S455" i="1" s="1"/>
  <c r="AL522" i="1"/>
  <c r="S522" i="1" s="1"/>
  <c r="AL484" i="1"/>
  <c r="S484" i="1" s="1"/>
  <c r="AL753" i="1"/>
  <c r="S753" i="1" s="1"/>
  <c r="AL579" i="1"/>
  <c r="S579" i="1" s="1"/>
  <c r="AL708" i="1"/>
  <c r="S708" i="1" s="1"/>
  <c r="AL655" i="1"/>
  <c r="S655" i="1" s="1"/>
  <c r="AL536" i="1"/>
  <c r="S536" i="1" s="1"/>
  <c r="AL542" i="1"/>
  <c r="S542" i="1" s="1"/>
  <c r="AL761" i="1"/>
  <c r="S761" i="1" s="1"/>
  <c r="AL501" i="1"/>
  <c r="S501" i="1" s="1"/>
  <c r="AL768" i="1"/>
  <c r="S768" i="1" s="1"/>
  <c r="AL825" i="1"/>
  <c r="S825" i="1" s="1"/>
  <c r="AL546" i="1"/>
  <c r="S546" i="1" s="1"/>
  <c r="AL822" i="1"/>
  <c r="S822" i="1" s="1"/>
  <c r="AL671" i="1"/>
  <c r="S671" i="1" s="1"/>
  <c r="AL554" i="1"/>
  <c r="S554" i="1" s="1"/>
  <c r="AL515" i="1"/>
  <c r="S515" i="1" s="1"/>
  <c r="AL504" i="1"/>
  <c r="S504" i="1" s="1"/>
  <c r="AL600" i="1"/>
  <c r="S600" i="1" s="1"/>
  <c r="AL717" i="1"/>
  <c r="S717" i="1" s="1"/>
  <c r="AL779" i="1"/>
  <c r="S779" i="1" s="1"/>
  <c r="AL645" i="1"/>
  <c r="S645" i="1" s="1"/>
  <c r="AL725" i="1"/>
  <c r="S725" i="1" s="1"/>
  <c r="AL560" i="1"/>
  <c r="S560" i="1" s="1"/>
  <c r="AL819" i="1"/>
  <c r="S819" i="1" s="1"/>
  <c r="AL479" i="1"/>
  <c r="S479" i="1" s="1"/>
  <c r="AL751" i="1"/>
  <c r="S751" i="1" s="1"/>
  <c r="AL492" i="1"/>
  <c r="S492" i="1" s="1"/>
  <c r="AL494" i="1"/>
  <c r="S494" i="1" s="1"/>
  <c r="AL593" i="1"/>
  <c r="S593" i="1" s="1"/>
  <c r="AL828" i="1"/>
  <c r="S828" i="1" s="1"/>
  <c r="AL621" i="1"/>
  <c r="S621" i="1" s="1"/>
  <c r="AL838" i="1"/>
  <c r="S838" i="1" s="1"/>
  <c r="AL643" i="1"/>
  <c r="S643" i="1" s="1"/>
  <c r="AL460" i="1"/>
  <c r="S460" i="1" s="1"/>
  <c r="AL480" i="1"/>
  <c r="S480" i="1" s="1"/>
  <c r="AL847" i="1"/>
  <c r="S847" i="1" s="1"/>
  <c r="AL866" i="1"/>
  <c r="S866" i="1" s="1"/>
  <c r="AL765" i="1"/>
  <c r="S765" i="1" s="1"/>
  <c r="AL699" i="1"/>
  <c r="S699" i="1" s="1"/>
  <c r="AL566" i="1"/>
  <c r="S566" i="1" s="1"/>
  <c r="AL513" i="1"/>
  <c r="S513" i="1" s="1"/>
  <c r="AL509" i="1"/>
  <c r="S509" i="1" s="1"/>
  <c r="AL597" i="1"/>
  <c r="S597" i="1" s="1"/>
  <c r="AL1028" i="1"/>
  <c r="S1028" i="1" s="1"/>
  <c r="AL832" i="1"/>
  <c r="S832" i="1" s="1"/>
  <c r="AL835" i="1"/>
  <c r="S835" i="1" s="1"/>
  <c r="AL596" i="1"/>
  <c r="S596" i="1" s="1"/>
  <c r="AL573" i="1"/>
  <c r="S573" i="1" s="1"/>
  <c r="AL612" i="1"/>
  <c r="S612" i="1" s="1"/>
  <c r="AL523" i="1"/>
  <c r="S523" i="1" s="1"/>
  <c r="AL619" i="1"/>
  <c r="S619" i="1" s="1"/>
  <c r="AL569" i="1"/>
  <c r="S569" i="1" s="1"/>
  <c r="AL512" i="1"/>
  <c r="S512" i="1" s="1"/>
  <c r="AL898" i="1"/>
  <c r="S898" i="1" s="1"/>
  <c r="AL670" i="1"/>
  <c r="S670" i="1" s="1"/>
  <c r="AL846" i="1"/>
  <c r="S846" i="1" s="1"/>
  <c r="AL859" i="1"/>
  <c r="S859" i="1" s="1"/>
  <c r="AL757" i="1"/>
  <c r="S757" i="1" s="1"/>
  <c r="AL845" i="1"/>
  <c r="S845" i="1" s="1"/>
  <c r="AL860" i="1"/>
  <c r="S860" i="1" s="1"/>
  <c r="AL844" i="1"/>
  <c r="S844" i="1" s="1"/>
  <c r="AL724" i="1"/>
  <c r="S724" i="1" s="1"/>
  <c r="AL906" i="1"/>
  <c r="S906" i="1" s="1"/>
  <c r="AL912" i="1"/>
  <c r="S912" i="1" s="1"/>
  <c r="AL882" i="1"/>
  <c r="S882" i="1" s="1"/>
  <c r="AL627" i="1"/>
  <c r="S627" i="1" s="1"/>
  <c r="AL576" i="1"/>
  <c r="S576" i="1" s="1"/>
  <c r="AL622" i="1"/>
  <c r="S622" i="1" s="1"/>
  <c r="AL837" i="1"/>
  <c r="S837" i="1" s="1"/>
  <c r="AL917" i="1"/>
  <c r="S917" i="1" s="1"/>
  <c r="AL918" i="1"/>
  <c r="S918" i="1" s="1"/>
  <c r="AL900" i="1"/>
  <c r="S900" i="1" s="1"/>
  <c r="AL962" i="1"/>
  <c r="S962" i="1" s="1"/>
  <c r="AL496" i="1"/>
  <c r="S496" i="1" s="1"/>
  <c r="AL618" i="1"/>
  <c r="S618" i="1" s="1"/>
  <c r="AL587" i="1"/>
  <c r="S587" i="1" s="1"/>
  <c r="AL594" i="1"/>
  <c r="S594" i="1" s="1"/>
  <c r="AL919" i="1"/>
  <c r="S919" i="1" s="1"/>
  <c r="AL763" i="1"/>
  <c r="S763" i="1" s="1"/>
  <c r="AL862" i="1"/>
  <c r="S862" i="1" s="1"/>
  <c r="AL529" i="1"/>
  <c r="S529" i="1" s="1"/>
  <c r="AL530" i="1"/>
  <c r="S530" i="1" s="1"/>
  <c r="AL888" i="1"/>
  <c r="S888" i="1" s="1"/>
  <c r="AL491" i="1"/>
  <c r="S491" i="1" s="1"/>
  <c r="AL913" i="1"/>
  <c r="S913" i="1" s="1"/>
  <c r="AL810" i="1"/>
  <c r="S810" i="1" s="1"/>
  <c r="AL907" i="1"/>
  <c r="S907" i="1" s="1"/>
  <c r="AL908" i="1"/>
  <c r="S908" i="1" s="1"/>
  <c r="AL1029" i="1"/>
  <c r="S1029" i="1" s="1"/>
  <c r="AL637" i="1"/>
  <c r="S637" i="1" s="1"/>
  <c r="AL909" i="1"/>
  <c r="S909" i="1" s="1"/>
  <c r="AL797" i="1"/>
  <c r="S797" i="1" s="1"/>
  <c r="AL875" i="1"/>
  <c r="S875" i="1" s="1"/>
  <c r="AL864" i="1"/>
  <c r="S864" i="1" s="1"/>
  <c r="AL710" i="1"/>
  <c r="S710" i="1" s="1"/>
  <c r="AL842" i="1"/>
  <c r="S842" i="1" s="1"/>
  <c r="AL916" i="1"/>
  <c r="S916" i="1" s="1"/>
  <c r="AL651" i="1"/>
  <c r="S651" i="1" s="1"/>
  <c r="AL943" i="1"/>
  <c r="S943" i="1" s="1"/>
  <c r="AL795" i="1"/>
  <c r="S795" i="1" s="1"/>
  <c r="AL892" i="1"/>
  <c r="S892" i="1" s="1"/>
  <c r="AL718" i="1"/>
  <c r="S718" i="1" s="1"/>
  <c r="AL925" i="1"/>
  <c r="S925" i="1" s="1"/>
  <c r="AL974" i="1"/>
  <c r="S974" i="1" s="1"/>
  <c r="AL954" i="1"/>
  <c r="S954" i="1" s="1"/>
  <c r="AL660" i="1"/>
  <c r="S660" i="1" s="1"/>
  <c r="AL552" i="1"/>
  <c r="S552" i="1" s="1"/>
  <c r="AL595" i="1"/>
  <c r="S595" i="1" s="1"/>
  <c r="AL535" i="1"/>
  <c r="S535" i="1" s="1"/>
  <c r="AL1033" i="1"/>
  <c r="S1033" i="1" s="1"/>
  <c r="AL944" i="1"/>
  <c r="S944" i="1" s="1"/>
  <c r="AL852" i="1"/>
  <c r="S852" i="1" s="1"/>
  <c r="AL571" i="1"/>
  <c r="S571" i="1" s="1"/>
  <c r="AL955" i="1"/>
  <c r="S955" i="1" s="1"/>
  <c r="AL786" i="1"/>
  <c r="S786" i="1" s="1"/>
  <c r="AL1034" i="1"/>
  <c r="S1034" i="1" s="1"/>
  <c r="AL946" i="1"/>
  <c r="S946" i="1" s="1"/>
  <c r="AL904" i="1"/>
  <c r="S904" i="1" s="1"/>
  <c r="AL947" i="1"/>
  <c r="S947" i="1" s="1"/>
  <c r="AL609" i="1"/>
  <c r="S609" i="1" s="1"/>
  <c r="AL616" i="1"/>
  <c r="S616" i="1" s="1"/>
  <c r="AL928" i="1"/>
  <c r="S928" i="1" s="1"/>
  <c r="AL1006" i="1"/>
  <c r="S1006" i="1" s="1"/>
  <c r="AL794" i="1"/>
  <c r="S794" i="1" s="1"/>
  <c r="AL1037" i="1"/>
  <c r="S1037" i="1" s="1"/>
  <c r="AL956" i="1"/>
  <c r="S956" i="1" s="1"/>
  <c r="AL937" i="1"/>
  <c r="S937" i="1" s="1"/>
  <c r="AL588" i="1"/>
  <c r="S588" i="1" s="1"/>
  <c r="AL1039" i="1"/>
  <c r="S1039" i="1" s="1"/>
  <c r="AL996" i="1"/>
  <c r="S996" i="1" s="1"/>
  <c r="AL760" i="1"/>
  <c r="S760" i="1" s="1"/>
  <c r="AL930" i="1"/>
  <c r="S930" i="1" s="1"/>
  <c r="AL1008" i="1"/>
  <c r="S1008" i="1" s="1"/>
  <c r="AL722" i="1"/>
  <c r="S722" i="1" s="1"/>
  <c r="AL979" i="1"/>
  <c r="S979" i="1" s="1"/>
  <c r="AL999" i="1"/>
  <c r="S999" i="1" s="1"/>
  <c r="AL963" i="1"/>
  <c r="S963" i="1" s="1"/>
  <c r="AL783" i="1"/>
  <c r="S783" i="1" s="1"/>
  <c r="AL739" i="1"/>
  <c r="S739" i="1" s="1"/>
  <c r="AL792" i="1"/>
  <c r="S792" i="1" s="1"/>
  <c r="AL905" i="1"/>
  <c r="S905" i="1" s="1"/>
  <c r="AL964" i="1"/>
  <c r="S964" i="1" s="1"/>
  <c r="AL1046" i="1"/>
  <c r="S1046" i="1" s="1"/>
  <c r="AL585" i="1"/>
  <c r="S585" i="1" s="1"/>
  <c r="AL982" i="1"/>
  <c r="S982" i="1" s="1"/>
  <c r="AL642" i="1"/>
  <c r="S642" i="1" s="1"/>
  <c r="AL577" i="1"/>
  <c r="S577" i="1" s="1"/>
  <c r="AL1048" i="1"/>
  <c r="S1048" i="1" s="1"/>
  <c r="AL1049" i="1"/>
  <c r="S1049" i="1" s="1"/>
  <c r="AL965" i="1"/>
  <c r="S965" i="1" s="1"/>
  <c r="AL711" i="1"/>
  <c r="S711" i="1" s="1"/>
  <c r="AL1053" i="1"/>
  <c r="S1053" i="1" s="1"/>
  <c r="AL615" i="1"/>
  <c r="S615" i="1" s="1"/>
  <c r="AL782" i="1"/>
  <c r="S782" i="1" s="1"/>
  <c r="AL984" i="1"/>
  <c r="S984" i="1" s="1"/>
  <c r="AL985" i="1"/>
  <c r="S985" i="1" s="1"/>
  <c r="AL1057" i="1"/>
  <c r="S1057" i="1" s="1"/>
  <c r="AL966" i="1"/>
  <c r="S966" i="1" s="1"/>
  <c r="AL921" i="1"/>
  <c r="S921" i="1" s="1"/>
  <c r="AL1060" i="1"/>
  <c r="S1060" i="1" s="1"/>
  <c r="AL1062" i="1"/>
  <c r="S1062" i="1" s="1"/>
  <c r="AL926" i="1"/>
  <c r="S926" i="1" s="1"/>
  <c r="AL959" i="1"/>
  <c r="S959" i="1" s="1"/>
  <c r="AL769" i="1"/>
  <c r="S769" i="1" s="1"/>
  <c r="AL960" i="1"/>
  <c r="S960" i="1" s="1"/>
  <c r="AL745" i="1"/>
  <c r="S745" i="1" s="1"/>
  <c r="AL603" i="1"/>
  <c r="S603" i="1" s="1"/>
  <c r="AL167" i="1"/>
  <c r="S167" i="1" s="1"/>
  <c r="AL967" i="1"/>
  <c r="S967" i="1" s="1"/>
  <c r="AL26" i="1"/>
  <c r="S26" i="1" s="1"/>
  <c r="AL1065" i="1"/>
  <c r="S1065" i="1" s="1"/>
  <c r="AL541" i="1"/>
  <c r="S541" i="1" s="1"/>
  <c r="AL968" i="1"/>
  <c r="S968" i="1" s="1"/>
  <c r="AL987" i="1"/>
  <c r="S987" i="1" s="1"/>
  <c r="AL1069" i="1"/>
  <c r="S1069" i="1" s="1"/>
  <c r="AL861" i="1"/>
  <c r="S861" i="1" s="1"/>
  <c r="AL445" i="1"/>
  <c r="S445" i="1" s="1"/>
  <c r="AL278" i="1"/>
  <c r="S278" i="1" s="1"/>
  <c r="AL1073" i="1"/>
  <c r="S1073" i="1" s="1"/>
  <c r="AL1076" i="1"/>
  <c r="S1076" i="1" s="1"/>
  <c r="AL1015" i="1"/>
  <c r="S1015" i="1" s="1"/>
  <c r="AL1079" i="1"/>
  <c r="S1079" i="1" s="1"/>
  <c r="AL1080" i="1"/>
  <c r="S1080" i="1" s="1"/>
  <c r="AL988" i="1"/>
  <c r="S988" i="1" s="1"/>
  <c r="AL989" i="1"/>
  <c r="S989" i="1" s="1"/>
  <c r="AL737" i="1"/>
  <c r="S737" i="1" s="1"/>
  <c r="AL1082" i="1"/>
  <c r="S1082" i="1" s="1"/>
  <c r="AL399" i="1"/>
  <c r="S399" i="1" s="1"/>
  <c r="AL557" i="1"/>
  <c r="S557" i="1" s="1"/>
  <c r="AL1001" i="1"/>
  <c r="S1001" i="1" s="1"/>
  <c r="AL1087" i="1"/>
  <c r="S1087" i="1" s="1"/>
  <c r="AL1088" i="1"/>
  <c r="S1088" i="1" s="1"/>
  <c r="AL702" i="1"/>
  <c r="S702" i="1" s="1"/>
  <c r="AL665" i="1"/>
  <c r="S665" i="1" s="1"/>
  <c r="AL1089" i="1"/>
  <c r="S1089" i="1" s="1"/>
  <c r="AL1090" i="1"/>
  <c r="S1090" i="1" s="1"/>
  <c r="AL759" i="1"/>
  <c r="S759" i="1" s="1"/>
  <c r="AL1017" i="1"/>
  <c r="S1017" i="1" s="1"/>
  <c r="AL1093" i="1"/>
  <c r="S1093" i="1" s="1"/>
  <c r="AL657" i="1"/>
  <c r="S657" i="1" s="1"/>
  <c r="AL342" i="1"/>
  <c r="S342" i="1" s="1"/>
  <c r="AL429" i="1"/>
  <c r="S429" i="1" s="1"/>
  <c r="AL266" i="1"/>
  <c r="S266" i="1" s="1"/>
  <c r="AL110" i="1"/>
  <c r="S110" i="1" s="1"/>
  <c r="AL386" i="1"/>
  <c r="S386" i="1" s="1"/>
  <c r="AL369" i="1"/>
  <c r="S369" i="1" s="1"/>
  <c r="AL67" i="1"/>
  <c r="S67" i="1" s="1"/>
  <c r="AL12" i="1"/>
  <c r="S12" i="1" s="1"/>
  <c r="AL202" i="1"/>
  <c r="S202" i="1" s="1"/>
  <c r="AL59" i="1"/>
  <c r="S59" i="1" s="1"/>
  <c r="AL326" i="1"/>
  <c r="S326" i="1" s="1"/>
  <c r="AL343" i="1"/>
  <c r="S343" i="1" s="1"/>
  <c r="AL175" i="1"/>
  <c r="S175" i="1" s="1"/>
  <c r="AL23" i="1"/>
  <c r="S23" i="1" s="1"/>
  <c r="AL146" i="1"/>
  <c r="S146" i="1" s="1"/>
  <c r="AL260" i="1"/>
  <c r="S260" i="1" s="1"/>
  <c r="AL168" i="1"/>
  <c r="S168" i="1" s="1"/>
  <c r="AL216" i="1"/>
  <c r="S216" i="1" s="1"/>
  <c r="AL101" i="1"/>
  <c r="S101" i="1" s="1"/>
  <c r="AL321" i="1"/>
  <c r="S321" i="1" s="1"/>
  <c r="AL157" i="1"/>
  <c r="S157" i="1" s="1"/>
  <c r="AL25" i="1"/>
  <c r="S25" i="1" s="1"/>
  <c r="AL448" i="1"/>
  <c r="S448" i="1" s="1"/>
  <c r="AL76" i="1"/>
  <c r="S76" i="1" s="1"/>
  <c r="AL211" i="1"/>
  <c r="S211" i="1" s="1"/>
  <c r="AL8" i="1"/>
  <c r="S8" i="1" s="1"/>
  <c r="AL198" i="1"/>
  <c r="S198" i="1" s="1"/>
  <c r="AL102" i="1"/>
  <c r="S102" i="1" s="1"/>
  <c r="AL316" i="1"/>
  <c r="S316" i="1" s="1"/>
  <c r="AL125" i="1"/>
  <c r="S125" i="1" s="1"/>
  <c r="AL449" i="1"/>
  <c r="S449" i="1" s="1"/>
  <c r="AL32" i="1"/>
  <c r="S32" i="1" s="1"/>
  <c r="AL261" i="1"/>
  <c r="S261" i="1" s="1"/>
  <c r="AL108" i="1"/>
  <c r="S108" i="1" s="1"/>
  <c r="AL42" i="1"/>
  <c r="S42" i="1" s="1"/>
  <c r="AL376" i="1"/>
  <c r="S376" i="1" s="1"/>
  <c r="AL246" i="1"/>
  <c r="S246" i="1" s="1"/>
  <c r="AL267" i="1"/>
  <c r="S267" i="1" s="1"/>
  <c r="AL6" i="1"/>
  <c r="S6" i="1" s="1"/>
  <c r="AL241" i="1"/>
  <c r="S241" i="1" s="1"/>
  <c r="AL304" i="1"/>
  <c r="S304" i="1" s="1"/>
  <c r="AL60" i="1"/>
  <c r="S60" i="1" s="1"/>
  <c r="AL297" i="1"/>
  <c r="S297" i="1" s="1"/>
  <c r="AL224" i="1"/>
  <c r="S224" i="1" s="1"/>
  <c r="AL34" i="1"/>
  <c r="S34" i="1" s="1"/>
  <c r="AL1098" i="1"/>
  <c r="S1098" i="1" s="1"/>
  <c r="AL1099" i="1"/>
  <c r="S1099" i="1" s="1"/>
  <c r="AL77" i="1"/>
  <c r="S77" i="1" s="1"/>
  <c r="AL227" i="1"/>
  <c r="S227" i="1" s="1"/>
  <c r="AL81" i="1"/>
  <c r="S81" i="1" s="1"/>
  <c r="AL442" i="1"/>
  <c r="S442" i="1" s="1"/>
  <c r="AL237" i="1"/>
  <c r="S237" i="1" s="1"/>
  <c r="AL279" i="1"/>
  <c r="S279" i="1" s="1"/>
  <c r="AL418" i="1"/>
  <c r="S418" i="1" s="1"/>
  <c r="AL450" i="1"/>
  <c r="S450" i="1" s="1"/>
  <c r="AL199" i="1"/>
  <c r="S199" i="1" s="1"/>
  <c r="AL163" i="1"/>
  <c r="S163" i="1" s="1"/>
  <c r="AL220" i="1"/>
  <c r="S220" i="1" s="1"/>
  <c r="AL15" i="1"/>
  <c r="S15" i="1" s="1"/>
  <c r="AL117" i="1"/>
  <c r="S117" i="1" s="1"/>
  <c r="AL387" i="1"/>
  <c r="S387" i="1" s="1"/>
  <c r="AL225" i="1"/>
  <c r="S225" i="1" s="1"/>
  <c r="AL381" i="1"/>
  <c r="S381" i="1" s="1"/>
  <c r="AL98" i="1"/>
  <c r="S98" i="1" s="1"/>
  <c r="AL176" i="1"/>
  <c r="S176" i="1" s="1"/>
  <c r="AL656" i="1"/>
  <c r="S656" i="1" s="1"/>
  <c r="AL221" i="1"/>
  <c r="S221" i="1" s="1"/>
  <c r="AL396" i="1"/>
  <c r="S396" i="1" s="1"/>
  <c r="AL28" i="1"/>
  <c r="S28" i="1" s="1"/>
  <c r="AL388" i="1"/>
  <c r="S388" i="1" s="1"/>
  <c r="AL200" i="1"/>
  <c r="S200" i="1" s="1"/>
  <c r="AL265" i="1"/>
  <c r="S265" i="1" s="1"/>
  <c r="AL280" i="1"/>
  <c r="S280" i="1" s="1"/>
  <c r="AL111" i="1"/>
  <c r="S111" i="1" s="1"/>
  <c r="AL61" i="1"/>
  <c r="S61" i="1" s="1"/>
  <c r="AL415" i="1"/>
  <c r="S415" i="1" s="1"/>
  <c r="AL68" i="1"/>
  <c r="S68" i="1" s="1"/>
  <c r="AL201" i="1"/>
  <c r="S201" i="1" s="1"/>
  <c r="AL365" i="1"/>
  <c r="S365" i="1" s="1"/>
  <c r="AL419" i="1"/>
  <c r="S419" i="1" s="1"/>
  <c r="AL268" i="1"/>
  <c r="S268" i="1" s="1"/>
  <c r="AL212" i="1"/>
  <c r="S212" i="1" s="1"/>
  <c r="AL1102" i="1"/>
  <c r="S1102" i="1" s="1"/>
  <c r="AL69" i="1"/>
  <c r="S69" i="1" s="1"/>
  <c r="AL1103" i="1"/>
  <c r="S1103" i="1" s="1"/>
  <c r="AL243" i="1"/>
  <c r="S243" i="1" s="1"/>
  <c r="AL228" i="1"/>
  <c r="S228" i="1" s="1"/>
  <c r="AL286" i="1"/>
  <c r="S286" i="1" s="1"/>
  <c r="AL86" i="1"/>
  <c r="S86" i="1" s="1"/>
  <c r="AL73" i="1"/>
  <c r="S73" i="1" s="1"/>
  <c r="AL1104" i="1"/>
  <c r="S1104" i="1" s="1"/>
  <c r="AL249" i="1"/>
  <c r="S249" i="1" s="1"/>
  <c r="AL238" i="1"/>
  <c r="S238" i="1" s="1"/>
  <c r="AL55" i="1"/>
  <c r="S55" i="1" s="1"/>
  <c r="AL177" i="1"/>
  <c r="S177" i="1" s="1"/>
  <c r="AL47" i="1"/>
  <c r="S47" i="1" s="1"/>
  <c r="AL430" i="1"/>
  <c r="S430" i="1" s="1"/>
  <c r="AL74" i="1"/>
  <c r="S74" i="1" s="1"/>
  <c r="AL49" i="1"/>
  <c r="S49" i="1" s="1"/>
  <c r="AL164" i="1"/>
  <c r="S164" i="1" s="1"/>
  <c r="AL361" i="1"/>
  <c r="S361" i="1" s="1"/>
  <c r="AL377" i="1"/>
  <c r="S377" i="1" s="1"/>
  <c r="AL371" i="1"/>
  <c r="S371" i="1" s="1"/>
  <c r="AL401" i="1"/>
  <c r="S401" i="1" s="1"/>
  <c r="AL1107" i="1"/>
  <c r="S1107" i="1" s="1"/>
  <c r="AL50" i="1"/>
  <c r="S50" i="1" s="1"/>
  <c r="AL338" i="1"/>
  <c r="S338" i="1" s="1"/>
  <c r="AL35" i="1"/>
  <c r="S35" i="1" s="1"/>
  <c r="AL378" i="1"/>
  <c r="S378" i="1" s="1"/>
  <c r="AL48" i="1"/>
  <c r="S48" i="1" s="1"/>
  <c r="AL141" i="1"/>
  <c r="S141" i="1" s="1"/>
  <c r="AL70" i="1"/>
  <c r="S70" i="1" s="1"/>
  <c r="AL312" i="1"/>
  <c r="S312" i="1" s="1"/>
  <c r="AL234" i="1"/>
  <c r="S234" i="1" s="1"/>
  <c r="AL178" i="1"/>
  <c r="S178" i="1" s="1"/>
  <c r="AL407" i="1"/>
  <c r="S407" i="1" s="1"/>
  <c r="AL327" i="1"/>
  <c r="S327" i="1" s="1"/>
  <c r="AL95" i="1"/>
  <c r="S95" i="1" s="1"/>
  <c r="AL408" i="1"/>
  <c r="S408" i="1" s="1"/>
  <c r="AL165" i="1"/>
  <c r="S165" i="1" s="1"/>
  <c r="AL218" i="1"/>
  <c r="S218" i="1" s="1"/>
  <c r="AL113" i="1"/>
  <c r="S113" i="1" s="1"/>
  <c r="AL56" i="1"/>
  <c r="S56" i="1" s="1"/>
  <c r="AL103" i="1"/>
  <c r="S103" i="1" s="1"/>
  <c r="AL362" i="1"/>
  <c r="S362" i="1" s="1"/>
  <c r="AL1109" i="1"/>
  <c r="S1109" i="1" s="1"/>
  <c r="AL71" i="1"/>
  <c r="S71" i="1" s="1"/>
  <c r="AL383" i="1"/>
  <c r="S383" i="1" s="1"/>
  <c r="AL5" i="1"/>
  <c r="S5" i="1" s="1"/>
  <c r="AL91" i="1"/>
  <c r="S91" i="1" s="1"/>
  <c r="AL344" i="1"/>
  <c r="S344" i="1" s="1"/>
  <c r="AL166" i="1"/>
  <c r="S166" i="1" s="1"/>
  <c r="AL370" i="1"/>
  <c r="S370" i="1" s="1"/>
  <c r="AL295" i="1"/>
  <c r="S295" i="1" s="1"/>
  <c r="AL372" i="1"/>
  <c r="S372" i="1" s="1"/>
  <c r="AL58" i="1"/>
  <c r="S58" i="1" s="1"/>
  <c r="AL222" i="1"/>
  <c r="S222" i="1" s="1"/>
  <c r="AL223" i="1"/>
  <c r="S223" i="1" s="1"/>
  <c r="AL99" i="1"/>
  <c r="S99" i="1" s="1"/>
  <c r="AL3" i="1"/>
  <c r="S3" i="1" s="1"/>
  <c r="AL409" i="1"/>
  <c r="S409" i="1" s="1"/>
  <c r="AL263" i="1"/>
  <c r="S263" i="1" s="1"/>
  <c r="AL106" i="1"/>
  <c r="S106" i="1" s="1"/>
  <c r="AL118" i="1"/>
  <c r="S118" i="1" s="1"/>
  <c r="AL288" i="1"/>
  <c r="S288" i="1" s="1"/>
  <c r="AL305" i="1"/>
  <c r="S305" i="1" s="1"/>
  <c r="AL299" i="1"/>
  <c r="S299" i="1" s="1"/>
  <c r="AL319" i="1"/>
  <c r="S319" i="1" s="1"/>
  <c r="AL363" i="1"/>
  <c r="S363" i="1" s="1"/>
  <c r="AL137" i="1"/>
  <c r="S137" i="1" s="1"/>
  <c r="AL762" i="1"/>
  <c r="S762" i="1" s="1"/>
  <c r="AL51" i="1"/>
  <c r="S51" i="1" s="1"/>
  <c r="AL114" i="1"/>
  <c r="S114" i="1" s="1"/>
  <c r="AL126" i="1"/>
  <c r="S126" i="1" s="1"/>
  <c r="AL209" i="1"/>
  <c r="S209" i="1" s="1"/>
  <c r="AL219" i="1"/>
  <c r="S219" i="1" s="1"/>
  <c r="AL109" i="1"/>
  <c r="S109" i="1" s="1"/>
  <c r="AL284" i="1"/>
  <c r="S284" i="1" s="1"/>
  <c r="AL333" i="1"/>
  <c r="S333" i="1" s="1"/>
  <c r="AL195" i="1"/>
  <c r="S195" i="1" s="1"/>
  <c r="AL373" i="1"/>
  <c r="S373" i="1" s="1"/>
  <c r="AL313" i="1"/>
  <c r="S313" i="1" s="1"/>
  <c r="AL301" i="1"/>
  <c r="S301" i="1" s="1"/>
  <c r="AL92" i="1"/>
  <c r="S92" i="1" s="1"/>
  <c r="AL7" i="1"/>
  <c r="S7" i="1" s="1"/>
  <c r="AL38" i="1"/>
  <c r="S38" i="1" s="1"/>
  <c r="AL244" i="1"/>
  <c r="S244" i="1" s="1"/>
  <c r="AL107" i="1"/>
  <c r="S107" i="1" s="1"/>
  <c r="AL13" i="1"/>
  <c r="S13" i="1" s="1"/>
  <c r="AL331" i="1"/>
  <c r="S331" i="1" s="1"/>
  <c r="AL196" i="1"/>
  <c r="S196" i="1" s="1"/>
  <c r="AL158" i="1"/>
  <c r="S158" i="1" s="1"/>
  <c r="AL289" i="1"/>
  <c r="S289" i="1" s="1"/>
  <c r="AL353" i="1"/>
  <c r="S353" i="1" s="1"/>
  <c r="AL82" i="1"/>
  <c r="S82" i="1" s="1"/>
  <c r="AL186" i="1"/>
  <c r="S186" i="1" s="1"/>
  <c r="AL39" i="1"/>
  <c r="S39" i="1" s="1"/>
  <c r="AL250" i="1"/>
  <c r="S250" i="1" s="1"/>
  <c r="AL1115" i="1"/>
  <c r="S1115" i="1" s="1"/>
  <c r="AL214" i="1"/>
  <c r="S214" i="1" s="1"/>
  <c r="AL422" i="1"/>
  <c r="S422" i="1" s="1"/>
  <c r="AL389" i="1"/>
  <c r="S389" i="1" s="1"/>
  <c r="AL18" i="1"/>
  <c r="S18" i="1" s="1"/>
  <c r="AL431" i="1"/>
  <c r="S431" i="1" s="1"/>
  <c r="AL423" i="1"/>
  <c r="S423" i="1" s="1"/>
  <c r="AL1116" i="1"/>
  <c r="S1116" i="1" s="1"/>
  <c r="AL187" i="1"/>
  <c r="S187" i="1" s="1"/>
  <c r="AL339" i="1"/>
  <c r="S339" i="1" s="1"/>
  <c r="AL84" i="1"/>
  <c r="S84" i="1" s="1"/>
  <c r="AL283" i="1"/>
  <c r="S283" i="1" s="1"/>
  <c r="AL676" i="1"/>
  <c r="S676" i="1" s="1"/>
  <c r="AL87" i="1"/>
  <c r="S87" i="1" s="1"/>
  <c r="AL130" i="1"/>
  <c r="S130" i="1" s="1"/>
  <c r="AL390" i="1"/>
  <c r="S390" i="1" s="1"/>
  <c r="AL1123" i="1"/>
  <c r="S1123" i="1" s="1"/>
  <c r="AL704" i="1"/>
  <c r="S704" i="1" s="1"/>
  <c r="AL432" i="1"/>
  <c r="S432" i="1" s="1"/>
  <c r="AL210" i="1"/>
  <c r="S210" i="1" s="1"/>
  <c r="AL78" i="1"/>
  <c r="S78" i="1" s="1"/>
  <c r="AL307" i="1"/>
  <c r="S307" i="1" s="1"/>
  <c r="AL992" i="1"/>
  <c r="S992" i="1" s="1"/>
  <c r="AL88" i="1"/>
  <c r="S88" i="1" s="1"/>
  <c r="AL332" i="1"/>
  <c r="S332" i="1" s="1"/>
  <c r="AL436" i="1"/>
  <c r="S436" i="1" s="1"/>
  <c r="AL1126" i="1"/>
  <c r="S1126" i="1" s="1"/>
  <c r="AL127" i="1"/>
  <c r="S127" i="1" s="1"/>
  <c r="AL115" i="1"/>
  <c r="S115" i="1" s="1"/>
  <c r="AL290" i="1"/>
  <c r="S290" i="1" s="1"/>
  <c r="AL329" i="1"/>
  <c r="S329" i="1" s="1"/>
  <c r="AL345" i="1"/>
  <c r="S345" i="1" s="1"/>
  <c r="AL64" i="1"/>
  <c r="S64" i="1" s="1"/>
  <c r="AL1127" i="1"/>
  <c r="S1127" i="1" s="1"/>
  <c r="AL188" i="1"/>
  <c r="S188" i="1" s="1"/>
  <c r="AL545" i="1"/>
  <c r="S545" i="1" s="1"/>
  <c r="AL787" i="1"/>
  <c r="S787" i="1" s="1"/>
  <c r="AL1128" i="1"/>
  <c r="S1128" i="1" s="1"/>
  <c r="AL172" i="1"/>
  <c r="S172" i="1" s="1"/>
  <c r="AL1129" i="1"/>
  <c r="S1129" i="1" s="1"/>
  <c r="AL273" i="1"/>
  <c r="S273" i="1" s="1"/>
  <c r="AL1022" i="1"/>
  <c r="S1022" i="1" s="1"/>
  <c r="AL335" i="1"/>
  <c r="S335" i="1" s="1"/>
  <c r="AL1132" i="1"/>
  <c r="S1132" i="1" s="1"/>
  <c r="AL277" i="1"/>
  <c r="S277" i="1" s="1"/>
  <c r="AL341" i="1"/>
  <c r="S341" i="1" s="1"/>
  <c r="AL437" i="1"/>
  <c r="S437" i="1" s="1"/>
  <c r="AL251" i="1"/>
  <c r="S251" i="1" s="1"/>
  <c r="AL367" i="1"/>
  <c r="S367" i="1" s="1"/>
  <c r="AL438" i="1"/>
  <c r="S438" i="1" s="1"/>
  <c r="AL661" i="1"/>
  <c r="S661" i="1" s="1"/>
  <c r="AL416" i="1"/>
  <c r="S416" i="1" s="1"/>
  <c r="AL100" i="1"/>
  <c r="S100" i="1" s="1"/>
  <c r="AL159" i="1"/>
  <c r="S159" i="1" s="1"/>
  <c r="AL206" i="1"/>
  <c r="S206" i="1" s="1"/>
  <c r="AL403" i="1"/>
  <c r="S403" i="1" s="1"/>
  <c r="AL775" i="1"/>
  <c r="S775" i="1" s="1"/>
  <c r="AL43" i="1"/>
  <c r="S43" i="1" s="1"/>
  <c r="AL160" i="1"/>
  <c r="S160" i="1" s="1"/>
  <c r="AL1135" i="1"/>
  <c r="S1135" i="1" s="1"/>
  <c r="AL452" i="1"/>
  <c r="S452" i="1" s="1"/>
  <c r="AL153" i="1"/>
  <c r="S153" i="1" s="1"/>
  <c r="AL66" i="1"/>
  <c r="S66" i="1" s="1"/>
  <c r="AL1138" i="1"/>
  <c r="S1138" i="1" s="1"/>
  <c r="AL1139" i="1"/>
  <c r="S1139" i="1" s="1"/>
  <c r="AL161" i="1"/>
  <c r="S161" i="1" s="1"/>
  <c r="AL93" i="1"/>
  <c r="S93" i="1" s="1"/>
  <c r="AL647" i="1"/>
  <c r="S647" i="1" s="1"/>
  <c r="AL940" i="1"/>
  <c r="S940" i="1" s="1"/>
  <c r="AL1141" i="1"/>
  <c r="S1141" i="1" s="1"/>
  <c r="AL1143" i="1"/>
  <c r="S1143" i="1" s="1"/>
  <c r="AL1144" i="1"/>
  <c r="S1144" i="1" s="1"/>
  <c r="AL151" i="1"/>
  <c r="S151" i="1" s="1"/>
  <c r="AL364" i="1"/>
  <c r="S364" i="1" s="1"/>
  <c r="AL215" i="1"/>
  <c r="S215" i="1" s="1"/>
  <c r="AL131" i="1"/>
  <c r="S131" i="1" s="1"/>
  <c r="AL374" i="1"/>
  <c r="S374" i="1" s="1"/>
  <c r="AL41" i="1"/>
  <c r="S41" i="1" s="1"/>
  <c r="AL368" i="1"/>
  <c r="S368" i="1" s="1"/>
  <c r="AL314" i="1"/>
  <c r="S314" i="1" s="1"/>
  <c r="AL324" i="1"/>
  <c r="S324" i="1" s="1"/>
  <c r="AL410" i="1"/>
  <c r="S410" i="1" s="1"/>
  <c r="AL79" i="1"/>
  <c r="S79" i="1" s="1"/>
  <c r="AL385" i="1"/>
  <c r="S385" i="1" s="1"/>
  <c r="AL75" i="1"/>
  <c r="S75" i="1" s="1"/>
  <c r="AL122" i="1"/>
  <c r="S122" i="1" s="1"/>
  <c r="AL417" i="1"/>
  <c r="S417" i="1" s="1"/>
  <c r="AL197" i="1"/>
  <c r="S197" i="1" s="1"/>
  <c r="AL4" i="1"/>
  <c r="S4" i="1" s="1"/>
  <c r="AL134" i="1"/>
  <c r="S134" i="1" s="1"/>
  <c r="AL154" i="1"/>
  <c r="S154" i="1" s="1"/>
  <c r="AL143" i="1"/>
  <c r="S143" i="1" s="1"/>
  <c r="AL354" i="1"/>
  <c r="S354" i="1" s="1"/>
  <c r="AL144" i="1"/>
  <c r="S144" i="1" s="1"/>
  <c r="AL375" i="1"/>
  <c r="S375" i="1" s="1"/>
  <c r="AL427" i="1"/>
  <c r="S427" i="1" s="1"/>
  <c r="AL346" i="1"/>
  <c r="S346" i="1" s="1"/>
  <c r="AL9" i="1"/>
  <c r="S9" i="1" s="1"/>
  <c r="AL400" i="1"/>
  <c r="S400" i="1" s="1"/>
  <c r="AL52" i="1"/>
  <c r="S52" i="1" s="1"/>
  <c r="AL380" i="1"/>
  <c r="S380" i="1" s="1"/>
  <c r="AL274" i="1"/>
  <c r="S274" i="1" s="1"/>
  <c r="AM274" i="1" l="1"/>
  <c r="AN274" i="1" s="1"/>
  <c r="AM380" i="1"/>
  <c r="AN380" i="1" s="1"/>
  <c r="AM354" i="1"/>
  <c r="AN354" i="1" s="1"/>
  <c r="AM75" i="1"/>
  <c r="AN75" i="1" s="1"/>
  <c r="AM52" i="1"/>
  <c r="AN52" i="1" s="1"/>
  <c r="AM427" i="1"/>
  <c r="AN427" i="1" s="1"/>
  <c r="AM143" i="1"/>
  <c r="AN143" i="1" s="1"/>
  <c r="AM197" i="1"/>
  <c r="AN197" i="1" s="1"/>
  <c r="AM385" i="1"/>
  <c r="AN385" i="1" s="1"/>
  <c r="AM314" i="1"/>
  <c r="AN314" i="1" s="1"/>
  <c r="AM131" i="1"/>
  <c r="AN131" i="1" s="1"/>
  <c r="AM1144" i="1"/>
  <c r="AN1144" i="1" s="1"/>
  <c r="AM647" i="1"/>
  <c r="AN647" i="1" s="1"/>
  <c r="AM1138" i="1"/>
  <c r="AN1138" i="1" s="1"/>
  <c r="AM1135" i="1"/>
  <c r="AN1135" i="1" s="1"/>
  <c r="AM403" i="1"/>
  <c r="AN403" i="1" s="1"/>
  <c r="AM416" i="1"/>
  <c r="AN416" i="1" s="1"/>
  <c r="AM251" i="1"/>
  <c r="AN251" i="1" s="1"/>
  <c r="AM1132" i="1"/>
  <c r="AN1132" i="1" s="1"/>
  <c r="AM1129" i="1"/>
  <c r="AN1129" i="1" s="1"/>
  <c r="AM545" i="1"/>
  <c r="AN545" i="1" s="1"/>
  <c r="AM345" i="1"/>
  <c r="AN345" i="1" s="1"/>
  <c r="AM127" i="1"/>
  <c r="AN127" i="1" s="1"/>
  <c r="AM88" i="1"/>
  <c r="AN88" i="1" s="1"/>
  <c r="AM210" i="1"/>
  <c r="AN210" i="1" s="1"/>
  <c r="AM390" i="1"/>
  <c r="AN390" i="1" s="1"/>
  <c r="AM283" i="1"/>
  <c r="AN283" i="1" s="1"/>
  <c r="AM1116" i="1"/>
  <c r="AN1116" i="1" s="1"/>
  <c r="AM389" i="1"/>
  <c r="AN389" i="1" s="1"/>
  <c r="AM250" i="1"/>
  <c r="AN250" i="1" s="1"/>
  <c r="AM353" i="1"/>
  <c r="AN353" i="1" s="1"/>
  <c r="AM331" i="1"/>
  <c r="AN331" i="1" s="1"/>
  <c r="AM38" i="1"/>
  <c r="AN38" i="1" s="1"/>
  <c r="AM313" i="1"/>
  <c r="AN313" i="1" s="1"/>
  <c r="AM284" i="1"/>
  <c r="AN284" i="1" s="1"/>
  <c r="AM126" i="1"/>
  <c r="AN126" i="1" s="1"/>
  <c r="AM137" i="1"/>
  <c r="AN137" i="1" s="1"/>
  <c r="AM305" i="1"/>
  <c r="AN305" i="1" s="1"/>
  <c r="AM263" i="1"/>
  <c r="AN263" i="1" s="1"/>
  <c r="AM223" i="1"/>
  <c r="AN223" i="1" s="1"/>
  <c r="AM295" i="1"/>
  <c r="AN295" i="1" s="1"/>
  <c r="AM91" i="1"/>
  <c r="AN91" i="1" s="1"/>
  <c r="AM1109" i="1"/>
  <c r="AN1109" i="1" s="1"/>
  <c r="AM113" i="1"/>
  <c r="AN113" i="1" s="1"/>
  <c r="AM95" i="1"/>
  <c r="AN95" i="1" s="1"/>
  <c r="AM234" i="1"/>
  <c r="AN234" i="1" s="1"/>
  <c r="AM48" i="1"/>
  <c r="AN48" i="1" s="1"/>
  <c r="AM50" i="1"/>
  <c r="AN50" i="1" s="1"/>
  <c r="AM377" i="1"/>
  <c r="AN377" i="1" s="1"/>
  <c r="AM74" i="1"/>
  <c r="AN74" i="1" s="1"/>
  <c r="AM55" i="1"/>
  <c r="AN55" i="1" s="1"/>
  <c r="AM73" i="1"/>
  <c r="AN73" i="1" s="1"/>
  <c r="AM243" i="1"/>
  <c r="AN243" i="1" s="1"/>
  <c r="AM212" i="1"/>
  <c r="AN212" i="1" s="1"/>
  <c r="AM201" i="1"/>
  <c r="AN201" i="1" s="1"/>
  <c r="AM111" i="1"/>
  <c r="AN111" i="1" s="1"/>
  <c r="AM388" i="1"/>
  <c r="AN388" i="1" s="1"/>
  <c r="AM656" i="1"/>
  <c r="AN656" i="1" s="1"/>
  <c r="AM225" i="1"/>
  <c r="AN225" i="1" s="1"/>
  <c r="AM220" i="1"/>
  <c r="AN220" i="1" s="1"/>
  <c r="AM418" i="1"/>
  <c r="AN418" i="1" s="1"/>
  <c r="AM81" i="1"/>
  <c r="AN81" i="1" s="1"/>
  <c r="AM1098" i="1"/>
  <c r="AN1098" i="1" s="1"/>
  <c r="AM60" i="1"/>
  <c r="AN60" i="1" s="1"/>
  <c r="AM267" i="1"/>
  <c r="AN267" i="1" s="1"/>
  <c r="AM108" i="1"/>
  <c r="AN108" i="1" s="1"/>
  <c r="AM125" i="1"/>
  <c r="AN125" i="1" s="1"/>
  <c r="AM8" i="1"/>
  <c r="AN8" i="1" s="1"/>
  <c r="AM25" i="1"/>
  <c r="AN25" i="1" s="1"/>
  <c r="AM216" i="1"/>
  <c r="AN216" i="1" s="1"/>
  <c r="AM23" i="1"/>
  <c r="AN23" i="1" s="1"/>
  <c r="AM59" i="1"/>
  <c r="AN59" i="1" s="1"/>
  <c r="AM369" i="1"/>
  <c r="AN369" i="1" s="1"/>
  <c r="AM429" i="1"/>
  <c r="AN429" i="1" s="1"/>
  <c r="AM1017" i="1"/>
  <c r="AN1017" i="1" s="1"/>
  <c r="AM665" i="1"/>
  <c r="AN665" i="1" s="1"/>
  <c r="AM1001" i="1"/>
  <c r="AN1001" i="1" s="1"/>
  <c r="AM737" i="1"/>
  <c r="AN737" i="1" s="1"/>
  <c r="AM1079" i="1"/>
  <c r="AN1079" i="1" s="1"/>
  <c r="AM278" i="1"/>
  <c r="AN278" i="1" s="1"/>
  <c r="AM987" i="1"/>
  <c r="AN987" i="1" s="1"/>
  <c r="AM26" i="1"/>
  <c r="AN26" i="1" s="1"/>
  <c r="AM745" i="1"/>
  <c r="AN745" i="1" s="1"/>
  <c r="AM926" i="1"/>
  <c r="AN926" i="1" s="1"/>
  <c r="AM966" i="1"/>
  <c r="AN966" i="1" s="1"/>
  <c r="AM782" i="1"/>
  <c r="AN782" i="1" s="1"/>
  <c r="AM965" i="1"/>
  <c r="AN965" i="1" s="1"/>
  <c r="AM642" i="1"/>
  <c r="AN642" i="1" s="1"/>
  <c r="AM964" i="1"/>
  <c r="AN964" i="1" s="1"/>
  <c r="AM783" i="1"/>
  <c r="AN783" i="1" s="1"/>
  <c r="AM722" i="1"/>
  <c r="AN722" i="1" s="1"/>
  <c r="AM996" i="1"/>
  <c r="AN996" i="1" s="1"/>
  <c r="AM956" i="1"/>
  <c r="AN956" i="1" s="1"/>
  <c r="AM928" i="1"/>
  <c r="AN928" i="1" s="1"/>
  <c r="AM904" i="1"/>
  <c r="AN904" i="1" s="1"/>
  <c r="AM955" i="1"/>
  <c r="AN955" i="1" s="1"/>
  <c r="AM1033" i="1"/>
  <c r="AN1033" i="1" s="1"/>
  <c r="AM660" i="1"/>
  <c r="AN660" i="1" s="1"/>
  <c r="AM718" i="1"/>
  <c r="AN718" i="1" s="1"/>
  <c r="AM651" i="1"/>
  <c r="AN651" i="1" s="1"/>
  <c r="AM864" i="1"/>
  <c r="AN864" i="1" s="1"/>
  <c r="AM637" i="1"/>
  <c r="AN637" i="1" s="1"/>
  <c r="AM810" i="1"/>
  <c r="AN810" i="1" s="1"/>
  <c r="AM530" i="1"/>
  <c r="AN530" i="1" s="1"/>
  <c r="AM919" i="1"/>
  <c r="AN919" i="1" s="1"/>
  <c r="AM496" i="1"/>
  <c r="AN496" i="1" s="1"/>
  <c r="AM917" i="1"/>
  <c r="AN917" i="1" s="1"/>
  <c r="AM627" i="1"/>
  <c r="AN627" i="1" s="1"/>
  <c r="AM724" i="1"/>
  <c r="AN724" i="1" s="1"/>
  <c r="AM757" i="1"/>
  <c r="AN757" i="1" s="1"/>
  <c r="AM898" i="1"/>
  <c r="AN898" i="1" s="1"/>
  <c r="AM523" i="1"/>
  <c r="AN523" i="1" s="1"/>
  <c r="AM835" i="1"/>
  <c r="AN835" i="1" s="1"/>
  <c r="AM509" i="1"/>
  <c r="AN509" i="1" s="1"/>
  <c r="AM765" i="1"/>
  <c r="AN765" i="1" s="1"/>
  <c r="AM460" i="1"/>
  <c r="AN460" i="1" s="1"/>
  <c r="AM828" i="1"/>
  <c r="AN828" i="1" s="1"/>
  <c r="AM751" i="1"/>
  <c r="AN751" i="1" s="1"/>
  <c r="AM725" i="1"/>
  <c r="AN725" i="1" s="1"/>
  <c r="AM600" i="1"/>
  <c r="AN600" i="1" s="1"/>
  <c r="AM671" i="1"/>
  <c r="AN671" i="1" s="1"/>
  <c r="AM768" i="1"/>
  <c r="AN768" i="1" s="1"/>
  <c r="AM536" i="1"/>
  <c r="AN536" i="1" s="1"/>
  <c r="AM753" i="1"/>
  <c r="AN753" i="1" s="1"/>
  <c r="AM814" i="1"/>
  <c r="AN814" i="1" s="1"/>
  <c r="AM537" i="1"/>
  <c r="AN537" i="1" s="1"/>
  <c r="AM555" i="1"/>
  <c r="AN555" i="1" s="1"/>
  <c r="AM472" i="1"/>
  <c r="AN472" i="1" s="1"/>
  <c r="AM543" i="1"/>
  <c r="AN543" i="1" s="1"/>
  <c r="AM598" i="1"/>
  <c r="AN598" i="1" s="1"/>
  <c r="AM630" i="1"/>
  <c r="AN630" i="1" s="1"/>
  <c r="AM740" i="1"/>
  <c r="AN740" i="1" s="1"/>
  <c r="AM771" i="1"/>
  <c r="AN771" i="1" s="1"/>
  <c r="AM712" i="1"/>
  <c r="AN712" i="1" s="1"/>
  <c r="AM31" i="1"/>
  <c r="AN31" i="1" s="1"/>
  <c r="AM789" i="1"/>
  <c r="AN789" i="1" s="1"/>
  <c r="AM796" i="1"/>
  <c r="AN796" i="1" s="1"/>
  <c r="AM551" i="1"/>
  <c r="AN551" i="1" s="1"/>
  <c r="AM635" i="1"/>
  <c r="AN635" i="1" s="1"/>
  <c r="AM685" i="1"/>
  <c r="AN685" i="1" s="1"/>
  <c r="AM457" i="1"/>
  <c r="AN457" i="1" s="1"/>
  <c r="AM727" i="1"/>
  <c r="AN727" i="1" s="1"/>
  <c r="AM721" i="1"/>
  <c r="AN721" i="1" s="1"/>
  <c r="AM800" i="1"/>
  <c r="AN800" i="1" s="1"/>
  <c r="AM749" i="1"/>
  <c r="AN749" i="1" s="1"/>
  <c r="AM826" i="1"/>
  <c r="AN826" i="1" s="1"/>
  <c r="AM682" i="1"/>
  <c r="AN682" i="1" s="1"/>
  <c r="AM624" i="1"/>
  <c r="AN624" i="1" s="1"/>
  <c r="AM580" i="1"/>
  <c r="AN580" i="1" s="1"/>
  <c r="AM207" i="1"/>
  <c r="AN207" i="1" s="1"/>
  <c r="AM308" i="1"/>
  <c r="AN308" i="1" s="1"/>
  <c r="AM264" i="1"/>
  <c r="AN264" i="1" s="1"/>
  <c r="AM152" i="1"/>
  <c r="AN152" i="1" s="1"/>
  <c r="AM357" i="1"/>
  <c r="AN357" i="1" s="1"/>
  <c r="AM433" i="1"/>
  <c r="AN433" i="1" s="1"/>
  <c r="AM391" i="1"/>
  <c r="AN391" i="1" s="1"/>
  <c r="AM1084" i="1"/>
  <c r="AN1084" i="1" s="1"/>
  <c r="AM1074" i="1"/>
  <c r="AN1074" i="1" s="1"/>
  <c r="AM1068" i="1"/>
  <c r="AN1068" i="1" s="1"/>
  <c r="AM1058" i="1"/>
  <c r="AN1058" i="1" s="1"/>
  <c r="AM756" i="1"/>
  <c r="AN756" i="1" s="1"/>
  <c r="AM1041" i="1"/>
  <c r="AN1041" i="1" s="1"/>
  <c r="AM976" i="1"/>
  <c r="AN976" i="1" s="1"/>
  <c r="AM927" i="1"/>
  <c r="AN927" i="1" s="1"/>
  <c r="AM644" i="1"/>
  <c r="AN644" i="1" s="1"/>
  <c r="AM476" i="1"/>
  <c r="AN476" i="1" s="1"/>
  <c r="AM865" i="1"/>
  <c r="AN865" i="1" s="1"/>
  <c r="AM690" i="1"/>
  <c r="AN690" i="1" s="1"/>
  <c r="AM640" i="1"/>
  <c r="AN640" i="1" s="1"/>
  <c r="AM812" i="1"/>
  <c r="AN812" i="1" s="1"/>
  <c r="AM144" i="1"/>
  <c r="AN144" i="1" s="1"/>
  <c r="AM400" i="1"/>
  <c r="AN400" i="1" s="1"/>
  <c r="AM375" i="1"/>
  <c r="AN375" i="1" s="1"/>
  <c r="AM154" i="1"/>
  <c r="AN154" i="1" s="1"/>
  <c r="AM417" i="1"/>
  <c r="AN417" i="1" s="1"/>
  <c r="AM79" i="1"/>
  <c r="AN79" i="1" s="1"/>
  <c r="AM368" i="1"/>
  <c r="AN368" i="1" s="1"/>
  <c r="AM215" i="1"/>
  <c r="AN215" i="1" s="1"/>
  <c r="AM1143" i="1"/>
  <c r="AN1143" i="1" s="1"/>
  <c r="AM93" i="1"/>
  <c r="AN93" i="1" s="1"/>
  <c r="AM66" i="1"/>
  <c r="AN66" i="1" s="1"/>
  <c r="AM160" i="1"/>
  <c r="AN160" i="1" s="1"/>
  <c r="AM206" i="1"/>
  <c r="AN206" i="1" s="1"/>
  <c r="AM661" i="1"/>
  <c r="AN661" i="1" s="1"/>
  <c r="AM437" i="1"/>
  <c r="AN437" i="1" s="1"/>
  <c r="AM335" i="1"/>
  <c r="AN335" i="1" s="1"/>
  <c r="AM172" i="1"/>
  <c r="AN172" i="1" s="1"/>
  <c r="AM188" i="1"/>
  <c r="AN188" i="1" s="1"/>
  <c r="AM329" i="1"/>
  <c r="AN329" i="1" s="1"/>
  <c r="AM1126" i="1"/>
  <c r="AN1126" i="1" s="1"/>
  <c r="AM992" i="1"/>
  <c r="AN992" i="1" s="1"/>
  <c r="AM432" i="1"/>
  <c r="AN432" i="1" s="1"/>
  <c r="AM130" i="1"/>
  <c r="AN130" i="1" s="1"/>
  <c r="AM84" i="1"/>
  <c r="AN84" i="1" s="1"/>
  <c r="AM423" i="1"/>
  <c r="AN423" i="1" s="1"/>
  <c r="AM422" i="1"/>
  <c r="AN422" i="1" s="1"/>
  <c r="AM39" i="1"/>
  <c r="AN39" i="1" s="1"/>
  <c r="AM289" i="1"/>
  <c r="AN289" i="1" s="1"/>
  <c r="AM13" i="1"/>
  <c r="AN13" i="1" s="1"/>
  <c r="AM7" i="1"/>
  <c r="AN7" i="1" s="1"/>
  <c r="AM373" i="1"/>
  <c r="AN373" i="1" s="1"/>
  <c r="AM109" i="1"/>
  <c r="AN109" i="1" s="1"/>
  <c r="AM114" i="1"/>
  <c r="AN114" i="1" s="1"/>
  <c r="AM363" i="1"/>
  <c r="AN363" i="1" s="1"/>
  <c r="AM288" i="1"/>
  <c r="AN288" i="1" s="1"/>
  <c r="AM409" i="1"/>
  <c r="AN409" i="1" s="1"/>
  <c r="AM222" i="1"/>
  <c r="AN222" i="1" s="1"/>
  <c r="AM370" i="1"/>
  <c r="AN370" i="1" s="1"/>
  <c r="AM5" i="1"/>
  <c r="AN5" i="1" s="1"/>
  <c r="AM362" i="1"/>
  <c r="AN362" i="1" s="1"/>
  <c r="AM218" i="1"/>
  <c r="AN218" i="1" s="1"/>
  <c r="AM327" i="1"/>
  <c r="AN327" i="1" s="1"/>
  <c r="AM312" i="1"/>
  <c r="AN312" i="1" s="1"/>
  <c r="AM378" i="1"/>
  <c r="AN378" i="1" s="1"/>
  <c r="AM1107" i="1"/>
  <c r="AN1107" i="1" s="1"/>
  <c r="AM361" i="1"/>
  <c r="AN361" i="1" s="1"/>
  <c r="AM430" i="1"/>
  <c r="AN430" i="1" s="1"/>
  <c r="AM238" i="1"/>
  <c r="AN238" i="1" s="1"/>
  <c r="AM86" i="1"/>
  <c r="AN86" i="1" s="1"/>
  <c r="AM1103" i="1"/>
  <c r="AN1103" i="1" s="1"/>
  <c r="AM268" i="1"/>
  <c r="AN268" i="1" s="1"/>
  <c r="AM68" i="1"/>
  <c r="AN68" i="1" s="1"/>
  <c r="AM280" i="1"/>
  <c r="AN280" i="1" s="1"/>
  <c r="AM28" i="1"/>
  <c r="AN28" i="1" s="1"/>
  <c r="AM176" i="1"/>
  <c r="AN176" i="1" s="1"/>
  <c r="AM387" i="1"/>
  <c r="AN387" i="1" s="1"/>
  <c r="AM163" i="1"/>
  <c r="AN163" i="1" s="1"/>
  <c r="AM279" i="1"/>
  <c r="AN279" i="1" s="1"/>
  <c r="AM227" i="1"/>
  <c r="AN227" i="1" s="1"/>
  <c r="AM34" i="1"/>
  <c r="AN34" i="1" s="1"/>
  <c r="AM304" i="1"/>
  <c r="AN304" i="1" s="1"/>
  <c r="AM246" i="1"/>
  <c r="AN246" i="1" s="1"/>
  <c r="AM261" i="1"/>
  <c r="AN261" i="1" s="1"/>
  <c r="AM316" i="1"/>
  <c r="AN316" i="1" s="1"/>
  <c r="AM211" i="1"/>
  <c r="AN211" i="1" s="1"/>
  <c r="AM157" i="1"/>
  <c r="AN157" i="1" s="1"/>
  <c r="AM168" i="1"/>
  <c r="AN168" i="1" s="1"/>
  <c r="AM175" i="1"/>
  <c r="AN175" i="1" s="1"/>
  <c r="AM202" i="1"/>
  <c r="AN202" i="1" s="1"/>
  <c r="AM386" i="1"/>
  <c r="AN386" i="1" s="1"/>
  <c r="AM342" i="1"/>
  <c r="AN342" i="1" s="1"/>
  <c r="AM759" i="1"/>
  <c r="AN759" i="1" s="1"/>
  <c r="AM702" i="1"/>
  <c r="AN702" i="1" s="1"/>
  <c r="AM557" i="1"/>
  <c r="AN557" i="1" s="1"/>
  <c r="AM989" i="1"/>
  <c r="AN989" i="1" s="1"/>
  <c r="AM1015" i="1"/>
  <c r="AN1015" i="1" s="1"/>
  <c r="AM445" i="1"/>
  <c r="AN445" i="1" s="1"/>
  <c r="AM968" i="1"/>
  <c r="AN968" i="1" s="1"/>
  <c r="AM967" i="1"/>
  <c r="AN967" i="1" s="1"/>
  <c r="AM960" i="1"/>
  <c r="AN960" i="1" s="1"/>
  <c r="AM1062" i="1"/>
  <c r="AN1062" i="1" s="1"/>
  <c r="AM1057" i="1"/>
  <c r="AN1057" i="1" s="1"/>
  <c r="AM615" i="1"/>
  <c r="AN615" i="1" s="1"/>
  <c r="AM1049" i="1"/>
  <c r="AN1049" i="1" s="1"/>
  <c r="AM982" i="1"/>
  <c r="AN982" i="1" s="1"/>
  <c r="AM905" i="1"/>
  <c r="AN905" i="1" s="1"/>
  <c r="AM963" i="1"/>
  <c r="AN963" i="1" s="1"/>
  <c r="AM1008" i="1"/>
  <c r="AN1008" i="1" s="1"/>
  <c r="AM1039" i="1"/>
  <c r="AN1039" i="1" s="1"/>
  <c r="AM1037" i="1"/>
  <c r="AN1037" i="1" s="1"/>
  <c r="AM616" i="1"/>
  <c r="AN616" i="1" s="1"/>
  <c r="AM946" i="1"/>
  <c r="AN946" i="1" s="1"/>
  <c r="AM571" i="1"/>
  <c r="AN571" i="1" s="1"/>
  <c r="AM535" i="1"/>
  <c r="AN535" i="1" s="1"/>
  <c r="AM954" i="1"/>
  <c r="AN954" i="1" s="1"/>
  <c r="AM892" i="1"/>
  <c r="AN892" i="1" s="1"/>
  <c r="AM916" i="1"/>
  <c r="AN916" i="1" s="1"/>
  <c r="AM875" i="1"/>
  <c r="AN875" i="1" s="1"/>
  <c r="AM1029" i="1"/>
  <c r="AN1029" i="1" s="1"/>
  <c r="AM913" i="1"/>
  <c r="AN913" i="1" s="1"/>
  <c r="AM529" i="1"/>
  <c r="AN529" i="1" s="1"/>
  <c r="AM594" i="1"/>
  <c r="AN594" i="1" s="1"/>
  <c r="AM962" i="1"/>
  <c r="AN962" i="1" s="1"/>
  <c r="AM837" i="1"/>
  <c r="AN837" i="1" s="1"/>
  <c r="AM882" i="1"/>
  <c r="AN882" i="1" s="1"/>
  <c r="AM844" i="1"/>
  <c r="AN844" i="1" s="1"/>
  <c r="AM859" i="1"/>
  <c r="AN859" i="1" s="1"/>
  <c r="AM512" i="1"/>
  <c r="AN512" i="1" s="1"/>
  <c r="AM612" i="1"/>
  <c r="AN612" i="1" s="1"/>
  <c r="AM832" i="1"/>
  <c r="AN832" i="1" s="1"/>
  <c r="AM513" i="1"/>
  <c r="AN513" i="1" s="1"/>
  <c r="AM866" i="1"/>
  <c r="AN866" i="1" s="1"/>
  <c r="AM643" i="1"/>
  <c r="AN643" i="1" s="1"/>
  <c r="AM593" i="1"/>
  <c r="AN593" i="1" s="1"/>
  <c r="AM479" i="1"/>
  <c r="AN479" i="1" s="1"/>
  <c r="AM645" i="1"/>
  <c r="AN645" i="1" s="1"/>
  <c r="AM504" i="1"/>
  <c r="AN504" i="1" s="1"/>
  <c r="AM822" i="1"/>
  <c r="AN822" i="1" s="1"/>
  <c r="AM501" i="1"/>
  <c r="AN501" i="1" s="1"/>
  <c r="AM655" i="1"/>
  <c r="AN655" i="1" s="1"/>
  <c r="AM484" i="1"/>
  <c r="AN484" i="1" s="1"/>
  <c r="AM583" i="1"/>
  <c r="AN583" i="1" s="1"/>
  <c r="AM591" i="1"/>
  <c r="AN591" i="1" s="1"/>
  <c r="AM507" i="1"/>
  <c r="AN507" i="1" s="1"/>
  <c r="AM508" i="1"/>
  <c r="AN508" i="1" s="1"/>
  <c r="AM528" i="1"/>
  <c r="AN528" i="1" s="1"/>
  <c r="AM456" i="1"/>
  <c r="AN456" i="1" s="1"/>
  <c r="AM495" i="1"/>
  <c r="AN495" i="1" s="1"/>
  <c r="AM815" i="1"/>
  <c r="AN815" i="1" s="1"/>
  <c r="AM790" i="1"/>
  <c r="AN790" i="1" s="1"/>
  <c r="AM526" i="1"/>
  <c r="AN526" i="1" s="1"/>
  <c r="AM121" i="1"/>
  <c r="AN121" i="1" s="1"/>
  <c r="AM533" i="1"/>
  <c r="AN533" i="1" s="1"/>
  <c r="AM785" i="1"/>
  <c r="AN785" i="1" s="1"/>
  <c r="AM1023" i="1"/>
  <c r="AN1023" i="1" s="1"/>
  <c r="AM897" i="1"/>
  <c r="AN897" i="1" s="1"/>
  <c r="AM570" i="1"/>
  <c r="AN570" i="1" s="1"/>
  <c r="AM156" i="1"/>
  <c r="AN156" i="1" s="1"/>
  <c r="AM807" i="1"/>
  <c r="AN807" i="1" s="1"/>
  <c r="AM788" i="1"/>
  <c r="AN788" i="1" s="1"/>
  <c r="AM1020" i="1"/>
  <c r="AN1020" i="1" s="1"/>
  <c r="AM833" i="1"/>
  <c r="AN833" i="1" s="1"/>
  <c r="AM738" i="1"/>
  <c r="AN738" i="1" s="1"/>
  <c r="AM929" i="1"/>
  <c r="AN929" i="1" s="1"/>
  <c r="AM902" i="1"/>
  <c r="AN902" i="1" s="1"/>
  <c r="AM45" i="1"/>
  <c r="AN45" i="1" s="1"/>
  <c r="AM44" i="1"/>
  <c r="AN44" i="1" s="1"/>
  <c r="AM271" i="1"/>
  <c r="AN271" i="1" s="1"/>
  <c r="AM240" i="1"/>
  <c r="AN240" i="1" s="1"/>
  <c r="AM53" i="1"/>
  <c r="AN53" i="1" s="1"/>
  <c r="AM349" i="1"/>
  <c r="AN349" i="1" s="1"/>
  <c r="AM440" i="1"/>
  <c r="AN440" i="1" s="1"/>
  <c r="AM746" i="1"/>
  <c r="AN746" i="1" s="1"/>
  <c r="AM778" i="1"/>
  <c r="AN778" i="1" s="1"/>
  <c r="AM1072" i="1"/>
  <c r="AN1072" i="1" s="1"/>
  <c r="AM1064" i="1"/>
  <c r="AN1064" i="1" s="1"/>
  <c r="AM1056" i="1"/>
  <c r="AN1056" i="1" s="1"/>
  <c r="AM680" i="1"/>
  <c r="AN680" i="1" s="1"/>
  <c r="AM674" i="1"/>
  <c r="AN674" i="1" s="1"/>
  <c r="AM700" i="1"/>
  <c r="AN700" i="1" s="1"/>
  <c r="AM548" i="1"/>
  <c r="AN548" i="1" s="1"/>
  <c r="AM994" i="1"/>
  <c r="AN994" i="1" s="1"/>
  <c r="AM953" i="1"/>
  <c r="AN953" i="1" s="1"/>
  <c r="AM878" i="1"/>
  <c r="AN878" i="1" s="1"/>
  <c r="AM686" i="1"/>
  <c r="AN686" i="1" s="1"/>
  <c r="AM817" i="1"/>
  <c r="AN817" i="1" s="1"/>
  <c r="AM478" i="1"/>
  <c r="AN478" i="1" s="1"/>
  <c r="AM9" i="1"/>
  <c r="AN9" i="1" s="1"/>
  <c r="AM134" i="1"/>
  <c r="AN134" i="1" s="1"/>
  <c r="AM122" i="1"/>
  <c r="AN122" i="1" s="1"/>
  <c r="AM410" i="1"/>
  <c r="AN410" i="1" s="1"/>
  <c r="AM41" i="1"/>
  <c r="AN41" i="1" s="1"/>
  <c r="AM364" i="1"/>
  <c r="AN364" i="1" s="1"/>
  <c r="AM1141" i="1"/>
  <c r="AN1141" i="1" s="1"/>
  <c r="AM161" i="1"/>
  <c r="AN161" i="1" s="1"/>
  <c r="AM153" i="1"/>
  <c r="AN153" i="1" s="1"/>
  <c r="AM43" i="1"/>
  <c r="AN43" i="1" s="1"/>
  <c r="AM159" i="1"/>
  <c r="AN159" i="1" s="1"/>
  <c r="AM438" i="1"/>
  <c r="AN438" i="1" s="1"/>
  <c r="AM341" i="1"/>
  <c r="AN341" i="1" s="1"/>
  <c r="AM1022" i="1"/>
  <c r="AN1022" i="1" s="1"/>
  <c r="AM1128" i="1"/>
  <c r="AN1128" i="1" s="1"/>
  <c r="AM1127" i="1"/>
  <c r="AN1127" i="1" s="1"/>
  <c r="AM290" i="1"/>
  <c r="AN290" i="1" s="1"/>
  <c r="AM436" i="1"/>
  <c r="AN436" i="1" s="1"/>
  <c r="AM307" i="1"/>
  <c r="AN307" i="1" s="1"/>
  <c r="AM704" i="1"/>
  <c r="AN704" i="1" s="1"/>
  <c r="AM87" i="1"/>
  <c r="AN87" i="1" s="1"/>
  <c r="AM339" i="1"/>
  <c r="AN339" i="1" s="1"/>
  <c r="AM431" i="1"/>
  <c r="AN431" i="1" s="1"/>
  <c r="AM214" i="1"/>
  <c r="AN214" i="1" s="1"/>
  <c r="AM186" i="1"/>
  <c r="AN186" i="1" s="1"/>
  <c r="AM158" i="1"/>
  <c r="AN158" i="1" s="1"/>
  <c r="AM107" i="1"/>
  <c r="AN107" i="1" s="1"/>
  <c r="AM92" i="1"/>
  <c r="AN92" i="1" s="1"/>
  <c r="AM195" i="1"/>
  <c r="AN195" i="1" s="1"/>
  <c r="AM219" i="1"/>
  <c r="AN219" i="1" s="1"/>
  <c r="AM51" i="1"/>
  <c r="AN51" i="1" s="1"/>
  <c r="AM319" i="1"/>
  <c r="AN319" i="1" s="1"/>
  <c r="AM118" i="1"/>
  <c r="AN118" i="1" s="1"/>
  <c r="AM3" i="1"/>
  <c r="AN3" i="1" s="1"/>
  <c r="AM58" i="1"/>
  <c r="AN58" i="1" s="1"/>
  <c r="AM166" i="1"/>
  <c r="AN166" i="1" s="1"/>
  <c r="AM383" i="1"/>
  <c r="AN383" i="1" s="1"/>
  <c r="AM103" i="1"/>
  <c r="AN103" i="1" s="1"/>
  <c r="AM165" i="1"/>
  <c r="AN165" i="1" s="1"/>
  <c r="AM407" i="1"/>
  <c r="AN407" i="1" s="1"/>
  <c r="AM70" i="1"/>
  <c r="AN70" i="1" s="1"/>
  <c r="AM35" i="1"/>
  <c r="AN35" i="1" s="1"/>
  <c r="AM401" i="1"/>
  <c r="AN401" i="1" s="1"/>
  <c r="AM164" i="1"/>
  <c r="AN164" i="1" s="1"/>
  <c r="AM47" i="1"/>
  <c r="AN47" i="1" s="1"/>
  <c r="AM249" i="1"/>
  <c r="AN249" i="1" s="1"/>
  <c r="AM286" i="1"/>
  <c r="AN286" i="1" s="1"/>
  <c r="AM69" i="1"/>
  <c r="AN69" i="1" s="1"/>
  <c r="AM419" i="1"/>
  <c r="AN419" i="1" s="1"/>
  <c r="AM415" i="1"/>
  <c r="AN415" i="1" s="1"/>
  <c r="AM265" i="1"/>
  <c r="AN265" i="1" s="1"/>
  <c r="AM396" i="1"/>
  <c r="AN396" i="1" s="1"/>
  <c r="AM98" i="1"/>
  <c r="AN98" i="1" s="1"/>
  <c r="AM117" i="1"/>
  <c r="AN117" i="1" s="1"/>
  <c r="AM199" i="1"/>
  <c r="AN199" i="1" s="1"/>
  <c r="AM237" i="1"/>
  <c r="AN237" i="1" s="1"/>
  <c r="AM77" i="1"/>
  <c r="AN77" i="1" s="1"/>
  <c r="AM224" i="1"/>
  <c r="AN224" i="1" s="1"/>
  <c r="AM241" i="1"/>
  <c r="AN241" i="1" s="1"/>
  <c r="AM376" i="1"/>
  <c r="AN376" i="1" s="1"/>
  <c r="AM32" i="1"/>
  <c r="AN32" i="1" s="1"/>
  <c r="AM102" i="1"/>
  <c r="AN102" i="1" s="1"/>
  <c r="AM76" i="1"/>
  <c r="AN76" i="1" s="1"/>
  <c r="AM321" i="1"/>
  <c r="AN321" i="1" s="1"/>
  <c r="AM260" i="1"/>
  <c r="AN260" i="1" s="1"/>
  <c r="AM343" i="1"/>
  <c r="AN343" i="1" s="1"/>
  <c r="AM12" i="1"/>
  <c r="AN12" i="1" s="1"/>
  <c r="AM110" i="1"/>
  <c r="AN110" i="1" s="1"/>
  <c r="AM657" i="1"/>
  <c r="AN657" i="1" s="1"/>
  <c r="AM1090" i="1"/>
  <c r="AN1090" i="1" s="1"/>
  <c r="AM1088" i="1"/>
  <c r="AN1088" i="1" s="1"/>
  <c r="AM399" i="1"/>
  <c r="AN399" i="1" s="1"/>
  <c r="AM988" i="1"/>
  <c r="AN988" i="1" s="1"/>
  <c r="AM1076" i="1"/>
  <c r="AN1076" i="1" s="1"/>
  <c r="AM861" i="1"/>
  <c r="AN861" i="1" s="1"/>
  <c r="AM541" i="1"/>
  <c r="AN541" i="1" s="1"/>
  <c r="AM167" i="1"/>
  <c r="AN167" i="1" s="1"/>
  <c r="AM769" i="1"/>
  <c r="AN769" i="1" s="1"/>
  <c r="AM1060" i="1"/>
  <c r="AN1060" i="1" s="1"/>
  <c r="AM985" i="1"/>
  <c r="AN985" i="1" s="1"/>
  <c r="AM1053" i="1"/>
  <c r="AN1053" i="1" s="1"/>
  <c r="AM1048" i="1"/>
  <c r="AN1048" i="1" s="1"/>
  <c r="AM585" i="1"/>
  <c r="AN585" i="1" s="1"/>
  <c r="AM792" i="1"/>
  <c r="AN792" i="1" s="1"/>
  <c r="AM999" i="1"/>
  <c r="AN999" i="1" s="1"/>
  <c r="AM930" i="1"/>
  <c r="AN930" i="1" s="1"/>
  <c r="AM588" i="1"/>
  <c r="AN588" i="1" s="1"/>
  <c r="AM794" i="1"/>
  <c r="AN794" i="1" s="1"/>
  <c r="AM609" i="1"/>
  <c r="AN609" i="1" s="1"/>
  <c r="AM1034" i="1"/>
  <c r="AN1034" i="1" s="1"/>
  <c r="AM852" i="1"/>
  <c r="AN852" i="1" s="1"/>
  <c r="AM595" i="1"/>
  <c r="AN595" i="1" s="1"/>
  <c r="AM974" i="1"/>
  <c r="AN974" i="1" s="1"/>
  <c r="AM795" i="1"/>
  <c r="AN795" i="1" s="1"/>
  <c r="AM842" i="1"/>
  <c r="AN842" i="1" s="1"/>
  <c r="AM797" i="1"/>
  <c r="AN797" i="1" s="1"/>
  <c r="AM908" i="1"/>
  <c r="AN908" i="1" s="1"/>
  <c r="AM491" i="1"/>
  <c r="AN491" i="1" s="1"/>
  <c r="AM862" i="1"/>
  <c r="AN862" i="1" s="1"/>
  <c r="AM587" i="1"/>
  <c r="AN587" i="1" s="1"/>
  <c r="AM900" i="1"/>
  <c r="AN900" i="1" s="1"/>
  <c r="AM622" i="1"/>
  <c r="AN622" i="1" s="1"/>
  <c r="AM912" i="1"/>
  <c r="AN912" i="1" s="1"/>
  <c r="AM860" i="1"/>
  <c r="AN860" i="1" s="1"/>
  <c r="AM846" i="1"/>
  <c r="AN846" i="1" s="1"/>
  <c r="AM569" i="1"/>
  <c r="AN569" i="1" s="1"/>
  <c r="AM573" i="1"/>
  <c r="AN573" i="1" s="1"/>
  <c r="AM1028" i="1"/>
  <c r="AN1028" i="1" s="1"/>
  <c r="AM566" i="1"/>
  <c r="AN566" i="1" s="1"/>
  <c r="AM847" i="1"/>
  <c r="AN847" i="1" s="1"/>
  <c r="AM838" i="1"/>
  <c r="AN838" i="1" s="1"/>
  <c r="AM494" i="1"/>
  <c r="AN494" i="1" s="1"/>
  <c r="AM819" i="1"/>
  <c r="AN819" i="1" s="1"/>
  <c r="AM779" i="1"/>
  <c r="AN779" i="1" s="1"/>
  <c r="AM515" i="1"/>
  <c r="AN515" i="1" s="1"/>
  <c r="AM546" i="1"/>
  <c r="AN546" i="1" s="1"/>
  <c r="AM761" i="1"/>
  <c r="AN761" i="1" s="1"/>
  <c r="AM708" i="1"/>
  <c r="AN708" i="1" s="1"/>
  <c r="AM522" i="1"/>
  <c r="AN522" i="1" s="1"/>
  <c r="AM544" i="1"/>
  <c r="AN544" i="1" s="1"/>
  <c r="AM475" i="1"/>
  <c r="AN475" i="1" s="1"/>
  <c r="AM602" i="1"/>
  <c r="AN602" i="1" s="1"/>
  <c r="AM454" i="1"/>
  <c r="AN454" i="1" s="1"/>
  <c r="AM604" i="1"/>
  <c r="AN604" i="1" s="1"/>
  <c r="AM503" i="1"/>
  <c r="AN503" i="1" s="1"/>
  <c r="AM497" i="1"/>
  <c r="AN497" i="1" s="1"/>
  <c r="AM1025" i="1"/>
  <c r="AN1025" i="1" s="1"/>
  <c r="AM561" i="1"/>
  <c r="AN561" i="1" s="1"/>
  <c r="AM903" i="1"/>
  <c r="AN903" i="1" s="1"/>
  <c r="AM140" i="1"/>
  <c r="AN140" i="1" s="1"/>
  <c r="AM574" i="1"/>
  <c r="AN574" i="1" s="1"/>
  <c r="AM1024" i="1"/>
  <c r="AN1024" i="1" s="1"/>
  <c r="AM608" i="1"/>
  <c r="AN608" i="1" s="1"/>
  <c r="AM606" i="1"/>
  <c r="AN606" i="1" s="1"/>
  <c r="AM534" i="1"/>
  <c r="AN534" i="1" s="1"/>
  <c r="AM808" i="1"/>
  <c r="AN808" i="1" s="1"/>
  <c r="AM802" i="1"/>
  <c r="AN802" i="1" s="1"/>
  <c r="AM684" i="1"/>
  <c r="AN684" i="1" s="1"/>
  <c r="AM793" i="1"/>
  <c r="AN793" i="1" s="1"/>
  <c r="AM466" i="1"/>
  <c r="AN466" i="1" s="1"/>
  <c r="AM1051" i="1"/>
  <c r="AN1051" i="1" s="1"/>
  <c r="AM890" i="1"/>
  <c r="AN890" i="1" s="1"/>
  <c r="AM564" i="1"/>
  <c r="AN564" i="1" s="1"/>
  <c r="AM97" i="1"/>
  <c r="AN97" i="1" s="1"/>
  <c r="AM57" i="1"/>
  <c r="AN57" i="1" s="1"/>
  <c r="AM347" i="1"/>
  <c r="AN347" i="1" s="1"/>
  <c r="AM1019" i="1"/>
  <c r="AN1019" i="1" s="1"/>
  <c r="AM1095" i="1"/>
  <c r="AN1095" i="1" s="1"/>
  <c r="AM428" i="1"/>
  <c r="AN428" i="1" s="1"/>
  <c r="AM1094" i="1"/>
  <c r="AN1094" i="1" s="1"/>
  <c r="AM236" i="1"/>
  <c r="AN236" i="1" s="1"/>
  <c r="AM714" i="1"/>
  <c r="AN714" i="1" s="1"/>
  <c r="AM1070" i="1"/>
  <c r="AN1070" i="1" s="1"/>
  <c r="AM743" i="1"/>
  <c r="AN743" i="1" s="1"/>
  <c r="AM1054" i="1"/>
  <c r="AN1054" i="1" s="1"/>
  <c r="AM581" i="1"/>
  <c r="AN581" i="1" s="1"/>
  <c r="AM734" i="1"/>
  <c r="AN734" i="1" s="1"/>
  <c r="AM945" i="1"/>
  <c r="AN945" i="1" s="1"/>
  <c r="AM973" i="1"/>
  <c r="AN973" i="1" s="1"/>
  <c r="AM527" i="1"/>
  <c r="AN527" i="1" s="1"/>
  <c r="AM885" i="1"/>
  <c r="AN885" i="1" s="1"/>
  <c r="AM518" i="1"/>
  <c r="AN518" i="1" s="1"/>
  <c r="AM728" i="1"/>
  <c r="AN728" i="1" s="1"/>
  <c r="AM490" i="1"/>
  <c r="AN490" i="1" s="1"/>
  <c r="AM346" i="1"/>
  <c r="AN346" i="1" s="1"/>
  <c r="AM4" i="1"/>
  <c r="AN4" i="1" s="1"/>
  <c r="AM324" i="1"/>
  <c r="AN324" i="1" s="1"/>
  <c r="AM374" i="1"/>
  <c r="AN374" i="1" s="1"/>
  <c r="AM151" i="1"/>
  <c r="AN151" i="1" s="1"/>
  <c r="AM940" i="1"/>
  <c r="AN940" i="1" s="1"/>
  <c r="AM1139" i="1"/>
  <c r="AN1139" i="1" s="1"/>
  <c r="AM452" i="1"/>
  <c r="AN452" i="1" s="1"/>
  <c r="AM775" i="1"/>
  <c r="AN775" i="1" s="1"/>
  <c r="AM100" i="1"/>
  <c r="AN100" i="1" s="1"/>
  <c r="AM367" i="1"/>
  <c r="AN367" i="1" s="1"/>
  <c r="AM277" i="1"/>
  <c r="AN277" i="1" s="1"/>
  <c r="AM273" i="1"/>
  <c r="AN273" i="1" s="1"/>
  <c r="AM787" i="1"/>
  <c r="AN787" i="1" s="1"/>
  <c r="AM64" i="1"/>
  <c r="AN64" i="1" s="1"/>
  <c r="AM115" i="1"/>
  <c r="AN115" i="1" s="1"/>
  <c r="AM332" i="1"/>
  <c r="AN332" i="1" s="1"/>
  <c r="AM78" i="1"/>
  <c r="AN78" i="1" s="1"/>
  <c r="AM1123" i="1"/>
  <c r="AN1123" i="1" s="1"/>
  <c r="AM676" i="1"/>
  <c r="AN676" i="1" s="1"/>
  <c r="AM187" i="1"/>
  <c r="AN187" i="1" s="1"/>
  <c r="AM18" i="1"/>
  <c r="AN18" i="1" s="1"/>
  <c r="AM1115" i="1"/>
  <c r="AN1115" i="1" s="1"/>
  <c r="AM82" i="1"/>
  <c r="AN82" i="1" s="1"/>
  <c r="AM196" i="1"/>
  <c r="AN196" i="1" s="1"/>
  <c r="AM244" i="1"/>
  <c r="AN244" i="1" s="1"/>
  <c r="AM301" i="1"/>
  <c r="AN301" i="1" s="1"/>
  <c r="AM333" i="1"/>
  <c r="AN333" i="1" s="1"/>
  <c r="AM209" i="1"/>
  <c r="AN209" i="1" s="1"/>
  <c r="AM762" i="1"/>
  <c r="AN762" i="1" s="1"/>
  <c r="AM299" i="1"/>
  <c r="AN299" i="1" s="1"/>
  <c r="AM106" i="1"/>
  <c r="AN106" i="1" s="1"/>
  <c r="AM99" i="1"/>
  <c r="AN99" i="1" s="1"/>
  <c r="AM372" i="1"/>
  <c r="AN372" i="1" s="1"/>
  <c r="AM344" i="1"/>
  <c r="AN344" i="1" s="1"/>
  <c r="AM71" i="1"/>
  <c r="AN71" i="1" s="1"/>
  <c r="AM56" i="1"/>
  <c r="AN56" i="1" s="1"/>
  <c r="AM408" i="1"/>
  <c r="AN408" i="1" s="1"/>
  <c r="AM178" i="1"/>
  <c r="AN178" i="1" s="1"/>
  <c r="AM141" i="1"/>
  <c r="AN141" i="1" s="1"/>
  <c r="AM338" i="1"/>
  <c r="AN338" i="1" s="1"/>
  <c r="AM371" i="1"/>
  <c r="AN371" i="1" s="1"/>
  <c r="AM49" i="1"/>
  <c r="AN49" i="1" s="1"/>
  <c r="AM177" i="1"/>
  <c r="AN177" i="1" s="1"/>
  <c r="AM1104" i="1"/>
  <c r="AN1104" i="1" s="1"/>
  <c r="AM228" i="1"/>
  <c r="AN228" i="1" s="1"/>
  <c r="AM1102" i="1"/>
  <c r="AN1102" i="1" s="1"/>
  <c r="AM365" i="1"/>
  <c r="AN365" i="1" s="1"/>
  <c r="AM61" i="1"/>
  <c r="AN61" i="1" s="1"/>
  <c r="AM200" i="1"/>
  <c r="AN200" i="1" s="1"/>
  <c r="AM221" i="1"/>
  <c r="AN221" i="1" s="1"/>
  <c r="AM381" i="1"/>
  <c r="AN381" i="1" s="1"/>
  <c r="AM15" i="1"/>
  <c r="AN15" i="1" s="1"/>
  <c r="AM450" i="1"/>
  <c r="AN450" i="1" s="1"/>
  <c r="AM442" i="1"/>
  <c r="AN442" i="1" s="1"/>
  <c r="AM1099" i="1"/>
  <c r="AN1099" i="1" s="1"/>
  <c r="AM297" i="1"/>
  <c r="AN297" i="1" s="1"/>
  <c r="AM6" i="1"/>
  <c r="AN6" i="1" s="1"/>
  <c r="AM42" i="1"/>
  <c r="AN42" i="1" s="1"/>
  <c r="AM449" i="1"/>
  <c r="AN449" i="1" s="1"/>
  <c r="AM198" i="1"/>
  <c r="AN198" i="1" s="1"/>
  <c r="AM448" i="1"/>
  <c r="AN448" i="1" s="1"/>
  <c r="AM101" i="1"/>
  <c r="AN101" i="1" s="1"/>
  <c r="AM146" i="1"/>
  <c r="AN146" i="1" s="1"/>
  <c r="AM326" i="1"/>
  <c r="AN326" i="1" s="1"/>
  <c r="AM67" i="1"/>
  <c r="AN67" i="1" s="1"/>
  <c r="AM266" i="1"/>
  <c r="AN266" i="1" s="1"/>
  <c r="AM1093" i="1"/>
  <c r="AN1093" i="1" s="1"/>
  <c r="AM1089" i="1"/>
  <c r="AN1089" i="1" s="1"/>
  <c r="AM1087" i="1"/>
  <c r="AN1087" i="1" s="1"/>
  <c r="AM1082" i="1"/>
  <c r="AN1082" i="1" s="1"/>
  <c r="AM1080" i="1"/>
  <c r="AN1080" i="1" s="1"/>
  <c r="AM1073" i="1"/>
  <c r="AN1073" i="1" s="1"/>
  <c r="AM1069" i="1"/>
  <c r="AN1069" i="1" s="1"/>
  <c r="AM1065" i="1"/>
  <c r="AN1065" i="1" s="1"/>
  <c r="AM603" i="1"/>
  <c r="AN603" i="1" s="1"/>
  <c r="AM959" i="1"/>
  <c r="AN959" i="1" s="1"/>
  <c r="AM921" i="1"/>
  <c r="AN921" i="1" s="1"/>
  <c r="AM984" i="1"/>
  <c r="AN984" i="1" s="1"/>
  <c r="AM711" i="1"/>
  <c r="AN711" i="1" s="1"/>
  <c r="AM577" i="1"/>
  <c r="AN577" i="1" s="1"/>
  <c r="AM1046" i="1"/>
  <c r="AN1046" i="1" s="1"/>
  <c r="AM739" i="1"/>
  <c r="AN739" i="1" s="1"/>
  <c r="AM979" i="1"/>
  <c r="AN979" i="1" s="1"/>
  <c r="AM760" i="1"/>
  <c r="AN760" i="1" s="1"/>
  <c r="AM937" i="1"/>
  <c r="AN937" i="1" s="1"/>
  <c r="AM1006" i="1"/>
  <c r="AN1006" i="1" s="1"/>
  <c r="AM947" i="1"/>
  <c r="AN947" i="1" s="1"/>
  <c r="AM786" i="1"/>
  <c r="AN786" i="1" s="1"/>
  <c r="AM944" i="1"/>
  <c r="AN944" i="1" s="1"/>
  <c r="AM552" i="1"/>
  <c r="AN552" i="1" s="1"/>
  <c r="AM925" i="1"/>
  <c r="AN925" i="1" s="1"/>
  <c r="AM943" i="1"/>
  <c r="AN943" i="1" s="1"/>
  <c r="AM710" i="1"/>
  <c r="AN710" i="1" s="1"/>
  <c r="AM909" i="1"/>
  <c r="AN909" i="1" s="1"/>
  <c r="AM907" i="1"/>
  <c r="AN907" i="1" s="1"/>
  <c r="AM888" i="1"/>
  <c r="AN888" i="1" s="1"/>
  <c r="AM763" i="1"/>
  <c r="AN763" i="1" s="1"/>
  <c r="AM618" i="1"/>
  <c r="AN618" i="1" s="1"/>
  <c r="AM918" i="1"/>
  <c r="AN918" i="1" s="1"/>
  <c r="AM576" i="1"/>
  <c r="AN576" i="1" s="1"/>
  <c r="AM906" i="1"/>
  <c r="AN906" i="1" s="1"/>
  <c r="AM845" i="1"/>
  <c r="AN845" i="1" s="1"/>
  <c r="AM670" i="1"/>
  <c r="AN670" i="1" s="1"/>
  <c r="AM619" i="1"/>
  <c r="AN619" i="1" s="1"/>
  <c r="AM596" i="1"/>
  <c r="AN596" i="1" s="1"/>
  <c r="AM597" i="1"/>
  <c r="AN597" i="1" s="1"/>
  <c r="AM699" i="1"/>
  <c r="AN699" i="1" s="1"/>
  <c r="AM480" i="1"/>
  <c r="AN480" i="1" s="1"/>
  <c r="AM621" i="1"/>
  <c r="AN621" i="1" s="1"/>
  <c r="AM492" i="1"/>
  <c r="AN492" i="1" s="1"/>
  <c r="AM560" i="1"/>
  <c r="AN560" i="1" s="1"/>
  <c r="AM717" i="1"/>
  <c r="AN717" i="1" s="1"/>
  <c r="AM554" i="1"/>
  <c r="AN554" i="1" s="1"/>
  <c r="AM825" i="1"/>
  <c r="AN825" i="1" s="1"/>
  <c r="AM542" i="1"/>
  <c r="AN542" i="1" s="1"/>
  <c r="AM579" i="1"/>
  <c r="AN579" i="1" s="1"/>
  <c r="AM455" i="1"/>
  <c r="AN455" i="1" s="1"/>
  <c r="AM589" i="1"/>
  <c r="AN589" i="1" s="1"/>
  <c r="AM510" i="1"/>
  <c r="AN510" i="1" s="1"/>
  <c r="AM629" i="1"/>
  <c r="AN629" i="1" s="1"/>
  <c r="AM607" i="1"/>
  <c r="AN607" i="1" s="1"/>
  <c r="AM531" i="1"/>
  <c r="AN531" i="1" s="1"/>
  <c r="AM666" i="1"/>
  <c r="AN666" i="1" s="1"/>
  <c r="AM485" i="1"/>
  <c r="AN485" i="1" s="1"/>
  <c r="AM806" i="1"/>
  <c r="AN806" i="1" s="1"/>
  <c r="AM1027" i="1"/>
  <c r="AN1027" i="1" s="1"/>
  <c r="AM894" i="1"/>
  <c r="AN894" i="1" s="1"/>
  <c r="AM553" i="1"/>
  <c r="AN553" i="1" s="1"/>
  <c r="AM578" i="1"/>
  <c r="AN578" i="1" s="1"/>
  <c r="AM683" i="1"/>
  <c r="AN683" i="1" s="1"/>
  <c r="AM798" i="1"/>
  <c r="AN798" i="1" s="1"/>
  <c r="AM805" i="1"/>
  <c r="AN805" i="1" s="1"/>
  <c r="AM896" i="1"/>
  <c r="AN896" i="1" s="1"/>
  <c r="AM181" i="1"/>
  <c r="AN181" i="1" s="1"/>
  <c r="AM801" i="1"/>
  <c r="AN801" i="1" s="1"/>
  <c r="AM799" i="1"/>
  <c r="AN799" i="1" s="1"/>
  <c r="AM652" i="1"/>
  <c r="AN652" i="1" s="1"/>
  <c r="AM483" i="1"/>
  <c r="AN483" i="1" s="1"/>
  <c r="AM949" i="1"/>
  <c r="AN949" i="1" s="1"/>
  <c r="AM895" i="1"/>
  <c r="AN895" i="1" s="1"/>
  <c r="AM650" i="1"/>
  <c r="AN650" i="1" s="1"/>
  <c r="AM85" i="1"/>
  <c r="AN85" i="1" s="1"/>
  <c r="AM405" i="1"/>
  <c r="AN405" i="1" s="1"/>
  <c r="AM499" i="1"/>
  <c r="AN499" i="1" s="1"/>
  <c r="AM1136" i="1"/>
  <c r="AN1136" i="1" s="1"/>
  <c r="AM128" i="1"/>
  <c r="AN128" i="1" s="1"/>
  <c r="AM356" i="1"/>
  <c r="AN356" i="1" s="1"/>
  <c r="AM1016" i="1"/>
  <c r="AN1016" i="1" s="1"/>
  <c r="AM1085" i="1"/>
  <c r="AN1085" i="1" s="1"/>
  <c r="AM1078" i="1"/>
  <c r="AN1078" i="1" s="1"/>
  <c r="AM922" i="1"/>
  <c r="AN922" i="1" s="1"/>
  <c r="AM309" i="1"/>
  <c r="AN309" i="1" s="1"/>
  <c r="AM997" i="1"/>
  <c r="AN997" i="1" s="1"/>
  <c r="AM1044" i="1"/>
  <c r="AN1044" i="1" s="1"/>
  <c r="AM978" i="1"/>
  <c r="AN978" i="1" s="1"/>
  <c r="AM952" i="1"/>
  <c r="AN952" i="1" s="1"/>
  <c r="AM791" i="1"/>
  <c r="AN791" i="1" s="1"/>
  <c r="AM879" i="1"/>
  <c r="AN879" i="1" s="1"/>
  <c r="AM741" i="1"/>
  <c r="AN741" i="1" s="1"/>
  <c r="AM841" i="1"/>
  <c r="AN841" i="1" s="1"/>
  <c r="AM458" i="1"/>
  <c r="AN458" i="1" s="1"/>
  <c r="AM816" i="1"/>
  <c r="AN816" i="1" s="1"/>
  <c r="AL183" i="1"/>
  <c r="S183" i="1" s="1"/>
  <c r="AL180" i="1"/>
  <c r="S180" i="1" s="1"/>
  <c r="AL232" i="1"/>
  <c r="S232" i="1" s="1"/>
  <c r="AL426" i="1"/>
  <c r="S426" i="1" s="1"/>
  <c r="AL155" i="1"/>
  <c r="S155" i="1" s="1"/>
  <c r="AL191" i="1"/>
  <c r="S191" i="1" s="1"/>
  <c r="AL411" i="1"/>
  <c r="S411" i="1" s="1"/>
  <c r="AL360" i="1"/>
  <c r="S360" i="1" s="1"/>
  <c r="AL993" i="1"/>
  <c r="S993" i="1" s="1"/>
  <c r="AL190" i="1"/>
  <c r="S190" i="1" s="1"/>
  <c r="AL413" i="1"/>
  <c r="S413" i="1" s="1"/>
  <c r="AL1142" i="1"/>
  <c r="S1142" i="1" s="1"/>
  <c r="AL781" i="1"/>
  <c r="S781" i="1" s="1"/>
  <c r="AL259" i="1"/>
  <c r="S259" i="1" s="1"/>
  <c r="AL285" i="1"/>
  <c r="S285" i="1" s="1"/>
  <c r="AL444" i="1"/>
  <c r="S444" i="1" s="1"/>
  <c r="AL1133" i="1"/>
  <c r="S1133" i="1" s="1"/>
  <c r="AL230" i="1"/>
  <c r="S230" i="1" s="1"/>
  <c r="AL120" i="1"/>
  <c r="S120" i="1" s="1"/>
  <c r="AL355" i="1"/>
  <c r="S355" i="1" s="1"/>
  <c r="AL1130" i="1"/>
  <c r="S1130" i="1" s="1"/>
  <c r="AL17" i="1"/>
  <c r="S17" i="1" s="1"/>
  <c r="AL96" i="1"/>
  <c r="S96" i="1" s="1"/>
  <c r="AL340" i="1"/>
  <c r="S340" i="1" s="1"/>
  <c r="AL171" i="1"/>
  <c r="S171" i="1" s="1"/>
  <c r="AL1125" i="1"/>
  <c r="S1125" i="1" s="1"/>
  <c r="AL189" i="1"/>
  <c r="S189" i="1" s="1"/>
  <c r="AL62" i="1"/>
  <c r="S62" i="1" s="1"/>
  <c r="AL138" i="1"/>
  <c r="S138" i="1" s="1"/>
  <c r="AL1119" i="1"/>
  <c r="S1119" i="1" s="1"/>
  <c r="AL328" i="1"/>
  <c r="S328" i="1" s="1"/>
  <c r="AL306" i="1"/>
  <c r="S306" i="1" s="1"/>
  <c r="AL270" i="1"/>
  <c r="S270" i="1" s="1"/>
  <c r="AL139" i="1"/>
  <c r="S139" i="1" s="1"/>
  <c r="AL20" i="1"/>
  <c r="S20" i="1" s="1"/>
  <c r="AL256" i="1"/>
  <c r="S256" i="1" s="1"/>
  <c r="AL1113" i="1"/>
  <c r="S1113" i="1" s="1"/>
  <c r="AL1112" i="1"/>
  <c r="S1112" i="1" s="1"/>
  <c r="AL732" i="1"/>
  <c r="S732" i="1" s="1"/>
  <c r="AL19" i="1"/>
  <c r="S19" i="1" s="1"/>
  <c r="AL421" i="1"/>
  <c r="S421" i="1" s="1"/>
  <c r="AL435" i="1"/>
  <c r="S435" i="1" s="1"/>
  <c r="AL366" i="1"/>
  <c r="S366" i="1" s="1"/>
  <c r="AL359" i="1"/>
  <c r="S359" i="1" s="1"/>
  <c r="AL281" i="1"/>
  <c r="S281" i="1" s="1"/>
  <c r="AL547" i="1"/>
  <c r="S547" i="1" s="1"/>
  <c r="AL1110" i="1"/>
  <c r="S1110" i="1" s="1"/>
  <c r="AL203" i="1"/>
  <c r="S203" i="1" s="1"/>
  <c r="AL269" i="1"/>
  <c r="S269" i="1" s="1"/>
  <c r="AL149" i="1"/>
  <c r="S149" i="1" s="1"/>
  <c r="AL255" i="1"/>
  <c r="S255" i="1" s="1"/>
  <c r="AL1108" i="1"/>
  <c r="S1108" i="1" s="1"/>
  <c r="AL36" i="1"/>
  <c r="S36" i="1" s="1"/>
  <c r="AL325" i="1"/>
  <c r="S325" i="1" s="1"/>
  <c r="AL112" i="1"/>
  <c r="S112" i="1" s="1"/>
  <c r="AL317" i="1"/>
  <c r="S317" i="1" s="1"/>
  <c r="AL254" i="1"/>
  <c r="S254" i="1" s="1"/>
  <c r="AL147" i="1"/>
  <c r="S147" i="1" s="1"/>
  <c r="AL1105" i="1"/>
  <c r="S1105" i="1" s="1"/>
  <c r="AL21" i="1"/>
  <c r="S21" i="1" s="1"/>
  <c r="AL434" i="1"/>
  <c r="S434" i="1" s="1"/>
  <c r="AL351" i="1"/>
  <c r="S351" i="1" s="1"/>
  <c r="AL294" i="1"/>
  <c r="S294" i="1" s="1"/>
  <c r="AL1101" i="1"/>
  <c r="S1101" i="1" s="1"/>
  <c r="AL758" i="1"/>
  <c r="S758" i="1" s="1"/>
  <c r="AL412" i="1"/>
  <c r="S412" i="1" s="1"/>
  <c r="AL358" i="1"/>
  <c r="S358" i="1" s="1"/>
  <c r="AL311" i="1"/>
  <c r="S311" i="1" s="1"/>
  <c r="AL116" i="1"/>
  <c r="S116" i="1" s="1"/>
  <c r="AL162" i="1"/>
  <c r="S162" i="1" s="1"/>
  <c r="AL14" i="1"/>
  <c r="S14" i="1" s="1"/>
  <c r="AL194" i="1"/>
  <c r="S194" i="1" s="1"/>
  <c r="AL293" i="1"/>
  <c r="S293" i="1" s="1"/>
  <c r="AL29" i="1"/>
  <c r="S29" i="1" s="1"/>
  <c r="AL208" i="1"/>
  <c r="S208" i="1" s="1"/>
  <c r="AL217" i="1"/>
  <c r="S217" i="1" s="1"/>
  <c r="AL90" i="1"/>
  <c r="S90" i="1" s="1"/>
  <c r="AL1096" i="1"/>
  <c r="S1096" i="1" s="1"/>
  <c r="AL129" i="1"/>
  <c r="S129" i="1" s="1"/>
  <c r="AL10" i="1"/>
  <c r="S10" i="1" s="1"/>
  <c r="AL315" i="1"/>
  <c r="S315" i="1" s="1"/>
  <c r="AL124" i="1"/>
  <c r="S124" i="1" s="1"/>
  <c r="AL182" i="1"/>
  <c r="S182" i="1" s="1"/>
  <c r="AL123" i="1"/>
  <c r="S123" i="1" s="1"/>
  <c r="AL310" i="1"/>
  <c r="S310" i="1" s="1"/>
  <c r="AL446" i="1"/>
  <c r="S446" i="1" s="1"/>
  <c r="AL991" i="1"/>
  <c r="S991" i="1" s="1"/>
  <c r="AL669" i="1"/>
  <c r="S669" i="1" s="1"/>
  <c r="AL990" i="1"/>
  <c r="S990" i="1" s="1"/>
  <c r="AL777" i="1"/>
  <c r="S777" i="1" s="1"/>
  <c r="AL1081" i="1"/>
  <c r="S1081" i="1" s="1"/>
  <c r="AL623" i="1"/>
  <c r="S623" i="1" s="1"/>
  <c r="AL1075" i="1"/>
  <c r="S1075" i="1" s="1"/>
  <c r="AL969" i="1"/>
  <c r="S969" i="1" s="1"/>
  <c r="AL1013" i="1"/>
  <c r="S1013" i="1" s="1"/>
  <c r="AL672" i="1"/>
  <c r="S672" i="1" s="1"/>
  <c r="AL1066" i="1"/>
  <c r="S1066" i="1" s="1"/>
  <c r="AL192" i="1"/>
  <c r="S192" i="1" s="1"/>
  <c r="AL145" i="1"/>
  <c r="S145" i="1" s="1"/>
  <c r="AL703" i="1"/>
  <c r="S703" i="1" s="1"/>
  <c r="AL1061" i="1"/>
  <c r="S1061" i="1" s="1"/>
  <c r="AL986" i="1"/>
  <c r="S986" i="1" s="1"/>
  <c r="AL395" i="1"/>
  <c r="S395" i="1" s="1"/>
  <c r="AL951" i="1"/>
  <c r="S951" i="1" s="1"/>
  <c r="AL586" i="1"/>
  <c r="S586" i="1" s="1"/>
  <c r="AL1052" i="1"/>
  <c r="S1052" i="1" s="1"/>
  <c r="AL744" i="1"/>
  <c r="S744" i="1" s="1"/>
  <c r="AL983" i="1"/>
  <c r="S983" i="1" s="1"/>
  <c r="AL675" i="1"/>
  <c r="S675" i="1" s="1"/>
  <c r="AL1010" i="1"/>
  <c r="S1010" i="1" s="1"/>
  <c r="AL957" i="1"/>
  <c r="S957" i="1" s="1"/>
  <c r="AL692" i="1"/>
  <c r="S692" i="1" s="1"/>
  <c r="AL1043" i="1"/>
  <c r="S1043" i="1" s="1"/>
  <c r="AL695" i="1"/>
  <c r="S695" i="1" s="1"/>
  <c r="AL1040" i="1"/>
  <c r="S1040" i="1" s="1"/>
  <c r="AL1038" i="1"/>
  <c r="S1038" i="1" s="1"/>
  <c r="AL920" i="1"/>
  <c r="S920" i="1" s="1"/>
  <c r="AL709" i="1"/>
  <c r="S709" i="1" s="1"/>
  <c r="AL935" i="1"/>
  <c r="S935" i="1" s="1"/>
  <c r="AL613" i="1"/>
  <c r="S613" i="1" s="1"/>
  <c r="AL975" i="1"/>
  <c r="S975" i="1" s="1"/>
  <c r="AL809" i="1"/>
  <c r="S809" i="1" s="1"/>
  <c r="AL803" i="1"/>
  <c r="S803" i="1" s="1"/>
  <c r="AL880" i="1"/>
  <c r="S880" i="1" s="1"/>
  <c r="AL1032" i="1"/>
  <c r="S1032" i="1" s="1"/>
  <c r="AL911" i="1"/>
  <c r="S911" i="1" s="1"/>
  <c r="AL893" i="1"/>
  <c r="S893" i="1" s="1"/>
  <c r="AL532" i="1"/>
  <c r="S532" i="1" s="1"/>
  <c r="AL605" i="1"/>
  <c r="S605" i="1" s="1"/>
  <c r="AL995" i="1"/>
  <c r="S995" i="1" s="1"/>
  <c r="AL910" i="1"/>
  <c r="S910" i="1" s="1"/>
  <c r="AL590" i="1"/>
  <c r="S590" i="1" s="1"/>
  <c r="AL668" i="1"/>
  <c r="S668" i="1" s="1"/>
  <c r="AL915" i="1"/>
  <c r="S915" i="1" s="1"/>
  <c r="AL914" i="1"/>
  <c r="S914" i="1" s="1"/>
  <c r="AL524" i="1"/>
  <c r="S524" i="1" s="1"/>
  <c r="AL971" i="1"/>
  <c r="S971" i="1" s="1"/>
  <c r="AL886" i="1"/>
  <c r="S886" i="1" s="1"/>
  <c r="AL867" i="1"/>
  <c r="S867" i="1" s="1"/>
  <c r="AL688" i="1"/>
  <c r="S688" i="1" s="1"/>
  <c r="AL942" i="1"/>
  <c r="S942" i="1" s="1"/>
  <c r="AL961" i="1"/>
  <c r="S961" i="1" s="1"/>
  <c r="AL736" i="1"/>
  <c r="S736" i="1" s="1"/>
  <c r="AL869" i="1"/>
  <c r="S869" i="1" s="1"/>
  <c r="AL641" i="1"/>
  <c r="S641" i="1" s="1"/>
  <c r="AL575" i="1"/>
  <c r="S575" i="1" s="1"/>
  <c r="AL872" i="1"/>
  <c r="S872" i="1" s="1"/>
  <c r="AL521" i="1"/>
  <c r="S521" i="1" s="1"/>
  <c r="AL874" i="1"/>
  <c r="S874" i="1" s="1"/>
  <c r="AL858" i="1"/>
  <c r="S858" i="1" s="1"/>
  <c r="AL701" i="1"/>
  <c r="S701" i="1" s="1"/>
  <c r="AL697" i="1"/>
  <c r="S697" i="1" s="1"/>
  <c r="AL562" i="1"/>
  <c r="S562" i="1" s="1"/>
  <c r="AL470" i="1"/>
  <c r="S470" i="1" s="1"/>
  <c r="AL563" i="1"/>
  <c r="S563" i="1" s="1"/>
  <c r="AL493" i="1"/>
  <c r="S493" i="1" s="1"/>
  <c r="AL463" i="1"/>
  <c r="S463" i="1" s="1"/>
  <c r="AL820" i="1"/>
  <c r="S820" i="1" s="1"/>
  <c r="AL517" i="1"/>
  <c r="S517" i="1" s="1"/>
  <c r="AL611" i="1"/>
  <c r="S611" i="1" s="1"/>
  <c r="AL473" i="1"/>
  <c r="S473" i="1" s="1"/>
  <c r="AL662" i="1"/>
  <c r="S662" i="1" s="1"/>
  <c r="AL462" i="1"/>
  <c r="S462" i="1" s="1"/>
  <c r="AL784" i="1"/>
  <c r="S784" i="1" s="1"/>
  <c r="AL824" i="1"/>
  <c r="S824" i="1" s="1"/>
  <c r="AL467" i="1"/>
  <c r="S467" i="1" s="1"/>
  <c r="AL461" i="1"/>
  <c r="S461" i="1" s="1"/>
  <c r="AL500" i="1"/>
  <c r="S500" i="1" s="1"/>
  <c r="AL486" i="1"/>
  <c r="S486" i="1" s="1"/>
  <c r="AL558" i="1"/>
  <c r="S558" i="1" s="1"/>
  <c r="AL648" i="1"/>
  <c r="S648" i="1" s="1"/>
  <c r="AL715" i="1"/>
  <c r="S715" i="1" s="1"/>
  <c r="AL468" i="1"/>
  <c r="S468" i="1" s="1"/>
  <c r="AL733" i="1"/>
  <c r="S733" i="1" s="1"/>
  <c r="AL559" i="1"/>
  <c r="S559" i="1" s="1"/>
  <c r="AL506" i="1"/>
  <c r="S506" i="1" s="1"/>
  <c r="AL556" i="1"/>
  <c r="S556" i="1" s="1"/>
  <c r="AL481" i="1"/>
  <c r="S481" i="1" s="1"/>
  <c r="AL550" i="1"/>
  <c r="S550" i="1" s="1"/>
  <c r="AL970" i="1"/>
  <c r="S970" i="1" s="1"/>
  <c r="AL693" i="1"/>
  <c r="S693" i="1" s="1"/>
  <c r="AL924" i="1"/>
  <c r="S924" i="1" s="1"/>
  <c r="AL649" i="1"/>
  <c r="S649" i="1" s="1"/>
  <c r="AL636" i="1"/>
  <c r="S636" i="1" s="1"/>
  <c r="AL664" i="1"/>
  <c r="S664" i="1" s="1"/>
  <c r="AL465" i="1"/>
  <c r="S465" i="1" s="1"/>
  <c r="AL1026" i="1"/>
  <c r="S1026" i="1" s="1"/>
  <c r="AL646" i="1"/>
  <c r="S646" i="1" s="1"/>
  <c r="AL1021" i="1"/>
  <c r="S1021" i="1" s="1"/>
  <c r="AL80" i="1"/>
  <c r="S80" i="1" s="1"/>
  <c r="AL348" i="1"/>
  <c r="S348" i="1" s="1"/>
  <c r="AL425" i="1"/>
  <c r="S425" i="1" s="1"/>
  <c r="AL337" i="1"/>
  <c r="S337" i="1" s="1"/>
  <c r="AL336" i="1"/>
  <c r="S336" i="1" s="1"/>
  <c r="AL226" i="1"/>
  <c r="S226" i="1" s="1"/>
  <c r="AL706" i="1"/>
  <c r="S706" i="1" s="1"/>
  <c r="AL634" i="1"/>
  <c r="S634" i="1" s="1"/>
  <c r="AL404" i="1"/>
  <c r="S404" i="1" s="1"/>
  <c r="AL1137" i="1"/>
  <c r="S1137" i="1" s="1"/>
  <c r="AL1018" i="1"/>
  <c r="S1018" i="1" s="1"/>
  <c r="AL451" i="1"/>
  <c r="S451" i="1" s="1"/>
  <c r="AL291" i="1"/>
  <c r="S291" i="1" s="1"/>
  <c r="AL1131" i="1"/>
  <c r="S1131" i="1" s="1"/>
  <c r="AL229" i="1"/>
  <c r="S229" i="1" s="1"/>
  <c r="AL205" i="1"/>
  <c r="S205" i="1" s="1"/>
  <c r="AL16" i="1"/>
  <c r="S16" i="1" s="1"/>
  <c r="AL276" i="1"/>
  <c r="S276" i="1" s="1"/>
  <c r="AL40" i="1"/>
  <c r="S40" i="1" s="1"/>
  <c r="AL1121" i="1"/>
  <c r="S1121" i="1" s="1"/>
  <c r="AL1118" i="1"/>
  <c r="S1118" i="1" s="1"/>
  <c r="AL384" i="1"/>
  <c r="S384" i="1" s="1"/>
  <c r="AL320" i="1"/>
  <c r="S320" i="1" s="1"/>
  <c r="AL352" i="1"/>
  <c r="S352" i="1" s="1"/>
  <c r="AL22" i="1"/>
  <c r="S22" i="1" s="1"/>
  <c r="AL296" i="1"/>
  <c r="S296" i="1" s="1"/>
  <c r="AL300" i="1"/>
  <c r="S300" i="1" s="1"/>
  <c r="AL750" i="1"/>
  <c r="S750" i="1" s="1"/>
  <c r="AL72" i="1"/>
  <c r="S72" i="1" s="1"/>
  <c r="AL105" i="1"/>
  <c r="S105" i="1" s="1"/>
  <c r="AL287" i="1"/>
  <c r="S287" i="1" s="1"/>
  <c r="AL420" i="1"/>
  <c r="S420" i="1" s="1"/>
  <c r="AL142" i="1"/>
  <c r="S142" i="1" s="1"/>
  <c r="AL318" i="1"/>
  <c r="S318" i="1" s="1"/>
  <c r="AL169" i="1"/>
  <c r="S169" i="1" s="1"/>
  <c r="AL136" i="1"/>
  <c r="S136" i="1" s="1"/>
  <c r="AL148" i="1"/>
  <c r="S148" i="1" s="1"/>
  <c r="AL1106" i="1"/>
  <c r="S1106" i="1" s="1"/>
  <c r="AL135" i="1"/>
  <c r="S135" i="1" s="1"/>
  <c r="AL350" i="1"/>
  <c r="S350" i="1" s="1"/>
  <c r="AL443" i="1"/>
  <c r="S443" i="1" s="1"/>
  <c r="AL720" i="1"/>
  <c r="S720" i="1" s="1"/>
  <c r="AL549" i="1"/>
  <c r="S549" i="1" s="1"/>
  <c r="AL1140" i="1"/>
  <c r="S1140" i="1" s="1"/>
  <c r="AL231" i="1"/>
  <c r="S231" i="1" s="1"/>
  <c r="AL748" i="1"/>
  <c r="S748" i="1" s="1"/>
  <c r="AL302" i="1"/>
  <c r="S302" i="1" s="1"/>
  <c r="AL1134" i="1"/>
  <c r="S1134" i="1" s="1"/>
  <c r="AL258" i="1"/>
  <c r="S258" i="1" s="1"/>
  <c r="AL257" i="1"/>
  <c r="S257" i="1" s="1"/>
  <c r="AL239" i="1"/>
  <c r="S239" i="1" s="1"/>
  <c r="AL398" i="1"/>
  <c r="S398" i="1" s="1"/>
  <c r="AL424" i="1"/>
  <c r="S424" i="1" s="1"/>
  <c r="AL323" i="1"/>
  <c r="S323" i="1" s="1"/>
  <c r="AL65" i="1"/>
  <c r="S65" i="1" s="1"/>
  <c r="AL204" i="1"/>
  <c r="S204" i="1" s="1"/>
  <c r="AL11" i="1"/>
  <c r="S11" i="1" s="1"/>
  <c r="AL568" i="1"/>
  <c r="S568" i="1" s="1"/>
  <c r="AL1124" i="1"/>
  <c r="S1124" i="1" s="1"/>
  <c r="AL334" i="1"/>
  <c r="S334" i="1" s="1"/>
  <c r="AL1122" i="1"/>
  <c r="S1122" i="1" s="1"/>
  <c r="AL1120" i="1"/>
  <c r="S1120" i="1" s="1"/>
  <c r="AL1117" i="1"/>
  <c r="S1117" i="1" s="1"/>
  <c r="AL119" i="1"/>
  <c r="S119" i="1" s="1"/>
  <c r="AL83" i="1"/>
  <c r="S83" i="1" s="1"/>
  <c r="AL1114" i="1"/>
  <c r="S1114" i="1" s="1"/>
  <c r="AL397" i="1"/>
  <c r="S397" i="1" s="1"/>
  <c r="AL677" i="1"/>
  <c r="S677" i="1" s="1"/>
  <c r="AL235" i="1"/>
  <c r="S235" i="1" s="1"/>
  <c r="AL170" i="1"/>
  <c r="S170" i="1" s="1"/>
  <c r="AL150" i="1"/>
  <c r="S150" i="1" s="1"/>
  <c r="AL402" i="1"/>
  <c r="S402" i="1" s="1"/>
  <c r="AL1111" i="1"/>
  <c r="S1111" i="1" s="1"/>
  <c r="AL379" i="1"/>
  <c r="S379" i="1" s="1"/>
  <c r="AL179" i="1"/>
  <c r="S179" i="1" s="1"/>
  <c r="AL193" i="1"/>
  <c r="S193" i="1" s="1"/>
  <c r="AL282" i="1"/>
  <c r="S282" i="1" s="1"/>
  <c r="AL30" i="1"/>
  <c r="S30" i="1" s="1"/>
  <c r="AL394" i="1"/>
  <c r="S394" i="1" s="1"/>
  <c r="AL104" i="1"/>
  <c r="S104" i="1" s="1"/>
  <c r="AL133" i="1"/>
  <c r="S133" i="1" s="1"/>
  <c r="AL37" i="1"/>
  <c r="S37" i="1" s="1"/>
  <c r="AL330" i="1"/>
  <c r="S330" i="1" s="1"/>
  <c r="AL27" i="1"/>
  <c r="S27" i="1" s="1"/>
  <c r="AL393" i="1"/>
  <c r="S393" i="1" s="1"/>
  <c r="AL24" i="1"/>
  <c r="S24" i="1" s="1"/>
  <c r="AL298" i="1"/>
  <c r="S298" i="1" s="1"/>
  <c r="AL213" i="1"/>
  <c r="S213" i="1" s="1"/>
  <c r="AL63" i="1"/>
  <c r="S63" i="1" s="1"/>
  <c r="AL382" i="1"/>
  <c r="S382" i="1" s="1"/>
  <c r="AL132" i="1"/>
  <c r="S132" i="1" s="1"/>
  <c r="AL262" i="1"/>
  <c r="S262" i="1" s="1"/>
  <c r="AL248" i="1"/>
  <c r="S248" i="1" s="1"/>
  <c r="AL242" i="1"/>
  <c r="S242" i="1" s="1"/>
  <c r="AL185" i="1"/>
  <c r="S185" i="1" s="1"/>
  <c r="AL275" i="1"/>
  <c r="S275" i="1" s="1"/>
  <c r="AL1100" i="1"/>
  <c r="S1100" i="1" s="1"/>
  <c r="AL94" i="1"/>
  <c r="S94" i="1" s="1"/>
  <c r="AL406" i="1"/>
  <c r="S406" i="1" s="1"/>
  <c r="AL322" i="1"/>
  <c r="S322" i="1" s="1"/>
  <c r="AL272" i="1"/>
  <c r="S272" i="1" s="1"/>
  <c r="AL247" i="1"/>
  <c r="S247" i="1" s="1"/>
  <c r="AL54" i="1"/>
  <c r="S54" i="1" s="1"/>
  <c r="AL33" i="1"/>
  <c r="S33" i="1" s="1"/>
  <c r="AL1097" i="1"/>
  <c r="S1097" i="1" s="1"/>
  <c r="AL184" i="1"/>
  <c r="S184" i="1" s="1"/>
  <c r="AL245" i="1"/>
  <c r="S245" i="1" s="1"/>
  <c r="AL441" i="1"/>
  <c r="S441" i="1" s="1"/>
  <c r="AL292" i="1"/>
  <c r="S292" i="1" s="1"/>
  <c r="AL253" i="1"/>
  <c r="S253" i="1" s="1"/>
  <c r="AL233" i="1"/>
  <c r="S233" i="1" s="1"/>
  <c r="AL392" i="1"/>
  <c r="S392" i="1" s="1"/>
  <c r="AL252" i="1"/>
  <c r="S252" i="1" s="1"/>
  <c r="AL447" i="1"/>
  <c r="S447" i="1" s="1"/>
  <c r="AL89" i="1"/>
  <c r="S89" i="1" s="1"/>
  <c r="AL174" i="1"/>
  <c r="S174" i="1" s="1"/>
  <c r="AL46" i="1"/>
  <c r="S46" i="1" s="1"/>
  <c r="AL1092" i="1"/>
  <c r="S1092" i="1" s="1"/>
  <c r="AL1091" i="1"/>
  <c r="S1091" i="1" s="1"/>
  <c r="AL633" i="1"/>
  <c r="S633" i="1" s="1"/>
  <c r="AL1086" i="1"/>
  <c r="S1086" i="1" s="1"/>
  <c r="AL1083" i="1"/>
  <c r="S1083" i="1" s="1"/>
  <c r="AL592" i="1"/>
  <c r="S592" i="1" s="1"/>
  <c r="AL923" i="1"/>
  <c r="S923" i="1" s="1"/>
  <c r="AL1077" i="1"/>
  <c r="S1077" i="1" s="1"/>
  <c r="AL173" i="1"/>
  <c r="S173" i="1" s="1"/>
  <c r="AL742" i="1"/>
  <c r="S742" i="1" s="1"/>
  <c r="AL705" i="1"/>
  <c r="S705" i="1" s="1"/>
  <c r="AL1012" i="1"/>
  <c r="S1012" i="1" s="1"/>
  <c r="AL755" i="1"/>
  <c r="S755" i="1" s="1"/>
  <c r="AL716" i="1"/>
  <c r="S716" i="1" s="1"/>
  <c r="AL1011" i="1"/>
  <c r="S1011" i="1" s="1"/>
  <c r="AL303" i="1"/>
  <c r="S303" i="1" s="1"/>
  <c r="AL1059" i="1"/>
  <c r="S1059" i="1" s="1"/>
  <c r="AL572" i="1"/>
  <c r="S572" i="1" s="1"/>
  <c r="AL719" i="1"/>
  <c r="S719" i="1" s="1"/>
  <c r="AL439" i="1"/>
  <c r="S439" i="1" s="1"/>
  <c r="AL538" i="1"/>
  <c r="S538" i="1" s="1"/>
  <c r="AL939" i="1"/>
  <c r="S939" i="1" s="1"/>
  <c r="AL950" i="1"/>
  <c r="S950" i="1" s="1"/>
  <c r="AL931" i="1"/>
  <c r="S931" i="1" s="1"/>
  <c r="AL958" i="1"/>
  <c r="S958" i="1" s="1"/>
  <c r="AL980" i="1"/>
  <c r="S980" i="1" s="1"/>
  <c r="AL1045" i="1"/>
  <c r="S1045" i="1" s="1"/>
  <c r="AL1009" i="1"/>
  <c r="S1009" i="1" s="1"/>
  <c r="AL730" i="1"/>
  <c r="S730" i="1" s="1"/>
  <c r="AL881" i="1"/>
  <c r="S881" i="1" s="1"/>
  <c r="AL696" i="1"/>
  <c r="S696" i="1" s="1"/>
  <c r="AL667" i="1"/>
  <c r="S667" i="1" s="1"/>
  <c r="AL936" i="1"/>
  <c r="S936" i="1" s="1"/>
  <c r="AL1007" i="1"/>
  <c r="S1007" i="1" s="1"/>
  <c r="AL977" i="1"/>
  <c r="S977" i="1" s="1"/>
  <c r="AL1035" i="1"/>
  <c r="S1035" i="1" s="1"/>
  <c r="AL1004" i="1"/>
  <c r="S1004" i="1" s="1"/>
  <c r="AL1000" i="1"/>
  <c r="S1000" i="1" s="1"/>
  <c r="AL638" i="1"/>
  <c r="S638" i="1" s="1"/>
  <c r="AL713" i="1"/>
  <c r="S713" i="1" s="1"/>
  <c r="AL614" i="1"/>
  <c r="S614" i="1" s="1"/>
  <c r="AL772" i="1"/>
  <c r="S772" i="1" s="1"/>
  <c r="AL774" i="1"/>
  <c r="S774" i="1" s="1"/>
  <c r="AL780" i="1"/>
  <c r="S780" i="1" s="1"/>
  <c r="AL972" i="1"/>
  <c r="S972" i="1" s="1"/>
  <c r="AL933" i="1"/>
  <c r="S933" i="1" s="1"/>
  <c r="AL876" i="1"/>
  <c r="S876" i="1" s="1"/>
  <c r="AL891" i="1"/>
  <c r="S891" i="1" s="1"/>
  <c r="AL932" i="1"/>
  <c r="S932" i="1" s="1"/>
  <c r="AL707" i="1"/>
  <c r="S707" i="1" s="1"/>
  <c r="AL539" i="1"/>
  <c r="S539" i="1" s="1"/>
  <c r="AL1002" i="1"/>
  <c r="S1002" i="1" s="1"/>
  <c r="AL883" i="1"/>
  <c r="S883" i="1" s="1"/>
  <c r="AL663" i="1"/>
  <c r="S663" i="1" s="1"/>
  <c r="AL698" i="1"/>
  <c r="S698" i="1" s="1"/>
  <c r="AL626" i="1"/>
  <c r="S626" i="1" s="1"/>
  <c r="AL658" i="1"/>
  <c r="S658" i="1" s="1"/>
  <c r="AL855" i="1"/>
  <c r="S855" i="1" s="1"/>
  <c r="AL582" i="1"/>
  <c r="S582" i="1" s="1"/>
  <c r="AL941" i="1"/>
  <c r="S941" i="1" s="1"/>
  <c r="AL766" i="1"/>
  <c r="S766" i="1" s="1"/>
  <c r="AL853" i="1"/>
  <c r="S853" i="1" s="1"/>
  <c r="AL498" i="1"/>
  <c r="S498" i="1" s="1"/>
  <c r="AL854" i="1"/>
  <c r="S854" i="1" s="1"/>
  <c r="AL620" i="1"/>
  <c r="S620" i="1" s="1"/>
  <c r="AL850" i="1"/>
  <c r="S850" i="1" s="1"/>
  <c r="AL840" i="1"/>
  <c r="S840" i="1" s="1"/>
  <c r="AL831" i="1"/>
  <c r="S831" i="1" s="1"/>
  <c r="AL520" i="1"/>
  <c r="S520" i="1" s="1"/>
  <c r="AL653" i="1"/>
  <c r="S653" i="1" s="1"/>
  <c r="AL839" i="1"/>
  <c r="S839" i="1" s="1"/>
  <c r="AL843" i="1"/>
  <c r="S843" i="1" s="1"/>
  <c r="AL834" i="1"/>
  <c r="S834" i="1" s="1"/>
  <c r="AL502" i="1"/>
  <c r="S502" i="1" s="1"/>
  <c r="AL829" i="1"/>
  <c r="S829" i="1" s="1"/>
  <c r="AL827" i="1"/>
  <c r="S827" i="1" s="1"/>
  <c r="AL514" i="1"/>
  <c r="S514" i="1" s="1"/>
  <c r="AL631" i="1"/>
  <c r="S631" i="1" s="1"/>
  <c r="AL726" i="1"/>
  <c r="S726" i="1" s="1"/>
  <c r="AL511" i="1"/>
  <c r="S511" i="1" s="1"/>
  <c r="AL823" i="1"/>
  <c r="S823" i="1" s="1"/>
  <c r="AL617" i="1"/>
  <c r="S617" i="1" s="1"/>
  <c r="AL723" i="1"/>
  <c r="S723" i="1" s="1"/>
  <c r="AL678" i="1"/>
  <c r="S678" i="1" s="1"/>
  <c r="AL482" i="1"/>
  <c r="S482" i="1" s="1"/>
  <c r="AL505" i="1"/>
  <c r="S505" i="1" s="1"/>
  <c r="AL818" i="1"/>
  <c r="S818" i="1" s="1"/>
  <c r="AL477" i="1"/>
  <c r="S477" i="1" s="1"/>
  <c r="AM764" i="1"/>
  <c r="AN764" i="1" s="1"/>
  <c r="AL1014" i="1"/>
  <c r="S1014" i="1" s="1"/>
  <c r="AL1071" i="1"/>
  <c r="S1071" i="1" s="1"/>
  <c r="AL516" i="1"/>
  <c r="S516" i="1" s="1"/>
  <c r="AL1067" i="1"/>
  <c r="S1067" i="1" s="1"/>
  <c r="AL863" i="1"/>
  <c r="S863" i="1" s="1"/>
  <c r="AL731" i="1"/>
  <c r="S731" i="1" s="1"/>
  <c r="AL1063" i="1"/>
  <c r="S1063" i="1" s="1"/>
  <c r="AL625" i="1"/>
  <c r="S625" i="1" s="1"/>
  <c r="AL414" i="1"/>
  <c r="S414" i="1" s="1"/>
  <c r="AL773" i="1"/>
  <c r="S773" i="1" s="1"/>
  <c r="AL1055" i="1"/>
  <c r="S1055" i="1" s="1"/>
  <c r="AL1050" i="1"/>
  <c r="S1050" i="1" s="1"/>
  <c r="AL1047" i="1"/>
  <c r="S1047" i="1" s="1"/>
  <c r="AL981" i="1"/>
  <c r="S981" i="1" s="1"/>
  <c r="AL776" i="1"/>
  <c r="S776" i="1" s="1"/>
  <c r="AL868" i="1"/>
  <c r="S868" i="1" s="1"/>
  <c r="AL877" i="1"/>
  <c r="S877" i="1" s="1"/>
  <c r="AL948" i="1"/>
  <c r="S948" i="1" s="1"/>
  <c r="AL1042" i="1"/>
  <c r="S1042" i="1" s="1"/>
  <c r="AL673" i="1"/>
  <c r="S673" i="1" s="1"/>
  <c r="AL752" i="1"/>
  <c r="S752" i="1" s="1"/>
  <c r="AL938" i="1"/>
  <c r="S938" i="1" s="1"/>
  <c r="AL632" i="1"/>
  <c r="S632" i="1" s="1"/>
  <c r="AL689" i="1"/>
  <c r="S689" i="1" s="1"/>
  <c r="AL1005" i="1"/>
  <c r="S1005" i="1" s="1"/>
  <c r="AL1036" i="1"/>
  <c r="S1036" i="1" s="1"/>
  <c r="AL599" i="1"/>
  <c r="S599" i="1" s="1"/>
  <c r="AL729" i="1"/>
  <c r="S729" i="1" s="1"/>
  <c r="AL681" i="1"/>
  <c r="S681" i="1" s="1"/>
  <c r="AL889" i="1"/>
  <c r="S889" i="1" s="1"/>
  <c r="AL610" i="1"/>
  <c r="S610" i="1" s="1"/>
  <c r="AL934" i="1"/>
  <c r="S934" i="1" s="1"/>
  <c r="AL1003" i="1"/>
  <c r="S1003" i="1" s="1"/>
  <c r="AL1031" i="1"/>
  <c r="S1031" i="1" s="1"/>
  <c r="AL1030" i="1"/>
  <c r="S1030" i="1" s="1"/>
  <c r="AL747" i="1"/>
  <c r="S747" i="1" s="1"/>
  <c r="AL488" i="1"/>
  <c r="S488" i="1" s="1"/>
  <c r="AL770" i="1"/>
  <c r="S770" i="1" s="1"/>
  <c r="AL873" i="1"/>
  <c r="S873" i="1" s="1"/>
  <c r="AL998" i="1"/>
  <c r="S998" i="1" s="1"/>
  <c r="AL567" i="1"/>
  <c r="S567" i="1" s="1"/>
  <c r="AL887" i="1"/>
  <c r="S887" i="1" s="1"/>
  <c r="AL901" i="1"/>
  <c r="S901" i="1" s="1"/>
  <c r="AL857" i="1"/>
  <c r="S857" i="1" s="1"/>
  <c r="AL540" i="1"/>
  <c r="S540" i="1" s="1"/>
  <c r="AL754" i="1"/>
  <c r="S754" i="1" s="1"/>
  <c r="AL849" i="1"/>
  <c r="S849" i="1" s="1"/>
  <c r="AL870" i="1"/>
  <c r="S870" i="1" s="1"/>
  <c r="AL899" i="1"/>
  <c r="S899" i="1" s="1"/>
  <c r="AL694" i="1"/>
  <c r="S694" i="1" s="1"/>
  <c r="AL804" i="1"/>
  <c r="S804" i="1" s="1"/>
  <c r="AL584" i="1"/>
  <c r="S584" i="1" s="1"/>
  <c r="AL735" i="1"/>
  <c r="S735" i="1" s="1"/>
  <c r="AL565" i="1"/>
  <c r="S565" i="1" s="1"/>
  <c r="AL601" i="1"/>
  <c r="S601" i="1" s="1"/>
  <c r="AL884" i="1"/>
  <c r="S884" i="1" s="1"/>
  <c r="AL848" i="1"/>
  <c r="S848" i="1" s="1"/>
  <c r="AL851" i="1"/>
  <c r="S851" i="1" s="1"/>
  <c r="AL679" i="1"/>
  <c r="S679" i="1" s="1"/>
  <c r="AL639" i="1"/>
  <c r="S639" i="1" s="1"/>
  <c r="AL871" i="1"/>
  <c r="S871" i="1" s="1"/>
  <c r="AL830" i="1"/>
  <c r="S830" i="1" s="1"/>
  <c r="AL691" i="1"/>
  <c r="S691" i="1" s="1"/>
  <c r="AL836" i="1"/>
  <c r="S836" i="1" s="1"/>
  <c r="AL659" i="1"/>
  <c r="S659" i="1" s="1"/>
  <c r="AL687" i="1"/>
  <c r="S687" i="1" s="1"/>
  <c r="AL856" i="1"/>
  <c r="S856" i="1" s="1"/>
  <c r="AL628" i="1"/>
  <c r="S628" i="1" s="1"/>
  <c r="AL453" i="1"/>
  <c r="S453" i="1" s="1"/>
  <c r="AL469" i="1"/>
  <c r="S469" i="1" s="1"/>
  <c r="AL474" i="1"/>
  <c r="S474" i="1" s="1"/>
  <c r="AL654" i="1"/>
  <c r="S654" i="1" s="1"/>
  <c r="AL821" i="1"/>
  <c r="S821" i="1" s="1"/>
  <c r="AL519" i="1"/>
  <c r="S519" i="1" s="1"/>
  <c r="AL487" i="1"/>
  <c r="S487" i="1" s="1"/>
  <c r="AL813" i="1"/>
  <c r="S813" i="1" s="1"/>
  <c r="AL767" i="1"/>
  <c r="S767" i="1" s="1"/>
  <c r="AL489" i="1"/>
  <c r="S489" i="1" s="1"/>
  <c r="AL459" i="1"/>
  <c r="S459" i="1" s="1"/>
  <c r="AL811" i="1"/>
  <c r="S811" i="1" s="1"/>
  <c r="AL464" i="1"/>
  <c r="S464" i="1" s="1"/>
  <c r="AM519" i="1" l="1"/>
  <c r="AN519" i="1" s="1"/>
  <c r="AM694" i="1"/>
  <c r="AN694" i="1" s="1"/>
  <c r="AM1036" i="1"/>
  <c r="AN1036" i="1" s="1"/>
  <c r="AM731" i="1"/>
  <c r="AN731" i="1" s="1"/>
  <c r="AM829" i="1"/>
  <c r="AN829" i="1" s="1"/>
  <c r="AM539" i="1"/>
  <c r="AN539" i="1" s="1"/>
  <c r="AM1045" i="1"/>
  <c r="AN1045" i="1" s="1"/>
  <c r="AM923" i="1"/>
  <c r="AN923" i="1" s="1"/>
  <c r="AM441" i="1"/>
  <c r="AN441" i="1" s="1"/>
  <c r="AM262" i="1"/>
  <c r="AN262" i="1" s="1"/>
  <c r="AM402" i="1"/>
  <c r="AN402" i="1" s="1"/>
  <c r="AM204" i="1"/>
  <c r="AN204" i="1" s="1"/>
  <c r="AM1134" i="1"/>
  <c r="AN1134" i="1" s="1"/>
  <c r="AM350" i="1"/>
  <c r="AN350" i="1" s="1"/>
  <c r="AM136" i="1"/>
  <c r="AN136" i="1" s="1"/>
  <c r="AM750" i="1"/>
  <c r="AN750" i="1" s="1"/>
  <c r="AM1121" i="1"/>
  <c r="AN1121" i="1" s="1"/>
  <c r="AM337" i="1"/>
  <c r="AN337" i="1" s="1"/>
  <c r="AM664" i="1"/>
  <c r="AN664" i="1" s="1"/>
  <c r="AM556" i="1"/>
  <c r="AN556" i="1" s="1"/>
  <c r="AM486" i="1"/>
  <c r="AN486" i="1" s="1"/>
  <c r="AM473" i="1"/>
  <c r="AN473" i="1" s="1"/>
  <c r="AM562" i="1"/>
  <c r="AN562" i="1" s="1"/>
  <c r="AM641" i="1"/>
  <c r="AN641" i="1" s="1"/>
  <c r="AM971" i="1"/>
  <c r="AN971" i="1" s="1"/>
  <c r="AM605" i="1"/>
  <c r="AN605" i="1" s="1"/>
  <c r="AM975" i="1"/>
  <c r="AN975" i="1" s="1"/>
  <c r="AM1043" i="1"/>
  <c r="AN1043" i="1" s="1"/>
  <c r="AM586" i="1"/>
  <c r="AN586" i="1" s="1"/>
  <c r="AM1066" i="1"/>
  <c r="AN1066" i="1" s="1"/>
  <c r="AM990" i="1"/>
  <c r="AN990" i="1" s="1"/>
  <c r="AM315" i="1"/>
  <c r="AN315" i="1" s="1"/>
  <c r="AM293" i="1"/>
  <c r="AN293" i="1" s="1"/>
  <c r="AM758" i="1"/>
  <c r="AN758" i="1" s="1"/>
  <c r="AM254" i="1"/>
  <c r="AN254" i="1" s="1"/>
  <c r="AM269" i="1"/>
  <c r="AN269" i="1" s="1"/>
  <c r="AM421" i="1"/>
  <c r="AN421" i="1" s="1"/>
  <c r="AM1113" i="1"/>
  <c r="AN1113" i="1" s="1"/>
  <c r="AM138" i="1"/>
  <c r="AN138" i="1" s="1"/>
  <c r="AM1130" i="1"/>
  <c r="AN1130" i="1" s="1"/>
  <c r="AM1133" i="1"/>
  <c r="AN1133" i="1" s="1"/>
  <c r="AM993" i="1"/>
  <c r="AN993" i="1" s="1"/>
  <c r="AM183" i="1"/>
  <c r="AN183" i="1" s="1"/>
  <c r="AM464" i="1"/>
  <c r="AN464" i="1" s="1"/>
  <c r="AM767" i="1"/>
  <c r="AN767" i="1" s="1"/>
  <c r="AM821" i="1"/>
  <c r="AN821" i="1" s="1"/>
  <c r="AM453" i="1"/>
  <c r="AN453" i="1" s="1"/>
  <c r="AM659" i="1"/>
  <c r="AN659" i="1" s="1"/>
  <c r="AM871" i="1"/>
  <c r="AN871" i="1" s="1"/>
  <c r="AM848" i="1"/>
  <c r="AN848" i="1" s="1"/>
  <c r="AM735" i="1"/>
  <c r="AN735" i="1" s="1"/>
  <c r="AM899" i="1"/>
  <c r="AN899" i="1" s="1"/>
  <c r="AM540" i="1"/>
  <c r="AN540" i="1" s="1"/>
  <c r="AM567" i="1"/>
  <c r="AN567" i="1" s="1"/>
  <c r="AM488" i="1"/>
  <c r="AN488" i="1" s="1"/>
  <c r="AM1003" i="1"/>
  <c r="AN1003" i="1" s="1"/>
  <c r="AM681" i="1"/>
  <c r="AN681" i="1" s="1"/>
  <c r="AM1005" i="1"/>
  <c r="AN1005" i="1" s="1"/>
  <c r="AM752" i="1"/>
  <c r="AN752" i="1" s="1"/>
  <c r="AM877" i="1"/>
  <c r="AN877" i="1" s="1"/>
  <c r="AM1047" i="1"/>
  <c r="AN1047" i="1" s="1"/>
  <c r="AM414" i="1"/>
  <c r="AN414" i="1" s="1"/>
  <c r="AM863" i="1"/>
  <c r="AN863" i="1" s="1"/>
  <c r="AM1014" i="1"/>
  <c r="AN1014" i="1" s="1"/>
  <c r="AM505" i="1"/>
  <c r="AN505" i="1" s="1"/>
  <c r="AM617" i="1"/>
  <c r="AN617" i="1" s="1"/>
  <c r="AM631" i="1"/>
  <c r="AN631" i="1" s="1"/>
  <c r="AM502" i="1"/>
  <c r="AN502" i="1" s="1"/>
  <c r="AM653" i="1"/>
  <c r="AN653" i="1" s="1"/>
  <c r="AM850" i="1"/>
  <c r="AN850" i="1" s="1"/>
  <c r="AM853" i="1"/>
  <c r="AN853" i="1" s="1"/>
  <c r="AM855" i="1"/>
  <c r="AN855" i="1" s="1"/>
  <c r="AM663" i="1"/>
  <c r="AN663" i="1" s="1"/>
  <c r="AM707" i="1"/>
  <c r="AN707" i="1" s="1"/>
  <c r="AM933" i="1"/>
  <c r="AN933" i="1" s="1"/>
  <c r="AM772" i="1"/>
  <c r="AN772" i="1" s="1"/>
  <c r="AM1000" i="1"/>
  <c r="AN1000" i="1" s="1"/>
  <c r="AM1007" i="1"/>
  <c r="AN1007" i="1" s="1"/>
  <c r="AM881" i="1"/>
  <c r="AN881" i="1" s="1"/>
  <c r="AM980" i="1"/>
  <c r="AN980" i="1" s="1"/>
  <c r="AM939" i="1"/>
  <c r="AN939" i="1" s="1"/>
  <c r="AM572" i="1"/>
  <c r="AN572" i="1" s="1"/>
  <c r="AM716" i="1"/>
  <c r="AN716" i="1" s="1"/>
  <c r="AM742" i="1"/>
  <c r="AN742" i="1" s="1"/>
  <c r="AM592" i="1"/>
  <c r="AN592" i="1" s="1"/>
  <c r="AM1091" i="1"/>
  <c r="AN1091" i="1" s="1"/>
  <c r="AM89" i="1"/>
  <c r="AN89" i="1" s="1"/>
  <c r="AM233" i="1"/>
  <c r="AN233" i="1" s="1"/>
  <c r="AM245" i="1"/>
  <c r="AN245" i="1" s="1"/>
  <c r="AM54" i="1"/>
  <c r="AN54" i="1" s="1"/>
  <c r="AM406" i="1"/>
  <c r="AN406" i="1" s="1"/>
  <c r="AM185" i="1"/>
  <c r="AN185" i="1" s="1"/>
  <c r="AM132" i="1"/>
  <c r="AN132" i="1" s="1"/>
  <c r="AM298" i="1"/>
  <c r="AN298" i="1" s="1"/>
  <c r="AM330" i="1"/>
  <c r="AN330" i="1" s="1"/>
  <c r="AM394" i="1"/>
  <c r="AN394" i="1" s="1"/>
  <c r="AM179" i="1"/>
  <c r="AN179" i="1" s="1"/>
  <c r="AM150" i="1"/>
  <c r="AN150" i="1" s="1"/>
  <c r="AM397" i="1"/>
  <c r="AN397" i="1" s="1"/>
  <c r="AM1117" i="1"/>
  <c r="AN1117" i="1" s="1"/>
  <c r="AM1124" i="1"/>
  <c r="AN1124" i="1" s="1"/>
  <c r="AM65" i="1"/>
  <c r="AN65" i="1" s="1"/>
  <c r="AM239" i="1"/>
  <c r="AN239" i="1" s="1"/>
  <c r="AM302" i="1"/>
  <c r="AN302" i="1" s="1"/>
  <c r="AM549" i="1"/>
  <c r="AN549" i="1" s="1"/>
  <c r="AM135" i="1"/>
  <c r="AN135" i="1" s="1"/>
  <c r="AM169" i="1"/>
  <c r="AN169" i="1" s="1"/>
  <c r="AM287" i="1"/>
  <c r="AN287" i="1" s="1"/>
  <c r="AM300" i="1"/>
  <c r="AN300" i="1" s="1"/>
  <c r="AM320" i="1"/>
  <c r="AN320" i="1" s="1"/>
  <c r="AM40" i="1"/>
  <c r="AN40" i="1" s="1"/>
  <c r="AM229" i="1"/>
  <c r="AN229" i="1" s="1"/>
  <c r="AM1018" i="1"/>
  <c r="AN1018" i="1" s="1"/>
  <c r="AM706" i="1"/>
  <c r="AN706" i="1" s="1"/>
  <c r="AM425" i="1"/>
  <c r="AN425" i="1" s="1"/>
  <c r="AM646" i="1"/>
  <c r="AN646" i="1" s="1"/>
  <c r="AM636" i="1"/>
  <c r="AN636" i="1" s="1"/>
  <c r="AM970" i="1"/>
  <c r="AN970" i="1" s="1"/>
  <c r="AM506" i="1"/>
  <c r="AN506" i="1" s="1"/>
  <c r="AM715" i="1"/>
  <c r="AN715" i="1" s="1"/>
  <c r="AM500" i="1"/>
  <c r="AN500" i="1" s="1"/>
  <c r="AM784" i="1"/>
  <c r="AN784" i="1" s="1"/>
  <c r="AM611" i="1"/>
  <c r="AN611" i="1" s="1"/>
  <c r="AM493" i="1"/>
  <c r="AN493" i="1" s="1"/>
  <c r="AM697" i="1"/>
  <c r="AN697" i="1" s="1"/>
  <c r="AM521" i="1"/>
  <c r="AN521" i="1" s="1"/>
  <c r="AM869" i="1"/>
  <c r="AN869" i="1" s="1"/>
  <c r="AM688" i="1"/>
  <c r="AN688" i="1" s="1"/>
  <c r="AM524" i="1"/>
  <c r="AN524" i="1" s="1"/>
  <c r="AM590" i="1"/>
  <c r="AN590" i="1" s="1"/>
  <c r="AM532" i="1"/>
  <c r="AN532" i="1" s="1"/>
  <c r="AM880" i="1"/>
  <c r="AN880" i="1" s="1"/>
  <c r="AM613" i="1"/>
  <c r="AN613" i="1" s="1"/>
  <c r="AM1038" i="1"/>
  <c r="AN1038" i="1" s="1"/>
  <c r="AM692" i="1"/>
  <c r="AN692" i="1" s="1"/>
  <c r="AM983" i="1"/>
  <c r="AN983" i="1" s="1"/>
  <c r="AM951" i="1"/>
  <c r="AN951" i="1" s="1"/>
  <c r="AM703" i="1"/>
  <c r="AN703" i="1" s="1"/>
  <c r="AM672" i="1"/>
  <c r="AN672" i="1" s="1"/>
  <c r="AM623" i="1"/>
  <c r="AN623" i="1" s="1"/>
  <c r="AM669" i="1"/>
  <c r="AN669" i="1" s="1"/>
  <c r="AM123" i="1"/>
  <c r="AN123" i="1" s="1"/>
  <c r="AM10" i="1"/>
  <c r="AN10" i="1" s="1"/>
  <c r="AM217" i="1"/>
  <c r="AN217" i="1" s="1"/>
  <c r="AM194" i="1"/>
  <c r="AN194" i="1" s="1"/>
  <c r="AM311" i="1"/>
  <c r="AN311" i="1" s="1"/>
  <c r="AM1101" i="1"/>
  <c r="AN1101" i="1" s="1"/>
  <c r="AM21" i="1"/>
  <c r="AN21" i="1" s="1"/>
  <c r="AM317" i="1"/>
  <c r="AN317" i="1" s="1"/>
  <c r="AM1108" i="1"/>
  <c r="AN1108" i="1" s="1"/>
  <c r="AM203" i="1"/>
  <c r="AN203" i="1" s="1"/>
  <c r="AM359" i="1"/>
  <c r="AN359" i="1" s="1"/>
  <c r="AM19" i="1"/>
  <c r="AN19" i="1" s="1"/>
  <c r="AM256" i="1"/>
  <c r="AN256" i="1" s="1"/>
  <c r="AM306" i="1"/>
  <c r="AN306" i="1" s="1"/>
  <c r="AM62" i="1"/>
  <c r="AN62" i="1" s="1"/>
  <c r="AM340" i="1"/>
  <c r="AN340" i="1" s="1"/>
  <c r="AM355" i="1"/>
  <c r="AN355" i="1" s="1"/>
  <c r="AM444" i="1"/>
  <c r="AN444" i="1" s="1"/>
  <c r="AM1142" i="1"/>
  <c r="AN1142" i="1" s="1"/>
  <c r="AM360" i="1"/>
  <c r="AN360" i="1" s="1"/>
  <c r="AM426" i="1"/>
  <c r="AN426" i="1" s="1"/>
  <c r="AM489" i="1"/>
  <c r="AN489" i="1" s="1"/>
  <c r="AM687" i="1"/>
  <c r="AN687" i="1" s="1"/>
  <c r="AM565" i="1"/>
  <c r="AN565" i="1" s="1"/>
  <c r="AM887" i="1"/>
  <c r="AN887" i="1" s="1"/>
  <c r="AM889" i="1"/>
  <c r="AN889" i="1" s="1"/>
  <c r="AM948" i="1"/>
  <c r="AN948" i="1" s="1"/>
  <c r="AM1071" i="1"/>
  <c r="AN1071" i="1" s="1"/>
  <c r="AM723" i="1"/>
  <c r="AN723" i="1" s="1"/>
  <c r="AM840" i="1"/>
  <c r="AN840" i="1" s="1"/>
  <c r="AM582" i="1"/>
  <c r="AN582" i="1" s="1"/>
  <c r="AM876" i="1"/>
  <c r="AN876" i="1" s="1"/>
  <c r="AM977" i="1"/>
  <c r="AN977" i="1" s="1"/>
  <c r="AM950" i="1"/>
  <c r="AN950" i="1" s="1"/>
  <c r="AM705" i="1"/>
  <c r="AN705" i="1" s="1"/>
  <c r="AM174" i="1"/>
  <c r="AN174" i="1" s="1"/>
  <c r="AM322" i="1"/>
  <c r="AN322" i="1" s="1"/>
  <c r="AM213" i="1"/>
  <c r="AN213" i="1" s="1"/>
  <c r="AM677" i="1"/>
  <c r="AN677" i="1" s="1"/>
  <c r="AM205" i="1"/>
  <c r="AN205" i="1" s="1"/>
  <c r="AM811" i="1"/>
  <c r="AN811" i="1" s="1"/>
  <c r="AM628" i="1"/>
  <c r="AN628" i="1" s="1"/>
  <c r="AM639" i="1"/>
  <c r="AN639" i="1" s="1"/>
  <c r="AM584" i="1"/>
  <c r="AN584" i="1" s="1"/>
  <c r="AM857" i="1"/>
  <c r="AN857" i="1" s="1"/>
  <c r="AM747" i="1"/>
  <c r="AN747" i="1" s="1"/>
  <c r="AM934" i="1"/>
  <c r="AN934" i="1" s="1"/>
  <c r="AM729" i="1"/>
  <c r="AN729" i="1" s="1"/>
  <c r="AM673" i="1"/>
  <c r="AN673" i="1" s="1"/>
  <c r="AM868" i="1"/>
  <c r="AN868" i="1" s="1"/>
  <c r="AM1050" i="1"/>
  <c r="AN1050" i="1" s="1"/>
  <c r="AM625" i="1"/>
  <c r="AN625" i="1" s="1"/>
  <c r="AM1067" i="1"/>
  <c r="AN1067" i="1" s="1"/>
  <c r="AM482" i="1"/>
  <c r="AN482" i="1" s="1"/>
  <c r="AM514" i="1"/>
  <c r="AN514" i="1" s="1"/>
  <c r="AM620" i="1"/>
  <c r="AN620" i="1" s="1"/>
  <c r="AM658" i="1"/>
  <c r="AN658" i="1" s="1"/>
  <c r="AM932" i="1"/>
  <c r="AN932" i="1" s="1"/>
  <c r="AM614" i="1"/>
  <c r="AN614" i="1" s="1"/>
  <c r="AM936" i="1"/>
  <c r="AN936" i="1" s="1"/>
  <c r="AM958" i="1"/>
  <c r="AN958" i="1" s="1"/>
  <c r="AM1059" i="1"/>
  <c r="AN1059" i="1" s="1"/>
  <c r="AM173" i="1"/>
  <c r="AN173" i="1" s="1"/>
  <c r="AM1092" i="1"/>
  <c r="AN1092" i="1" s="1"/>
  <c r="AM253" i="1"/>
  <c r="AN253" i="1" s="1"/>
  <c r="AM247" i="1"/>
  <c r="AN247" i="1" s="1"/>
  <c r="AM242" i="1"/>
  <c r="AN242" i="1" s="1"/>
  <c r="AM37" i="1"/>
  <c r="AN37" i="1" s="1"/>
  <c r="AM379" i="1"/>
  <c r="AN379" i="1" s="1"/>
  <c r="AM1114" i="1"/>
  <c r="AN1114" i="1" s="1"/>
  <c r="AM568" i="1"/>
  <c r="AN568" i="1" s="1"/>
  <c r="AM257" i="1"/>
  <c r="AN257" i="1" s="1"/>
  <c r="AM720" i="1"/>
  <c r="AN720" i="1" s="1"/>
  <c r="AM105" i="1"/>
  <c r="AN105" i="1" s="1"/>
  <c r="AM384" i="1"/>
  <c r="AN384" i="1" s="1"/>
  <c r="AM1131" i="1"/>
  <c r="AN1131" i="1" s="1"/>
  <c r="AM226" i="1"/>
  <c r="AN226" i="1" s="1"/>
  <c r="AM1026" i="1"/>
  <c r="AN1026" i="1" s="1"/>
  <c r="AM550" i="1"/>
  <c r="AN550" i="1" s="1"/>
  <c r="AM648" i="1"/>
  <c r="AN648" i="1" s="1"/>
  <c r="AM462" i="1"/>
  <c r="AN462" i="1" s="1"/>
  <c r="AM701" i="1"/>
  <c r="AN701" i="1" s="1"/>
  <c r="AM736" i="1"/>
  <c r="AN736" i="1" s="1"/>
  <c r="AM914" i="1"/>
  <c r="AN914" i="1" s="1"/>
  <c r="AM893" i="1"/>
  <c r="AN893" i="1" s="1"/>
  <c r="AM1040" i="1"/>
  <c r="AN1040" i="1" s="1"/>
  <c r="AM744" i="1"/>
  <c r="AN744" i="1" s="1"/>
  <c r="AM145" i="1"/>
  <c r="AN145" i="1" s="1"/>
  <c r="AM1081" i="1"/>
  <c r="AN1081" i="1" s="1"/>
  <c r="AM182" i="1"/>
  <c r="AN182" i="1" s="1"/>
  <c r="AM208" i="1"/>
  <c r="AN208" i="1" s="1"/>
  <c r="AM294" i="1"/>
  <c r="AN294" i="1" s="1"/>
  <c r="AM112" i="1"/>
  <c r="AN112" i="1" s="1"/>
  <c r="AM1110" i="1"/>
  <c r="AN1110" i="1" s="1"/>
  <c r="AM732" i="1"/>
  <c r="AN732" i="1" s="1"/>
  <c r="AM328" i="1"/>
  <c r="AN328" i="1" s="1"/>
  <c r="AM96" i="1"/>
  <c r="AN96" i="1" s="1"/>
  <c r="AM413" i="1"/>
  <c r="AN413" i="1" s="1"/>
  <c r="AM232" i="1"/>
  <c r="AN232" i="1" s="1"/>
  <c r="AM469" i="1"/>
  <c r="AN469" i="1" s="1"/>
  <c r="AM851" i="1"/>
  <c r="AN851" i="1" s="1"/>
  <c r="AM754" i="1"/>
  <c r="AN754" i="1" s="1"/>
  <c r="AM770" i="1"/>
  <c r="AN770" i="1" s="1"/>
  <c r="AM938" i="1"/>
  <c r="AN938" i="1" s="1"/>
  <c r="AM981" i="1"/>
  <c r="AN981" i="1" s="1"/>
  <c r="AM818" i="1"/>
  <c r="AN818" i="1" s="1"/>
  <c r="AM726" i="1"/>
  <c r="AN726" i="1" s="1"/>
  <c r="AM498" i="1"/>
  <c r="AN498" i="1" s="1"/>
  <c r="AM698" i="1"/>
  <c r="AN698" i="1" s="1"/>
  <c r="AM638" i="1"/>
  <c r="AN638" i="1" s="1"/>
  <c r="AM696" i="1"/>
  <c r="AN696" i="1" s="1"/>
  <c r="AM719" i="1"/>
  <c r="AN719" i="1" s="1"/>
  <c r="AM633" i="1"/>
  <c r="AN633" i="1" s="1"/>
  <c r="AM392" i="1"/>
  <c r="AN392" i="1" s="1"/>
  <c r="AM275" i="1"/>
  <c r="AN275" i="1" s="1"/>
  <c r="AM27" i="1"/>
  <c r="AN27" i="1" s="1"/>
  <c r="AM193" i="1"/>
  <c r="AN193" i="1" s="1"/>
  <c r="AM334" i="1"/>
  <c r="AN334" i="1" s="1"/>
  <c r="AM634" i="1"/>
  <c r="AN634" i="1" s="1"/>
  <c r="AM813" i="1"/>
  <c r="AN813" i="1" s="1"/>
  <c r="AM654" i="1"/>
  <c r="AN654" i="1" s="1"/>
  <c r="AM836" i="1"/>
  <c r="AN836" i="1" s="1"/>
  <c r="AM884" i="1"/>
  <c r="AN884" i="1" s="1"/>
  <c r="AM870" i="1"/>
  <c r="AN870" i="1" s="1"/>
  <c r="AM998" i="1"/>
  <c r="AN998" i="1" s="1"/>
  <c r="AM689" i="1"/>
  <c r="AN689" i="1" s="1"/>
  <c r="AM823" i="1"/>
  <c r="AN823" i="1" s="1"/>
  <c r="AM834" i="1"/>
  <c r="AN834" i="1" s="1"/>
  <c r="AM520" i="1"/>
  <c r="AN520" i="1" s="1"/>
  <c r="AM766" i="1"/>
  <c r="AN766" i="1" s="1"/>
  <c r="AM883" i="1"/>
  <c r="AN883" i="1" s="1"/>
  <c r="AM972" i="1"/>
  <c r="AN972" i="1" s="1"/>
  <c r="AM1004" i="1"/>
  <c r="AN1004" i="1" s="1"/>
  <c r="AM730" i="1"/>
  <c r="AN730" i="1" s="1"/>
  <c r="AM538" i="1"/>
  <c r="AN538" i="1" s="1"/>
  <c r="AM755" i="1"/>
  <c r="AN755" i="1" s="1"/>
  <c r="AM1083" i="1"/>
  <c r="AN1083" i="1" s="1"/>
  <c r="AM447" i="1"/>
  <c r="AN447" i="1" s="1"/>
  <c r="AM184" i="1"/>
  <c r="AN184" i="1" s="1"/>
  <c r="AM94" i="1"/>
  <c r="AN94" i="1" s="1"/>
  <c r="AM382" i="1"/>
  <c r="AN382" i="1" s="1"/>
  <c r="AM24" i="1"/>
  <c r="AN24" i="1" s="1"/>
  <c r="AM30" i="1"/>
  <c r="AN30" i="1" s="1"/>
  <c r="AM170" i="1"/>
  <c r="AN170" i="1" s="1"/>
  <c r="AM1120" i="1"/>
  <c r="AN1120" i="1" s="1"/>
  <c r="AM323" i="1"/>
  <c r="AN323" i="1" s="1"/>
  <c r="AM748" i="1"/>
  <c r="AN748" i="1" s="1"/>
  <c r="AM1106" i="1"/>
  <c r="AN1106" i="1" s="1"/>
  <c r="AM318" i="1"/>
  <c r="AN318" i="1" s="1"/>
  <c r="AM296" i="1"/>
  <c r="AN296" i="1" s="1"/>
  <c r="AM276" i="1"/>
  <c r="AN276" i="1" s="1"/>
  <c r="AM1137" i="1"/>
  <c r="AN1137" i="1" s="1"/>
  <c r="AM348" i="1"/>
  <c r="AN348" i="1" s="1"/>
  <c r="AM649" i="1"/>
  <c r="AN649" i="1" s="1"/>
  <c r="AM559" i="1"/>
  <c r="AN559" i="1" s="1"/>
  <c r="AM461" i="1"/>
  <c r="AN461" i="1" s="1"/>
  <c r="AM517" i="1"/>
  <c r="AN517" i="1" s="1"/>
  <c r="AM563" i="1"/>
  <c r="AN563" i="1" s="1"/>
  <c r="AM872" i="1"/>
  <c r="AN872" i="1" s="1"/>
  <c r="AM867" i="1"/>
  <c r="AN867" i="1" s="1"/>
  <c r="AM910" i="1"/>
  <c r="AN910" i="1" s="1"/>
  <c r="AM803" i="1"/>
  <c r="AN803" i="1" s="1"/>
  <c r="AM935" i="1"/>
  <c r="AN935" i="1" s="1"/>
  <c r="AM957" i="1"/>
  <c r="AN957" i="1" s="1"/>
  <c r="AM395" i="1"/>
  <c r="AN395" i="1" s="1"/>
  <c r="AM1013" i="1"/>
  <c r="AN1013" i="1" s="1"/>
  <c r="AM991" i="1"/>
  <c r="AN991" i="1" s="1"/>
  <c r="AM129" i="1"/>
  <c r="AN129" i="1" s="1"/>
  <c r="AM14" i="1"/>
  <c r="AN14" i="1" s="1"/>
  <c r="AM358" i="1"/>
  <c r="AN358" i="1" s="1"/>
  <c r="AM1105" i="1"/>
  <c r="AN1105" i="1" s="1"/>
  <c r="AM255" i="1"/>
  <c r="AN255" i="1" s="1"/>
  <c r="AM366" i="1"/>
  <c r="AN366" i="1" s="1"/>
  <c r="AM20" i="1"/>
  <c r="AN20" i="1" s="1"/>
  <c r="AM189" i="1"/>
  <c r="AN189" i="1" s="1"/>
  <c r="AM120" i="1"/>
  <c r="AN120" i="1" s="1"/>
  <c r="AM285" i="1"/>
  <c r="AN285" i="1" s="1"/>
  <c r="AM411" i="1"/>
  <c r="AN411" i="1" s="1"/>
  <c r="AM459" i="1"/>
  <c r="AN459" i="1" s="1"/>
  <c r="AM487" i="1"/>
  <c r="AN487" i="1" s="1"/>
  <c r="AM474" i="1"/>
  <c r="AN474" i="1" s="1"/>
  <c r="AM856" i="1"/>
  <c r="AN856" i="1" s="1"/>
  <c r="AM691" i="1"/>
  <c r="AN691" i="1" s="1"/>
  <c r="AM679" i="1"/>
  <c r="AN679" i="1" s="1"/>
  <c r="AM601" i="1"/>
  <c r="AN601" i="1" s="1"/>
  <c r="AM804" i="1"/>
  <c r="AN804" i="1" s="1"/>
  <c r="AM849" i="1"/>
  <c r="AN849" i="1" s="1"/>
  <c r="AM901" i="1"/>
  <c r="AN901" i="1" s="1"/>
  <c r="AM873" i="1"/>
  <c r="AN873" i="1" s="1"/>
  <c r="AM1030" i="1"/>
  <c r="AN1030" i="1" s="1"/>
  <c r="AM610" i="1"/>
  <c r="AN610" i="1" s="1"/>
  <c r="AM599" i="1"/>
  <c r="AN599" i="1" s="1"/>
  <c r="AM632" i="1"/>
  <c r="AN632" i="1" s="1"/>
  <c r="AM1042" i="1"/>
  <c r="AN1042" i="1" s="1"/>
  <c r="AM776" i="1"/>
  <c r="AN776" i="1" s="1"/>
  <c r="AM1055" i="1"/>
  <c r="AN1055" i="1" s="1"/>
  <c r="AM1063" i="1"/>
  <c r="AN1063" i="1" s="1"/>
  <c r="AM516" i="1"/>
  <c r="AN516" i="1" s="1"/>
  <c r="AM477" i="1"/>
  <c r="AN477" i="1" s="1"/>
  <c r="AM678" i="1"/>
  <c r="AN678" i="1" s="1"/>
  <c r="AM511" i="1"/>
  <c r="AN511" i="1" s="1"/>
  <c r="AM827" i="1"/>
  <c r="AN827" i="1" s="1"/>
  <c r="AM843" i="1"/>
  <c r="AN843" i="1" s="1"/>
  <c r="AM831" i="1"/>
  <c r="AN831" i="1" s="1"/>
  <c r="AM854" i="1"/>
  <c r="AN854" i="1" s="1"/>
  <c r="AM941" i="1"/>
  <c r="AN941" i="1" s="1"/>
  <c r="AM626" i="1"/>
  <c r="AN626" i="1" s="1"/>
  <c r="AM1002" i="1"/>
  <c r="AN1002" i="1" s="1"/>
  <c r="AM891" i="1"/>
  <c r="AN891" i="1" s="1"/>
  <c r="AM780" i="1"/>
  <c r="AN780" i="1" s="1"/>
  <c r="AM713" i="1"/>
  <c r="AN713" i="1" s="1"/>
  <c r="AM1035" i="1"/>
  <c r="AN1035" i="1" s="1"/>
  <c r="AM667" i="1"/>
  <c r="AN667" i="1" s="1"/>
  <c r="AM1009" i="1"/>
  <c r="AN1009" i="1" s="1"/>
  <c r="AM931" i="1"/>
  <c r="AN931" i="1" s="1"/>
  <c r="AM439" i="1"/>
  <c r="AN439" i="1" s="1"/>
  <c r="AM303" i="1"/>
  <c r="AN303" i="1" s="1"/>
  <c r="AM1012" i="1"/>
  <c r="AN1012" i="1" s="1"/>
  <c r="AM1077" i="1"/>
  <c r="AN1077" i="1" s="1"/>
  <c r="AM1086" i="1"/>
  <c r="AN1086" i="1" s="1"/>
  <c r="AM46" i="1"/>
  <c r="AN46" i="1" s="1"/>
  <c r="AM252" i="1"/>
  <c r="AN252" i="1" s="1"/>
  <c r="AM292" i="1"/>
  <c r="AN292" i="1" s="1"/>
  <c r="AM1097" i="1"/>
  <c r="AN1097" i="1" s="1"/>
  <c r="AM272" i="1"/>
  <c r="AN272" i="1" s="1"/>
  <c r="AM1100" i="1"/>
  <c r="AN1100" i="1" s="1"/>
  <c r="AM248" i="1"/>
  <c r="AN248" i="1" s="1"/>
  <c r="AM63" i="1"/>
  <c r="AN63" i="1" s="1"/>
  <c r="AM393" i="1"/>
  <c r="AN393" i="1" s="1"/>
  <c r="AM133" i="1"/>
  <c r="AN133" i="1" s="1"/>
  <c r="AM282" i="1"/>
  <c r="AN282" i="1" s="1"/>
  <c r="AM1111" i="1"/>
  <c r="AN1111" i="1" s="1"/>
  <c r="AM235" i="1"/>
  <c r="AN235" i="1" s="1"/>
  <c r="AM83" i="1"/>
  <c r="AN83" i="1" s="1"/>
  <c r="AM1122" i="1"/>
  <c r="AN1122" i="1" s="1"/>
  <c r="AM11" i="1"/>
  <c r="AN11" i="1" s="1"/>
  <c r="AM424" i="1"/>
  <c r="AN424" i="1" s="1"/>
  <c r="AM258" i="1"/>
  <c r="AN258" i="1" s="1"/>
  <c r="AM231" i="1"/>
  <c r="AN231" i="1" s="1"/>
  <c r="AM443" i="1"/>
  <c r="AN443" i="1" s="1"/>
  <c r="AM148" i="1"/>
  <c r="AN148" i="1" s="1"/>
  <c r="AM142" i="1"/>
  <c r="AN142" i="1" s="1"/>
  <c r="AM72" i="1"/>
  <c r="AN72" i="1" s="1"/>
  <c r="AM22" i="1"/>
  <c r="AN22" i="1" s="1"/>
  <c r="AM1118" i="1"/>
  <c r="AN1118" i="1" s="1"/>
  <c r="AM16" i="1"/>
  <c r="AN16" i="1" s="1"/>
  <c r="AM291" i="1"/>
  <c r="AN291" i="1" s="1"/>
  <c r="AM404" i="1"/>
  <c r="AN404" i="1" s="1"/>
  <c r="AM336" i="1"/>
  <c r="AN336" i="1" s="1"/>
  <c r="AM80" i="1"/>
  <c r="AN80" i="1" s="1"/>
  <c r="AM465" i="1"/>
  <c r="AN465" i="1" s="1"/>
  <c r="AM924" i="1"/>
  <c r="AN924" i="1" s="1"/>
  <c r="AM481" i="1"/>
  <c r="AN481" i="1" s="1"/>
  <c r="AM733" i="1"/>
  <c r="AN733" i="1" s="1"/>
  <c r="AM558" i="1"/>
  <c r="AN558" i="1" s="1"/>
  <c r="AM467" i="1"/>
  <c r="AN467" i="1" s="1"/>
  <c r="AM662" i="1"/>
  <c r="AN662" i="1" s="1"/>
  <c r="AM820" i="1"/>
  <c r="AN820" i="1" s="1"/>
  <c r="AM470" i="1"/>
  <c r="AN470" i="1" s="1"/>
  <c r="AM858" i="1"/>
  <c r="AN858" i="1" s="1"/>
  <c r="AM575" i="1"/>
  <c r="AN575" i="1" s="1"/>
  <c r="AM961" i="1"/>
  <c r="AN961" i="1" s="1"/>
  <c r="AM886" i="1"/>
  <c r="AN886" i="1" s="1"/>
  <c r="AM915" i="1"/>
  <c r="AN915" i="1" s="1"/>
  <c r="AM995" i="1"/>
  <c r="AN995" i="1" s="1"/>
  <c r="AM911" i="1"/>
  <c r="AN911" i="1" s="1"/>
  <c r="AM809" i="1"/>
  <c r="AN809" i="1" s="1"/>
  <c r="AM709" i="1"/>
  <c r="AN709" i="1" s="1"/>
  <c r="AM695" i="1"/>
  <c r="AN695" i="1" s="1"/>
  <c r="AM1010" i="1"/>
  <c r="AN1010" i="1" s="1"/>
  <c r="AM1052" i="1"/>
  <c r="AN1052" i="1" s="1"/>
  <c r="AM986" i="1"/>
  <c r="AN986" i="1" s="1"/>
  <c r="AM192" i="1"/>
  <c r="AN192" i="1" s="1"/>
  <c r="AM969" i="1"/>
  <c r="AN969" i="1" s="1"/>
  <c r="AM777" i="1"/>
  <c r="AN777" i="1" s="1"/>
  <c r="AM446" i="1"/>
  <c r="AN446" i="1" s="1"/>
  <c r="AM124" i="1"/>
  <c r="AN124" i="1" s="1"/>
  <c r="AM1096" i="1"/>
  <c r="AN1096" i="1" s="1"/>
  <c r="AM29" i="1"/>
  <c r="AN29" i="1" s="1"/>
  <c r="AM162" i="1"/>
  <c r="AN162" i="1" s="1"/>
  <c r="AM412" i="1"/>
  <c r="AN412" i="1" s="1"/>
  <c r="AM351" i="1"/>
  <c r="AN351" i="1" s="1"/>
  <c r="AM147" i="1"/>
  <c r="AN147" i="1" s="1"/>
  <c r="AM325" i="1"/>
  <c r="AN325" i="1" s="1"/>
  <c r="AM149" i="1"/>
  <c r="AN149" i="1" s="1"/>
  <c r="AM547" i="1"/>
  <c r="AN547" i="1" s="1"/>
  <c r="AM435" i="1"/>
  <c r="AN435" i="1" s="1"/>
  <c r="AM1112" i="1"/>
  <c r="AN1112" i="1" s="1"/>
  <c r="AM139" i="1"/>
  <c r="AN139" i="1" s="1"/>
  <c r="AM1119" i="1"/>
  <c r="AN1119" i="1" s="1"/>
  <c r="AM1125" i="1"/>
  <c r="AN1125" i="1" s="1"/>
  <c r="AM17" i="1"/>
  <c r="AN17" i="1" s="1"/>
  <c r="AM230" i="1"/>
  <c r="AN230" i="1" s="1"/>
  <c r="AM259" i="1"/>
  <c r="AN259" i="1" s="1"/>
  <c r="AM190" i="1"/>
  <c r="AN190" i="1" s="1"/>
  <c r="AM191" i="1"/>
  <c r="AN191" i="1" s="1"/>
  <c r="AM180" i="1"/>
  <c r="AN180" i="1" s="1"/>
  <c r="AM830" i="1"/>
  <c r="AN830" i="1" s="1"/>
  <c r="AM1031" i="1"/>
  <c r="AN1031" i="1" s="1"/>
  <c r="AM773" i="1"/>
  <c r="AN773" i="1" s="1"/>
  <c r="AM839" i="1"/>
  <c r="AN839" i="1" s="1"/>
  <c r="AM774" i="1"/>
  <c r="AN774" i="1" s="1"/>
  <c r="AM1011" i="1"/>
  <c r="AN1011" i="1" s="1"/>
  <c r="AM33" i="1"/>
  <c r="AN33" i="1" s="1"/>
  <c r="AM104" i="1"/>
  <c r="AN104" i="1" s="1"/>
  <c r="AM119" i="1"/>
  <c r="AN119" i="1" s="1"/>
  <c r="AM398" i="1"/>
  <c r="AN398" i="1" s="1"/>
  <c r="AM1140" i="1"/>
  <c r="AN1140" i="1" s="1"/>
  <c r="AM420" i="1"/>
  <c r="AN420" i="1" s="1"/>
  <c r="AM352" i="1"/>
  <c r="AN352" i="1" s="1"/>
  <c r="AM451" i="1"/>
  <c r="AN451" i="1" s="1"/>
  <c r="AM1021" i="1"/>
  <c r="AN1021" i="1" s="1"/>
  <c r="AM693" i="1"/>
  <c r="AN693" i="1" s="1"/>
  <c r="AM468" i="1"/>
  <c r="AN468" i="1" s="1"/>
  <c r="AM824" i="1"/>
  <c r="AN824" i="1" s="1"/>
  <c r="AM463" i="1"/>
  <c r="AN463" i="1" s="1"/>
  <c r="AM874" i="1"/>
  <c r="AN874" i="1" s="1"/>
  <c r="AM942" i="1"/>
  <c r="AN942" i="1" s="1"/>
  <c r="AM668" i="1"/>
  <c r="AN668" i="1" s="1"/>
  <c r="AM1032" i="1"/>
  <c r="AN1032" i="1" s="1"/>
  <c r="AM920" i="1"/>
  <c r="AN920" i="1" s="1"/>
  <c r="AM675" i="1"/>
  <c r="AN675" i="1" s="1"/>
  <c r="AM1061" i="1"/>
  <c r="AN1061" i="1" s="1"/>
  <c r="AM1075" i="1"/>
  <c r="AN1075" i="1" s="1"/>
  <c r="AM310" i="1"/>
  <c r="AN310" i="1" s="1"/>
  <c r="AM90" i="1"/>
  <c r="AN90" i="1" s="1"/>
  <c r="AM116" i="1"/>
  <c r="AN116" i="1" s="1"/>
  <c r="AM434" i="1"/>
  <c r="AN434" i="1" s="1"/>
  <c r="AM36" i="1"/>
  <c r="AN36" i="1" s="1"/>
  <c r="AM281" i="1"/>
  <c r="AN281" i="1" s="1"/>
  <c r="AM270" i="1"/>
  <c r="AN270" i="1" s="1"/>
  <c r="AM171" i="1"/>
  <c r="AN171" i="1" s="1"/>
  <c r="AM781" i="1"/>
  <c r="AN781" i="1" s="1"/>
  <c r="AM155" i="1"/>
  <c r="AN155" i="1" s="1"/>
</calcChain>
</file>

<file path=xl/sharedStrings.xml><?xml version="1.0" encoding="utf-8"?>
<sst xmlns="http://schemas.openxmlformats.org/spreadsheetml/2006/main" count="5094" uniqueCount="1269">
  <si>
    <t>P905CDM</t>
  </si>
  <si>
    <t>P1848CDM</t>
  </si>
  <si>
    <t>P536CDM</t>
  </si>
  <si>
    <t>P1084CDM</t>
  </si>
  <si>
    <t>P898CDM</t>
  </si>
  <si>
    <t>P1095CDM</t>
  </si>
  <si>
    <t>P1578CDM</t>
  </si>
  <si>
    <t>P1719CDM</t>
  </si>
  <si>
    <t>P2057CDM</t>
  </si>
  <si>
    <t>P1044CDM</t>
  </si>
  <si>
    <t>P1210CDM</t>
  </si>
  <si>
    <t>P1971CDM</t>
  </si>
  <si>
    <t>P914CDM</t>
  </si>
  <si>
    <t>P1273CDM</t>
  </si>
  <si>
    <t>P1363CDM</t>
  </si>
  <si>
    <t>P815CDM</t>
  </si>
  <si>
    <t>P1632CDM</t>
  </si>
  <si>
    <t>P1707CDM</t>
  </si>
  <si>
    <t>P1423CDM</t>
  </si>
  <si>
    <t>P1421CDM</t>
  </si>
  <si>
    <t>P1916CDM</t>
  </si>
  <si>
    <t>P340CDM</t>
  </si>
  <si>
    <t>P1521CDM</t>
  </si>
  <si>
    <t>P2087CDM</t>
  </si>
  <si>
    <t>P1114CDM</t>
  </si>
  <si>
    <t>P1596CDM</t>
  </si>
  <si>
    <t>P1037CDM</t>
  </si>
  <si>
    <t>P1107CDM</t>
  </si>
  <si>
    <t>P923CDM</t>
  </si>
  <si>
    <t>P1589CDM</t>
  </si>
  <si>
    <t>P1829CDM</t>
  </si>
  <si>
    <t>P1539CDM</t>
  </si>
  <si>
    <t>P1086CDM</t>
  </si>
  <si>
    <t>P1737CDM</t>
  </si>
  <si>
    <t>P1506CDM</t>
  </si>
  <si>
    <t>P1160CDM</t>
  </si>
  <si>
    <t>P1293CDM</t>
  </si>
  <si>
    <t>P1602CDM</t>
  </si>
  <si>
    <t>P1815CDM</t>
  </si>
  <si>
    <t>P1623CDM</t>
  </si>
  <si>
    <t>P1108CDM</t>
  </si>
  <si>
    <t>P1275CDM</t>
  </si>
  <si>
    <t>P1047BCDM</t>
  </si>
  <si>
    <t>P1211CDM</t>
  </si>
  <si>
    <t>P1324CDM</t>
  </si>
  <si>
    <t>P1833CDM</t>
  </si>
  <si>
    <t>P1451CDM</t>
  </si>
  <si>
    <t>P1184CDM</t>
  </si>
  <si>
    <t>P1012CDM</t>
  </si>
  <si>
    <t>P1650CDM</t>
  </si>
  <si>
    <t>P1258CDM</t>
  </si>
  <si>
    <t>P1033CDM</t>
  </si>
  <si>
    <t>P1857CDM</t>
  </si>
  <si>
    <t>P1679CDM</t>
  </si>
  <si>
    <t>P768CDM</t>
  </si>
  <si>
    <t>P785CDM</t>
  </si>
  <si>
    <t>P1585CDM</t>
  </si>
  <si>
    <t>P1057CDM</t>
  </si>
  <si>
    <t>P1397CDM</t>
  </si>
  <si>
    <t>P868CDM</t>
  </si>
  <si>
    <t>P1391CDM</t>
  </si>
  <si>
    <t>P383CDM</t>
  </si>
  <si>
    <t>P1522CDM</t>
  </si>
  <si>
    <t>P1161CDM</t>
  </si>
  <si>
    <t>P1734CDM</t>
  </si>
  <si>
    <t>P1759CDM</t>
  </si>
  <si>
    <t>P1169CDM</t>
  </si>
  <si>
    <t>P1303CDM</t>
  </si>
  <si>
    <t>P1468CDM</t>
  </si>
  <si>
    <t>P1844CDM</t>
  </si>
  <si>
    <t>P906CDM</t>
  </si>
  <si>
    <t>P865CDM</t>
  </si>
  <si>
    <t>P883CDM</t>
  </si>
  <si>
    <t>P1304CDM</t>
  </si>
  <si>
    <t>P913CDM</t>
  </si>
  <si>
    <t>P1274CDM</t>
  </si>
  <si>
    <t>P1192CDM</t>
  </si>
  <si>
    <t>P1083CDM</t>
  </si>
  <si>
    <t>P1295CDM</t>
  </si>
  <si>
    <t>P1456CDM</t>
  </si>
  <si>
    <t>P976CDM</t>
  </si>
  <si>
    <t>P702CDM</t>
  </si>
  <si>
    <t>P1649CDM</t>
  </si>
  <si>
    <t>P1917CDM</t>
  </si>
  <si>
    <t>P1171CDM</t>
  </si>
  <si>
    <t>P1668CDM</t>
  </si>
  <si>
    <t>P1088CDM</t>
  </si>
  <si>
    <t>P1159CDM</t>
  </si>
  <si>
    <t>P1378CDM</t>
  </si>
  <si>
    <t>P1624CDM</t>
  </si>
  <si>
    <t>P1375CDM</t>
  </si>
  <si>
    <t>P888CDM</t>
  </si>
  <si>
    <t>P1855CDM</t>
  </si>
  <si>
    <t>P1041CDM</t>
  </si>
  <si>
    <t>P1454CDM</t>
  </si>
  <si>
    <t>P1444CDM</t>
  </si>
  <si>
    <t>P855CDM</t>
  </si>
  <si>
    <t>P1056CDM</t>
  </si>
  <si>
    <t>P653CDM</t>
  </si>
  <si>
    <t>P1827CDM</t>
  </si>
  <si>
    <t>P1467CDM</t>
  </si>
  <si>
    <t>P784CDM</t>
  </si>
  <si>
    <t>P1843CDM</t>
  </si>
  <si>
    <t>P1156CDM</t>
  </si>
  <si>
    <t>P929CDM</t>
  </si>
  <si>
    <t>P813CDM</t>
  </si>
  <si>
    <t>P1075CDM</t>
  </si>
  <si>
    <t>P1584CDM</t>
  </si>
  <si>
    <t>P1402CDM</t>
  </si>
  <si>
    <t>P1094CDM</t>
  </si>
  <si>
    <t>P1058CDM</t>
  </si>
  <si>
    <t>P1259CDM</t>
  </si>
  <si>
    <t>P1498CDM</t>
  </si>
  <si>
    <t>P1401CDM</t>
  </si>
  <si>
    <t>P627CDM</t>
  </si>
  <si>
    <t>P956CDM</t>
  </si>
  <si>
    <t>P1260CDM</t>
  </si>
  <si>
    <t>P477CDM</t>
  </si>
  <si>
    <t>P1078CDM</t>
  </si>
  <si>
    <t>P1728CDM</t>
  </si>
  <si>
    <t>P856CDM</t>
  </si>
  <si>
    <t>P999CDM</t>
  </si>
  <si>
    <t>P1455CDM</t>
  </si>
  <si>
    <t>P1592CDM</t>
  </si>
  <si>
    <t>P1653CDM</t>
  </si>
  <si>
    <t>P1878CDM</t>
  </si>
  <si>
    <t>P1779CDM</t>
  </si>
  <si>
    <t>P908CDM</t>
  </si>
  <si>
    <t>P793CDM</t>
  </si>
  <si>
    <t>P1847CDM</t>
  </si>
  <si>
    <t>P1113CDM</t>
  </si>
  <si>
    <t>P1297CDM</t>
  </si>
  <si>
    <t>P1040CDM</t>
  </si>
  <si>
    <t>P995CDM</t>
  </si>
  <si>
    <t>P1103CDM</t>
  </si>
  <si>
    <t>P1081CDM</t>
  </si>
  <si>
    <t>P792CDM</t>
  </si>
  <si>
    <t>P822CDM</t>
  </si>
  <si>
    <t>P1562CDM</t>
  </si>
  <si>
    <t>P1508CDM</t>
  </si>
  <si>
    <t>P981CDM</t>
  </si>
  <si>
    <t>P1430CDM</t>
  </si>
  <si>
    <t>P1124CDM</t>
  </si>
  <si>
    <t>P1322CDM</t>
  </si>
  <si>
    <t>P1061CDM</t>
  </si>
  <si>
    <t>P1760CDM</t>
  </si>
  <si>
    <t>P1018CDM</t>
  </si>
  <si>
    <t>P699CDM</t>
  </si>
  <si>
    <t>P829CDM</t>
  </si>
  <si>
    <t>P1100CDM</t>
  </si>
  <si>
    <t>P1654CDM</t>
  </si>
  <si>
    <t>P1339CDM</t>
  </si>
  <si>
    <t>P503CDM</t>
  </si>
  <si>
    <t>P781CDM</t>
  </si>
  <si>
    <t>P1296CDM</t>
  </si>
  <si>
    <t>P804CDM</t>
  </si>
  <si>
    <t>P1264CDM</t>
  </si>
  <si>
    <t>P1093CDM</t>
  </si>
  <si>
    <t>P763CDM</t>
  </si>
  <si>
    <t>P1790CDM</t>
  </si>
  <si>
    <t>P556CDM</t>
  </si>
  <si>
    <t>P606CDM</t>
  </si>
  <si>
    <t>P1178CDM</t>
  </si>
  <si>
    <t>P996CDM</t>
  </si>
  <si>
    <t>P1509CDM</t>
  </si>
  <si>
    <t>P1561CDM</t>
  </si>
  <si>
    <t>P1399CDM</t>
  </si>
  <si>
    <t>P1001CDM</t>
  </si>
  <si>
    <t>P948CDM</t>
  </si>
  <si>
    <t>P969CDM</t>
  </si>
  <si>
    <t>P1697CDM</t>
  </si>
  <si>
    <t>P1309CDM</t>
  </si>
  <si>
    <t>P1374CDM</t>
  </si>
  <si>
    <t>P843CDM</t>
  </si>
  <si>
    <t>P828CDM</t>
  </si>
  <si>
    <t>P1400CDM</t>
  </si>
  <si>
    <t>P934CDM</t>
  </si>
  <si>
    <t>P683CDM</t>
  </si>
  <si>
    <t>P1035CDM</t>
  </si>
  <si>
    <t>P1565CDM</t>
  </si>
  <si>
    <t>P1647CDM</t>
  </si>
  <si>
    <t>P841CDM</t>
  </si>
  <si>
    <t>P1188CDM</t>
  </si>
  <si>
    <t>P687CDM</t>
  </si>
  <si>
    <t>P1005CDM</t>
  </si>
  <si>
    <t>P1744CDM</t>
  </si>
  <si>
    <t>P1729CDM</t>
  </si>
  <si>
    <t>P935CDM</t>
  </si>
  <si>
    <t>P975CDM</t>
  </si>
  <si>
    <t>P1806CDM</t>
  </si>
  <si>
    <t>P1913CDM</t>
  </si>
  <si>
    <t>P2094CDM</t>
  </si>
  <si>
    <t>P1308CDM</t>
  </si>
  <si>
    <t>P1568CDM</t>
  </si>
  <si>
    <t>P1341CDM</t>
  </si>
  <si>
    <t>P1004CDM</t>
  </si>
  <si>
    <t>P652CDM</t>
  </si>
  <si>
    <t>P707CDM</t>
  </si>
  <si>
    <t>P1325CDM</t>
  </si>
  <si>
    <t>P679CDM</t>
  </si>
  <si>
    <t>P1846CDM</t>
  </si>
  <si>
    <t>P1080CDM</t>
  </si>
  <si>
    <t>P791CDM</t>
  </si>
  <si>
    <t>P1337CDM</t>
  </si>
  <si>
    <t>P795CDM</t>
  </si>
  <si>
    <t>P770CDM</t>
  </si>
  <si>
    <t>P931CDM</t>
  </si>
  <si>
    <t>P782CDM</t>
  </si>
  <si>
    <t>P946CDM</t>
  </si>
  <si>
    <t>P945CDM</t>
  </si>
  <si>
    <t>P741CDM</t>
  </si>
  <si>
    <t>P506CDM</t>
  </si>
  <si>
    <t>P1158CDM</t>
  </si>
  <si>
    <t>P1358CDM</t>
  </si>
  <si>
    <t>P794CDM</t>
  </si>
  <si>
    <t>P2042CDM</t>
  </si>
  <si>
    <t>P1357CDM</t>
  </si>
  <si>
    <t>P1111CDM</t>
  </si>
  <si>
    <t>P884CDM</t>
  </si>
  <si>
    <t>P273CDM</t>
  </si>
  <si>
    <t>P1802CDM</t>
  </si>
  <si>
    <t>P864CDM</t>
  </si>
  <si>
    <t>P369CDM</t>
  </si>
  <si>
    <t>P882CDM</t>
  </si>
  <si>
    <t>P1172CDM</t>
  </si>
  <si>
    <t>P1912CDM</t>
  </si>
  <si>
    <t>P1761CDM</t>
  </si>
  <si>
    <t>P1362CDM</t>
  </si>
  <si>
    <t>P1204CDM</t>
  </si>
  <si>
    <t>P642CDM</t>
  </si>
  <si>
    <t>P1394CDM</t>
  </si>
  <si>
    <t>P965CDM</t>
  </si>
  <si>
    <t>P1361CDM</t>
  </si>
  <si>
    <t>P1333CDM</t>
  </si>
  <si>
    <t>P1118CDM</t>
  </si>
  <si>
    <t>P1954CDM</t>
  </si>
  <si>
    <t>P823CDM</t>
  </si>
  <si>
    <t>P1042CDM</t>
  </si>
  <si>
    <t>P1294CDM</t>
  </si>
  <si>
    <t>P1334CDM</t>
  </si>
  <si>
    <t>P961CDM</t>
  </si>
  <si>
    <t>P325CDM</t>
  </si>
  <si>
    <t>P840FCDM</t>
  </si>
  <si>
    <t>P1422CDM</t>
  </si>
  <si>
    <t>P723CDM</t>
  </si>
  <si>
    <t>P1736CDM</t>
  </si>
  <si>
    <t>P323CDM</t>
  </si>
  <si>
    <t>P820CDM</t>
  </si>
  <si>
    <t>P974CDM</t>
  </si>
  <si>
    <t>P857CDM</t>
  </si>
  <si>
    <t>P727CDM</t>
  </si>
  <si>
    <t>P1055CDM</t>
  </si>
  <si>
    <t>P1307CDM</t>
  </si>
  <si>
    <t>P1611CDM</t>
  </si>
  <si>
    <t>P711CDM</t>
  </si>
  <si>
    <t>P1340CDM</t>
  </si>
  <si>
    <t>P374CDM</t>
  </si>
  <si>
    <t>P1841CDM</t>
  </si>
  <si>
    <t>P700CDM</t>
  </si>
  <si>
    <t>P980CDM</t>
  </si>
  <si>
    <t>P729CDM</t>
  </si>
  <si>
    <t>P1101CDM</t>
  </si>
  <si>
    <t>P1332CDM</t>
  </si>
  <si>
    <t>P1015CDM</t>
  </si>
  <si>
    <t>P1039CDM</t>
  </si>
  <si>
    <t>P412CDM</t>
  </si>
  <si>
    <t>P1691CDM</t>
  </si>
  <si>
    <t>P623CDM</t>
  </si>
  <si>
    <t>P986CDM</t>
  </si>
  <si>
    <t>P1680CDM</t>
  </si>
  <si>
    <t>P721CDM</t>
  </si>
  <si>
    <t>P1008CDM</t>
  </si>
  <si>
    <t>P893CDM</t>
  </si>
  <si>
    <t>P1170CDM</t>
  </si>
  <si>
    <t>P1053CDM</t>
  </si>
  <si>
    <t>P2135CDM</t>
  </si>
  <si>
    <t>P892CDM</t>
  </si>
  <si>
    <t>P1896CDM</t>
  </si>
  <si>
    <t>P2074CDM</t>
  </si>
  <si>
    <t>P858CDM</t>
  </si>
  <si>
    <t>P1123CDM</t>
  </si>
  <si>
    <t>P1342CDM</t>
  </si>
  <si>
    <t>P1347CDM</t>
  </si>
  <si>
    <t>P1711CDM</t>
  </si>
  <si>
    <t>P1473CDM</t>
  </si>
  <si>
    <t>P824CDM</t>
  </si>
  <si>
    <t>P332CDM</t>
  </si>
  <si>
    <t>P1060CDM</t>
  </si>
  <si>
    <t>P885CDM</t>
  </si>
  <si>
    <t>P600CDM</t>
  </si>
  <si>
    <t>P726CDM</t>
  </si>
  <si>
    <t>P862CDM</t>
  </si>
  <si>
    <t>P1345CDM</t>
  </si>
  <si>
    <t>P666CDM</t>
  </si>
  <si>
    <t>P957CDM</t>
  </si>
  <si>
    <t>P835CDM</t>
  </si>
  <si>
    <t>P1808CDM</t>
  </si>
  <si>
    <t>P817CDM</t>
  </si>
  <si>
    <t>P1914CDM</t>
  </si>
  <si>
    <t>P2100CDM</t>
  </si>
  <si>
    <t>P1447CDM</t>
  </si>
  <si>
    <t>P1613CDM</t>
  </si>
  <si>
    <t>P806CDM</t>
  </si>
  <si>
    <t>P869CDM</t>
  </si>
  <si>
    <t>P922CDM</t>
  </si>
  <si>
    <t>P1122CDM</t>
  </si>
  <si>
    <t>P805CDM</t>
  </si>
  <si>
    <t>P2045CDM</t>
  </si>
  <si>
    <t>P1074CDM</t>
  </si>
  <si>
    <t>P954CDM</t>
  </si>
  <si>
    <t>P562CDM</t>
  </si>
  <si>
    <t>P1346CDM</t>
  </si>
  <si>
    <t>P881CDM</t>
  </si>
  <si>
    <t>P636CDM</t>
  </si>
  <si>
    <t>P476CDM</t>
  </si>
  <si>
    <t>P1306CDM</t>
  </si>
  <si>
    <t>P540CDM</t>
  </si>
  <si>
    <t>P635CDM</t>
  </si>
  <si>
    <t>P730CDM</t>
  </si>
  <si>
    <t>P840MCDM</t>
  </si>
  <si>
    <t>P830CDM</t>
  </si>
  <si>
    <t>P1554CDM</t>
  </si>
  <si>
    <t>P532CDM</t>
  </si>
  <si>
    <t>P598CDM</t>
  </si>
  <si>
    <t>P1775CDM</t>
  </si>
  <si>
    <t>P939CDM</t>
  </si>
  <si>
    <t>P1465CDM</t>
  </si>
  <si>
    <t>P1774CDM</t>
  </si>
  <si>
    <t>P1009CDM</t>
  </si>
  <si>
    <t>P886CDM</t>
  </si>
  <si>
    <t>P681CDM</t>
  </si>
  <si>
    <t>P617CDM</t>
  </si>
  <si>
    <t>P647CDM</t>
  </si>
  <si>
    <t>P1279CDM</t>
  </si>
  <si>
    <t>P667BCDM</t>
  </si>
  <si>
    <t>P1302CDM</t>
  </si>
  <si>
    <t>P1463CDM</t>
  </si>
  <si>
    <t>P436CDM</t>
  </si>
  <si>
    <t>P461CDM</t>
  </si>
  <si>
    <t>P2036CDM</t>
  </si>
  <si>
    <t>P962CDM</t>
  </si>
  <si>
    <t>P757CDM</t>
  </si>
  <si>
    <t>P1694CDM</t>
  </si>
  <si>
    <t>P1071CDM</t>
  </si>
  <si>
    <t>P1646CDM</t>
  </si>
  <si>
    <t>P760CDM</t>
  </si>
  <si>
    <t>P1305CDM</t>
  </si>
  <si>
    <t>P1633CDM</t>
  </si>
  <si>
    <t>P1317CDM</t>
  </si>
  <si>
    <t>P1818BCDM</t>
  </si>
  <si>
    <t>P997CDM</t>
  </si>
  <si>
    <t>P1070CDM</t>
  </si>
  <si>
    <t>P779CDM</t>
  </si>
  <si>
    <t>P674BCDM</t>
  </si>
  <si>
    <t>P853CDM</t>
  </si>
  <si>
    <t>P979CDM</t>
  </si>
  <si>
    <t>P771CDM</t>
  </si>
  <si>
    <t>P618CDM</t>
  </si>
  <si>
    <t>P610CDM</t>
  </si>
  <si>
    <t>P1722CDM</t>
  </si>
  <si>
    <t>P396CDM</t>
  </si>
  <si>
    <t>P1129CDM</t>
  </si>
  <si>
    <t>P2037CDM</t>
  </si>
  <si>
    <t>P1811CDM</t>
  </si>
  <si>
    <t>P963CDM</t>
  </si>
  <si>
    <t>P872CDM</t>
  </si>
  <si>
    <t>P819CDM</t>
  </si>
  <si>
    <t>P1073CDM</t>
  </si>
  <si>
    <t>P696CDM</t>
  </si>
  <si>
    <t>P1721CDM</t>
  </si>
  <si>
    <t>P1663CDM</t>
  </si>
  <si>
    <t>P1047SCDM</t>
  </si>
  <si>
    <t>P1412CDM</t>
  </si>
  <si>
    <t>P871CDM</t>
  </si>
  <si>
    <t>P1287CDM</t>
  </si>
  <si>
    <t>P1396CDM</t>
  </si>
  <si>
    <t>P1301CDM</t>
  </si>
  <si>
    <t>P803CDM</t>
  </si>
  <si>
    <t>P1022CDM</t>
  </si>
  <si>
    <t>P1814CDM</t>
  </si>
  <si>
    <t>P2076CDM</t>
  </si>
  <si>
    <t>P1892CDM</t>
  </si>
  <si>
    <t>P904CDM</t>
  </si>
  <si>
    <t>P2188CDM</t>
  </si>
  <si>
    <t>P484CDM</t>
  </si>
  <si>
    <t>P619CDM</t>
  </si>
  <si>
    <t>P1036CDM</t>
  </si>
  <si>
    <t>P918CDM</t>
  </si>
  <si>
    <t>P1106CDM</t>
  </si>
  <si>
    <t>P2178CDM</t>
  </si>
  <si>
    <t>P228CDM</t>
  </si>
  <si>
    <t>P471CDM</t>
  </si>
  <si>
    <t>P1316CDM</t>
  </si>
  <si>
    <t>P970CDM</t>
  </si>
  <si>
    <t>P876CDM</t>
  </si>
  <si>
    <t>P1540CDM</t>
  </si>
  <si>
    <t>P1762CDM</t>
  </si>
  <si>
    <t>P1020CDM</t>
  </si>
  <si>
    <t>P1414CDM</t>
  </si>
  <si>
    <t>P1628CDM</t>
  </si>
  <si>
    <t>P413CDM</t>
  </si>
  <si>
    <t>P1384CDM</t>
  </si>
  <si>
    <t>P659CDM</t>
  </si>
  <si>
    <t>P937CDM</t>
  </si>
  <si>
    <t>P1051CDM</t>
  </si>
  <si>
    <t>P732CDM</t>
  </si>
  <si>
    <t>P1091CDM</t>
  </si>
  <si>
    <t>P1805CDM</t>
  </si>
  <si>
    <t>P1352CDM</t>
  </si>
  <si>
    <t>P790CDM</t>
  </si>
  <si>
    <t>P551CDM</t>
  </si>
  <si>
    <t>P2089CDM</t>
  </si>
  <si>
    <t>P978CDM</t>
  </si>
  <si>
    <t>P1453CDM</t>
  </si>
  <si>
    <t>P31CDM</t>
  </si>
  <si>
    <t>P1164CDM</t>
  </si>
  <si>
    <t>P749CDM</t>
  </si>
  <si>
    <t>P1793CDM</t>
  </si>
  <si>
    <t>P947CDM</t>
  </si>
  <si>
    <t>P1406CDM</t>
  </si>
  <si>
    <t>P889CDM</t>
  </si>
  <si>
    <t>P731CDM</t>
  </si>
  <si>
    <t>P867CDM</t>
  </si>
  <si>
    <t>P2168CDM</t>
  </si>
  <si>
    <t>P1351CDM</t>
  </si>
  <si>
    <t>P1099CDM</t>
  </si>
  <si>
    <t>P875CDM</t>
  </si>
  <si>
    <t>P1799CDM</t>
  </si>
  <si>
    <t>P953CDM</t>
  </si>
  <si>
    <t>P680CDM</t>
  </si>
  <si>
    <t>P579CDM</t>
  </si>
  <si>
    <t>P1003CDM</t>
  </si>
  <si>
    <t>P748CDM</t>
  </si>
  <si>
    <t>P774CDM</t>
  </si>
  <si>
    <t>P998CDM</t>
  </si>
  <si>
    <t>P919CDM</t>
  </si>
  <si>
    <t>P874CDM</t>
  </si>
  <si>
    <t>P2179CDM</t>
  </si>
  <si>
    <t>P930CDM</t>
  </si>
  <si>
    <t>P661CDM</t>
  </si>
  <si>
    <t>P1576CDM</t>
  </si>
  <si>
    <t>P850CDM</t>
  </si>
  <si>
    <t>P2199CDM</t>
  </si>
  <si>
    <t>P1731CDM</t>
  </si>
  <si>
    <t>P859CDM</t>
  </si>
  <si>
    <t>P1839CDM</t>
  </si>
  <si>
    <t>P473CDM</t>
  </si>
  <si>
    <t>P2032CDM</t>
  </si>
  <si>
    <t>P870CDM</t>
  </si>
  <si>
    <t>P2172CDM</t>
  </si>
  <si>
    <t>P1379CDM</t>
  </si>
  <si>
    <t>P1277CDM</t>
  </si>
  <si>
    <t>P529CDM</t>
  </si>
  <si>
    <t>P1329CDM</t>
  </si>
  <si>
    <t>P1179CDM</t>
  </si>
  <si>
    <t>P1874CDM</t>
  </si>
  <si>
    <t>P1046CDM</t>
  </si>
  <si>
    <t>P665CDM</t>
  </si>
  <si>
    <t>P844CDM</t>
  </si>
  <si>
    <t>P1404CDM</t>
  </si>
  <si>
    <t>P1609CDM</t>
  </si>
  <si>
    <t>P709CDM</t>
  </si>
  <si>
    <t>P1791CDM</t>
  </si>
  <si>
    <t>P1149CDM</t>
  </si>
  <si>
    <t>P1864CDM</t>
  </si>
  <si>
    <t>P1510CDM</t>
  </si>
  <si>
    <t>P1746CDM</t>
  </si>
  <si>
    <t>P459CDM</t>
  </si>
  <si>
    <t>P2198CDM</t>
  </si>
  <si>
    <t>P1886CDM</t>
  </si>
  <si>
    <t>P493CDM</t>
  </si>
  <si>
    <t>P1921CDM</t>
  </si>
  <si>
    <t>P409CDM</t>
  </si>
  <si>
    <t>P611CDM</t>
  </si>
  <si>
    <t>P2223CDM</t>
  </si>
  <si>
    <t>P1965CDM</t>
  </si>
  <si>
    <t>P960CDM</t>
  </si>
  <si>
    <t>P2170CDM</t>
  </si>
  <si>
    <t>P816CDM</t>
  </si>
  <si>
    <t>P838CDM</t>
  </si>
  <si>
    <t>P746CDM</t>
  </si>
  <si>
    <t>P376CDM</t>
  </si>
  <si>
    <t>P2186CDM</t>
  </si>
  <si>
    <t>P1872CDM</t>
  </si>
  <si>
    <t>P1186CDM</t>
  </si>
  <si>
    <t>P1801CDM</t>
  </si>
  <si>
    <t>P2156CDM</t>
  </si>
  <si>
    <t>P1474CDM</t>
  </si>
  <si>
    <t>P648CDM</t>
  </si>
  <si>
    <t>P750CDM</t>
  </si>
  <si>
    <t>P1105CDM</t>
  </si>
  <si>
    <t>P1901CDM</t>
  </si>
  <si>
    <t>P2065CDM</t>
  </si>
  <si>
    <t>P667SCDM</t>
  </si>
  <si>
    <t>P1794CDM</t>
  </si>
  <si>
    <t>P677CDM</t>
  </si>
  <si>
    <t>P987CDM</t>
  </si>
  <si>
    <t>P470CDM</t>
  </si>
  <si>
    <t>P1195CDM</t>
  </si>
  <si>
    <t>P912CDM</t>
  </si>
  <si>
    <t>P505CDM</t>
  </si>
  <si>
    <t>P333CDM</t>
  </si>
  <si>
    <t>P687ACDM</t>
  </si>
  <si>
    <t>P1315CDM</t>
  </si>
  <si>
    <t>P2169CDM</t>
  </si>
  <si>
    <t>P184CDM</t>
  </si>
  <si>
    <t>P921CDM</t>
  </si>
  <si>
    <t>P754CDM</t>
  </si>
  <si>
    <t>P440CDM</t>
  </si>
  <si>
    <t>P762CDM</t>
  </si>
  <si>
    <t>P601CDM</t>
  </si>
  <si>
    <t>P1019CDM</t>
  </si>
  <si>
    <t>P632CDM</t>
  </si>
  <si>
    <t>P1048CDM</t>
  </si>
  <si>
    <t>P1784CDM</t>
  </si>
  <si>
    <t>P1800CDM</t>
  </si>
  <si>
    <t>P1068CDM</t>
  </si>
  <si>
    <t>P580CDM</t>
  </si>
  <si>
    <t>P1381CDM</t>
  </si>
  <si>
    <t>P847CDM</t>
  </si>
  <si>
    <t>P451CDM</t>
  </si>
  <si>
    <t>P1014CDM</t>
  </si>
  <si>
    <t>P1121CDM</t>
  </si>
  <si>
    <t>P1090CDM</t>
  </si>
  <si>
    <t>P1630CDM</t>
  </si>
  <si>
    <t>P1314CDM</t>
  </si>
  <si>
    <t>P753CDM</t>
  </si>
  <si>
    <t>P1043CDM</t>
  </si>
  <si>
    <t>P154CDM</t>
  </si>
  <si>
    <t>P1733CDM</t>
  </si>
  <si>
    <t>P613CDM</t>
  </si>
  <si>
    <t>P831CDM</t>
  </si>
  <si>
    <t>P1278CDM</t>
  </si>
  <si>
    <t>P1180CDM</t>
  </si>
  <si>
    <t>P674SCDM</t>
  </si>
  <si>
    <t>P1610CDM</t>
  </si>
  <si>
    <t>P710CDM</t>
  </si>
  <si>
    <t>P1897CDM</t>
  </si>
  <si>
    <t>P1490CDM</t>
  </si>
  <si>
    <t>P650CDM</t>
  </si>
  <si>
    <t>P1098CDM</t>
  </si>
  <si>
    <t>P752CDM</t>
  </si>
  <si>
    <t>P373CDM</t>
  </si>
  <si>
    <t>P203CDM</t>
  </si>
  <si>
    <t>P966CDM</t>
  </si>
  <si>
    <t>P695CDM</t>
  </si>
  <si>
    <t>P584CDM</t>
  </si>
  <si>
    <t>P787CDM</t>
  </si>
  <si>
    <t>P436ACDM</t>
  </si>
  <si>
    <t>PTCD1874CDM</t>
  </si>
  <si>
    <t>P1007CDM</t>
  </si>
  <si>
    <t>P1865CDM</t>
  </si>
  <si>
    <t>PPC1679CDM</t>
  </si>
  <si>
    <t>P1720CDM</t>
  </si>
  <si>
    <t>P474CDM</t>
  </si>
  <si>
    <t>P909CDM</t>
  </si>
  <si>
    <t>P242CDM</t>
  </si>
  <si>
    <t>P1258ACDM</t>
  </si>
  <si>
    <t>P1904CDM</t>
  </si>
  <si>
    <t>P138CDM</t>
  </si>
  <si>
    <t>P1282CDM</t>
  </si>
  <si>
    <t>P533CDM</t>
  </si>
  <si>
    <t>P672CDM</t>
  </si>
  <si>
    <t>P1595CDM</t>
  </si>
  <si>
    <t>P547CDM</t>
  </si>
  <si>
    <t>P392CDM</t>
  </si>
  <si>
    <t>P1826CDM</t>
  </si>
  <si>
    <t>P1449CDM</t>
  </si>
  <si>
    <t>P706CDM</t>
  </si>
  <si>
    <t>P1659CDM</t>
  </si>
  <si>
    <t>P599CDM</t>
  </si>
  <si>
    <t>P798CDM</t>
  </si>
  <si>
    <t>P460CDM</t>
  </si>
  <si>
    <t>P1017CDM</t>
  </si>
  <si>
    <t>P1549CDM</t>
  </si>
  <si>
    <t>P495CDM</t>
  </si>
  <si>
    <t>P725CDM</t>
  </si>
  <si>
    <t>P306CDM</t>
  </si>
  <si>
    <t>P1923CDM</t>
  </si>
  <si>
    <t>P1047CDM</t>
  </si>
  <si>
    <t>P941CDM</t>
  </si>
  <si>
    <t>P1796CDM</t>
  </si>
  <si>
    <t>P952CDM</t>
  </si>
  <si>
    <t>P1411CDM</t>
  </si>
  <si>
    <t>P560CDM</t>
  </si>
  <si>
    <t>P410CDM</t>
  </si>
  <si>
    <t>P989CDM</t>
  </si>
  <si>
    <t>P714CDM</t>
  </si>
  <si>
    <t>P1688CDM</t>
  </si>
  <si>
    <t>P1343CDM</t>
  </si>
  <si>
    <t>P612CDM</t>
  </si>
  <si>
    <t>P807CDM</t>
  </si>
  <si>
    <t>P2224CDM</t>
  </si>
  <si>
    <t>P1030CDM</t>
  </si>
  <si>
    <t>P507CDM</t>
  </si>
  <si>
    <t>P736CDM</t>
  </si>
  <si>
    <t>P339CDM</t>
  </si>
  <si>
    <t>P1968CDM</t>
  </si>
  <si>
    <t>P364CDM</t>
  </si>
  <si>
    <t>P1102CDM</t>
  </si>
  <si>
    <t>P1066CDM</t>
  </si>
  <si>
    <t>P689CDM</t>
  </si>
  <si>
    <t>P576CDM</t>
  </si>
  <si>
    <t>P423CDM</t>
  </si>
  <si>
    <t>PPF1844CDM</t>
  </si>
  <si>
    <t>P1002CDM</t>
  </si>
  <si>
    <t>PPC1540CDM</t>
  </si>
  <si>
    <t>P1354CDM</t>
  </si>
  <si>
    <t>P1240CDM</t>
  </si>
  <si>
    <t>P104.16301CDM</t>
  </si>
  <si>
    <t>P656CDM</t>
  </si>
  <si>
    <t>P1563CDM</t>
  </si>
  <si>
    <t>P839CDM</t>
  </si>
  <si>
    <t>P747CDM</t>
  </si>
  <si>
    <t>P1286CDM</t>
  </si>
  <si>
    <t>P538CDM</t>
  </si>
  <si>
    <t>P756CDM</t>
  </si>
  <si>
    <t>P377CDM</t>
  </si>
  <si>
    <t>P1111ACDM</t>
  </si>
  <si>
    <t>P204CDM</t>
  </si>
  <si>
    <t>P1076CDM</t>
  </si>
  <si>
    <t>P972CDM</t>
  </si>
  <si>
    <t>P1440CDM</t>
  </si>
  <si>
    <t>P879CDM</t>
  </si>
  <si>
    <t>P591CDM</t>
  </si>
  <si>
    <t>P449CDM</t>
  </si>
  <si>
    <t>P621CDM</t>
  </si>
  <si>
    <t>PPC961CDM</t>
  </si>
  <si>
    <t>P1543CDM</t>
  </si>
  <si>
    <t>P1724CDM</t>
  </si>
  <si>
    <t>P1366CDM</t>
  </si>
  <si>
    <t>P1770CDM</t>
  </si>
  <si>
    <t>P1586CDM</t>
  </si>
  <si>
    <t>P674CDM</t>
  </si>
  <si>
    <t>P854CDM</t>
  </si>
  <si>
    <t>P1298CDM</t>
  </si>
  <si>
    <t>P554CDM</t>
  </si>
  <si>
    <t>P764CDM</t>
  </si>
  <si>
    <t>P399CDM</t>
  </si>
  <si>
    <t>P1119CDM</t>
  </si>
  <si>
    <t>P1085CDM</t>
  </si>
  <si>
    <t>P1830CDM</t>
  </si>
  <si>
    <t>P1670CDM</t>
  </si>
  <si>
    <t>P888ACDM</t>
  </si>
  <si>
    <t>P1338CDM</t>
  </si>
  <si>
    <t>P603CDM</t>
  </si>
  <si>
    <t>P802CDM</t>
  </si>
  <si>
    <t>P465ACDM</t>
  </si>
  <si>
    <t>P2216CDM</t>
  </si>
  <si>
    <t>P1021CDM</t>
  </si>
  <si>
    <t>P634CDM</t>
  </si>
  <si>
    <t>P501CDM</t>
  </si>
  <si>
    <t>P1938CDM</t>
  </si>
  <si>
    <t>P105.16291CDM</t>
  </si>
  <si>
    <t>P199CDM</t>
  </si>
  <si>
    <t>P1415CDM</t>
  </si>
  <si>
    <t>P1629CDM</t>
  </si>
  <si>
    <t>P564CDM</t>
  </si>
  <si>
    <t>P772CDM</t>
  </si>
  <si>
    <t>P415CDM</t>
  </si>
  <si>
    <t>P215CDM</t>
  </si>
  <si>
    <t>PPF1297CDM</t>
  </si>
  <si>
    <t>P1479CDM</t>
  </si>
  <si>
    <t>P719CDM</t>
  </si>
  <si>
    <t>P1693CDM</t>
  </si>
  <si>
    <t>P1348CDM</t>
  </si>
  <si>
    <t>P1222CDM</t>
  </si>
  <si>
    <t>P649CDM</t>
  </si>
  <si>
    <t>P834CDM</t>
  </si>
  <si>
    <t>P1272CDM</t>
  </si>
  <si>
    <t>P523CDM</t>
  </si>
  <si>
    <t>P350CDM</t>
  </si>
  <si>
    <t>P1097CDM</t>
  </si>
  <si>
    <t>P751CDM</t>
  </si>
  <si>
    <t>P370CDM</t>
  </si>
  <si>
    <t>P2039CDM</t>
  </si>
  <si>
    <t>P1813CDM</t>
  </si>
  <si>
    <t>P1428CDM</t>
  </si>
  <si>
    <t>P694CDM</t>
  </si>
  <si>
    <t>P1645CDM</t>
  </si>
  <si>
    <t>P873ECDM</t>
  </si>
  <si>
    <t>P583CDM</t>
  </si>
  <si>
    <t>P433CDM</t>
  </si>
  <si>
    <t>PPPC-D1812CDM</t>
  </si>
  <si>
    <t>P1006CDM</t>
  </si>
  <si>
    <t>PPC1640CDM</t>
  </si>
  <si>
    <t>P1257CDM</t>
  </si>
  <si>
    <t>P1903CDM</t>
  </si>
  <si>
    <t>P1386CDM</t>
  </si>
  <si>
    <t>P660CDM</t>
  </si>
  <si>
    <t>P1569CDM</t>
  </si>
  <si>
    <t>P1281CDM</t>
  </si>
  <si>
    <t>P1594CDM</t>
  </si>
  <si>
    <t>P849CDM</t>
  </si>
  <si>
    <t>P544CDM</t>
  </si>
  <si>
    <t>P760ACDM</t>
  </si>
  <si>
    <t>P391CDM</t>
  </si>
  <si>
    <t>P1112CDM</t>
  </si>
  <si>
    <t>P1821CDM</t>
  </si>
  <si>
    <t>P704CDM</t>
  </si>
  <si>
    <t>P1658CDM</t>
  </si>
  <si>
    <t>P797CDM</t>
  </si>
  <si>
    <t>P1183CDM</t>
  </si>
  <si>
    <t>P1016CDM</t>
  </si>
  <si>
    <t>P625CDM</t>
  </si>
  <si>
    <t>P1548CDM</t>
  </si>
  <si>
    <t>P1730CDM</t>
  </si>
  <si>
    <t>P724CDM</t>
  </si>
  <si>
    <t>P289CDM</t>
  </si>
  <si>
    <t>P670CDM</t>
  </si>
  <si>
    <t>P1052CDM</t>
  </si>
  <si>
    <t>P1795CDM</t>
  </si>
  <si>
    <t>P951CDM</t>
  </si>
  <si>
    <t>P1409CDM</t>
  </si>
  <si>
    <t>P678CDM</t>
  </si>
  <si>
    <t>P558CDM</t>
  </si>
  <si>
    <t>P768ACDM</t>
  </si>
  <si>
    <t>P2118CDM</t>
  </si>
  <si>
    <t>P1836CDM</t>
  </si>
  <si>
    <t>P988CDM</t>
  </si>
  <si>
    <t>P713CDM</t>
  </si>
  <si>
    <t>P1687CDM</t>
  </si>
  <si>
    <t>P891CDM</t>
  </si>
  <si>
    <t>P1202CDM</t>
  </si>
  <si>
    <t>P1028CDM</t>
  </si>
  <si>
    <t>P641CDM</t>
  </si>
  <si>
    <t>P1263CDM</t>
  </si>
  <si>
    <t>P733CDM</t>
  </si>
  <si>
    <t>P336CDM</t>
  </si>
  <si>
    <t>P1092CDM</t>
  </si>
  <si>
    <t>P363CDM</t>
  </si>
  <si>
    <t>P202CDM</t>
  </si>
  <si>
    <t>P1063CDM</t>
  </si>
  <si>
    <t>P573CDM</t>
  </si>
  <si>
    <t>P422CDM</t>
  </si>
  <si>
    <t>PPF1650CDM</t>
  </si>
  <si>
    <t>P1852CDM</t>
  </si>
  <si>
    <t>PPC1274CDM</t>
  </si>
  <si>
    <t>P1504CDM</t>
  </si>
  <si>
    <t>P1699CDM</t>
  </si>
  <si>
    <t>P903CDM</t>
  </si>
  <si>
    <t>P1353CDM</t>
  </si>
  <si>
    <t>P1230CDM</t>
  </si>
  <si>
    <t>P104.16300CDM</t>
  </si>
  <si>
    <t>P655CDM</t>
  </si>
  <si>
    <t>P1276CDM</t>
  </si>
  <si>
    <t>P527CDM</t>
  </si>
  <si>
    <t>P1285CDM</t>
  </si>
  <si>
    <t>P537CDM</t>
  </si>
  <si>
    <t>P755CDM</t>
  </si>
  <si>
    <t>P1110CDM</t>
  </si>
  <si>
    <t>P2049CDM</t>
  </si>
  <si>
    <t>P1439CDM</t>
  </si>
  <si>
    <t>P698CDM</t>
  </si>
  <si>
    <t>P1328CDM</t>
  </si>
  <si>
    <t>P589CDM</t>
  </si>
  <si>
    <t>P448CDM</t>
  </si>
  <si>
    <t>P1011CDM</t>
  </si>
  <si>
    <t>PPC1759CDM</t>
  </si>
  <si>
    <t>P1723CDM</t>
  </si>
  <si>
    <t>P482CDM</t>
  </si>
  <si>
    <t>P1365CDM</t>
  </si>
  <si>
    <t>P272CDM</t>
  </si>
  <si>
    <t>P1045CDM</t>
  </si>
  <si>
    <t>P933CDM</t>
  </si>
  <si>
    <t>P1393CDM</t>
  </si>
  <si>
    <t>P664CDM</t>
  </si>
  <si>
    <t>P1403CDM</t>
  </si>
  <si>
    <t>P1608CDM</t>
  </si>
  <si>
    <t>P553CDM</t>
  </si>
  <si>
    <t>P398CDM</t>
  </si>
  <si>
    <t>P709ACDM</t>
  </si>
  <si>
    <t>P887CDM</t>
  </si>
  <si>
    <t>P602CDM</t>
  </si>
  <si>
    <t>P801CDM</t>
  </si>
  <si>
    <t>P464CDM</t>
  </si>
  <si>
    <t>P2208CDM</t>
  </si>
  <si>
    <t>P1895CDM</t>
  </si>
  <si>
    <t>P633CDM</t>
  </si>
  <si>
    <t>P821CDM</t>
  </si>
  <si>
    <t>P500CDM</t>
  </si>
  <si>
    <t>P728CDM</t>
  </si>
  <si>
    <t>P1087CDM</t>
  </si>
  <si>
    <t>P1936CDM</t>
  </si>
  <si>
    <t>P1049CDM</t>
  </si>
  <si>
    <t>P944CDM</t>
  </si>
  <si>
    <t>P1978CDM</t>
  </si>
  <si>
    <t>P955CDM</t>
  </si>
  <si>
    <t>P682CDM</t>
  </si>
  <si>
    <t>P563CDM</t>
  </si>
  <si>
    <t>P1137CDM</t>
  </si>
  <si>
    <t>P718CDM</t>
  </si>
  <si>
    <t>P1692CDM</t>
  </si>
  <si>
    <t>P897CDM</t>
  </si>
  <si>
    <t>P812CDM</t>
  </si>
  <si>
    <t>P1212CDM</t>
  </si>
  <si>
    <t>P917CDM</t>
  </si>
  <si>
    <t>P1372CDM</t>
  </si>
  <si>
    <t>P1552CDM</t>
  </si>
  <si>
    <t>P833CDM</t>
  </si>
  <si>
    <t>P1270CDM</t>
  </si>
  <si>
    <t>P522CDM</t>
  </si>
  <si>
    <t>P740CDM</t>
  </si>
  <si>
    <t>P34307CDM</t>
  </si>
  <si>
    <t>P1096CDM</t>
  </si>
  <si>
    <t>P2038CDM</t>
  </si>
  <si>
    <t>P1069CDM</t>
  </si>
  <si>
    <t>P1812CDM</t>
  </si>
  <si>
    <t>P964CDM</t>
  </si>
  <si>
    <t>P1426CDM</t>
  </si>
  <si>
    <t>P692CDM</t>
  </si>
  <si>
    <t>P1640CDM</t>
  </si>
  <si>
    <t>P873CDM</t>
  </si>
  <si>
    <t>P582CDM</t>
  </si>
  <si>
    <t>P430CDM</t>
  </si>
  <si>
    <t>P1165CDM</t>
  </si>
  <si>
    <t>P2176CDM</t>
  </si>
  <si>
    <t>PPF768ACDM</t>
  </si>
  <si>
    <t>P1860CDM</t>
  </si>
  <si>
    <t>PPC1596CDM</t>
  </si>
  <si>
    <t>P1359CDM</t>
  </si>
  <si>
    <t>P227CDM</t>
  </si>
  <si>
    <t>P1252CDM</t>
  </si>
  <si>
    <t>P928CDM</t>
  </si>
  <si>
    <t>P840F34055CDM</t>
  </si>
  <si>
    <t>P1280CDM</t>
  </si>
  <si>
    <t>P531CDM</t>
  </si>
  <si>
    <t>P1593CDM</t>
  </si>
  <si>
    <t>P848CDM</t>
  </si>
  <si>
    <t>P1291CDM</t>
  </si>
  <si>
    <t>P542CDM</t>
  </si>
  <si>
    <t>P759CDM</t>
  </si>
  <si>
    <t>P389CDM</t>
  </si>
  <si>
    <t>P1111MCDM</t>
  </si>
  <si>
    <t>P1079CDM</t>
  </si>
  <si>
    <t>P1819CDM</t>
  </si>
  <si>
    <t>P1446CDM</t>
  </si>
  <si>
    <t>P1657CDM</t>
  </si>
  <si>
    <t>P595CDM</t>
  </si>
  <si>
    <t>P458CDM</t>
  </si>
  <si>
    <t>P1182CDM</t>
  </si>
  <si>
    <t>P2191CDM</t>
  </si>
  <si>
    <t>P1879CDM</t>
  </si>
  <si>
    <t>P624CDM</t>
  </si>
  <si>
    <t>P1547CDM</t>
  </si>
  <si>
    <t>P488CDM</t>
  </si>
  <si>
    <t>P283CDM</t>
  </si>
  <si>
    <t>P1047ACDM</t>
  </si>
  <si>
    <t>P1398CDM</t>
  </si>
  <si>
    <t>P1408CDM</t>
  </si>
  <si>
    <t>P1612CDM</t>
  </si>
  <si>
    <t>P767CDM</t>
  </si>
  <si>
    <t>P408ACDM</t>
  </si>
  <si>
    <t>P2117CDM</t>
  </si>
  <si>
    <t>P1834CDM</t>
  </si>
  <si>
    <t>P1464CDM</t>
  </si>
  <si>
    <t>P712CDM</t>
  </si>
  <si>
    <t>P1686CDM</t>
  </si>
  <si>
    <t>P890CDM</t>
  </si>
  <si>
    <t>P2221CDM</t>
  </si>
  <si>
    <t>P1024CDM</t>
  </si>
  <si>
    <t>P637CDM</t>
  </si>
  <si>
    <t>P195CDM</t>
  </si>
  <si>
    <t>P2025CDM</t>
  </si>
  <si>
    <t>P959CDM</t>
  </si>
  <si>
    <t>P1631CDM</t>
  </si>
  <si>
    <t>P572CDM</t>
  </si>
  <si>
    <t>P777CDM</t>
  </si>
  <si>
    <t>P421CDM</t>
  </si>
  <si>
    <t>PPF1432CDM</t>
  </si>
  <si>
    <t>P1001ACDM</t>
  </si>
  <si>
    <t>PPC1273CDM</t>
  </si>
  <si>
    <t>P149CDM</t>
  </si>
  <si>
    <t>P722CDM</t>
  </si>
  <si>
    <t>P1698CDM</t>
  </si>
  <si>
    <t>P902CDM</t>
  </si>
  <si>
    <t>P1226CDM</t>
  </si>
  <si>
    <t>P1735CDM</t>
  </si>
  <si>
    <t>P1377CDM</t>
  </si>
  <si>
    <t>P837CDM</t>
  </si>
  <si>
    <t>P526CDM</t>
  </si>
  <si>
    <t>P745CDM</t>
  </si>
  <si>
    <t>P356CDM</t>
  </si>
  <si>
    <t>P375CDM</t>
  </si>
  <si>
    <t>P1109CDM</t>
  </si>
  <si>
    <t>P1816CDM</t>
  </si>
  <si>
    <t>P1433CDM</t>
  </si>
  <si>
    <t>P697CDM</t>
  </si>
  <si>
    <t>P876ACDM</t>
  </si>
  <si>
    <t>P1327CDM</t>
  </si>
  <si>
    <t>P588CDM</t>
  </si>
  <si>
    <t>P2183CDM</t>
  </si>
  <si>
    <t>P1871CDM</t>
  </si>
  <si>
    <t>PPC1746CDM</t>
  </si>
  <si>
    <t>P911CDM</t>
  </si>
  <si>
    <t>P1364CDM</t>
  </si>
  <si>
    <t>P269CDM</t>
  </si>
  <si>
    <t>P932CDM</t>
  </si>
  <si>
    <t>P1392CDM</t>
  </si>
  <si>
    <t>P663CDM</t>
  </si>
  <si>
    <t>P842CDM</t>
  </si>
  <si>
    <t>P1284CDM</t>
  </si>
  <si>
    <t>P674ACDM</t>
  </si>
  <si>
    <t>P853ACDM</t>
  </si>
  <si>
    <t>P1117CDM</t>
  </si>
  <si>
    <t>P1828CDM</t>
  </si>
  <si>
    <t>P708CDM</t>
  </si>
  <si>
    <t>P1665CDM</t>
  </si>
  <si>
    <t>P1336CDM</t>
  </si>
  <si>
    <t>P800CDM</t>
  </si>
  <si>
    <t>P462CDM</t>
  </si>
  <si>
    <t>P1185CDM</t>
  </si>
  <si>
    <t>P2207CDM</t>
  </si>
  <si>
    <t>P1894CDM</t>
  </si>
  <si>
    <t>P497CDM</t>
  </si>
  <si>
    <t>P1934CDM</t>
  </si>
  <si>
    <t>P943CDM</t>
  </si>
  <si>
    <t>P1413CDM</t>
  </si>
  <si>
    <t>P1625CDM</t>
  </si>
  <si>
    <t>P863CDM</t>
  </si>
  <si>
    <t>P2137CDM</t>
  </si>
  <si>
    <t>P717CDM</t>
  </si>
  <si>
    <t>P894CDM</t>
  </si>
  <si>
    <t>P809CDM</t>
  </si>
  <si>
    <t>P915ECDM</t>
  </si>
  <si>
    <t>P1371CDM</t>
  </si>
  <si>
    <t>P1551CDM</t>
  </si>
  <si>
    <t>P832CDM</t>
  </si>
  <si>
    <t>P1268CDM</t>
  </si>
  <si>
    <t>P512CDM</t>
  </si>
  <si>
    <t>P739CDM</t>
  </si>
  <si>
    <t>P1977CDM</t>
  </si>
  <si>
    <t>P366CDM</t>
  </si>
  <si>
    <t>P1104CDM</t>
  </si>
  <si>
    <t>P1425CDM</t>
  </si>
  <si>
    <t>P691CDM</t>
  </si>
  <si>
    <t>P1636CDM</t>
  </si>
  <si>
    <t>P1319CDM</t>
  </si>
  <si>
    <t>P783CDM</t>
  </si>
  <si>
    <t>P429CDM</t>
  </si>
  <si>
    <t>P2174CDM</t>
  </si>
  <si>
    <t>PPF642CDM</t>
  </si>
  <si>
    <t>PPC1589CDM</t>
  </si>
  <si>
    <t>P170CDM</t>
  </si>
  <si>
    <t>P906ACDM</t>
  </si>
  <si>
    <t>P2270CDM</t>
  </si>
  <si>
    <t>P1249CDM</t>
  </si>
  <si>
    <t>P1900CDM</t>
  </si>
  <si>
    <t>P1040ACDM</t>
  </si>
  <si>
    <t>P1743CDM</t>
  </si>
  <si>
    <t>P926CDM</t>
  </si>
  <si>
    <t>P658CDM</t>
  </si>
  <si>
    <t>P840CDM</t>
  </si>
  <si>
    <t>P530CDM</t>
  </si>
  <si>
    <t>P1288CDM</t>
  </si>
  <si>
    <t>P541CDM</t>
  </si>
  <si>
    <t>P758CDM</t>
  </si>
  <si>
    <t>P1111ECDM</t>
  </si>
  <si>
    <t>P1818SCDM</t>
  </si>
  <si>
    <t>P974ACDM</t>
  </si>
  <si>
    <t>P1445CDM</t>
  </si>
  <si>
    <t>P702ACDM</t>
  </si>
  <si>
    <t>P1656CDM</t>
  </si>
  <si>
    <t>P1331CDM</t>
  </si>
  <si>
    <t>P593CDM</t>
  </si>
  <si>
    <t>P1181CDM</t>
  </si>
  <si>
    <t>P2190CDM</t>
  </si>
  <si>
    <t>PPF1284CDM</t>
  </si>
  <si>
    <t>P1546CDM</t>
  </si>
  <si>
    <t>P486CDM</t>
  </si>
  <si>
    <t>P1368CDM</t>
  </si>
  <si>
    <t>P280CDM</t>
  </si>
  <si>
    <t>P1772CDM</t>
  </si>
  <si>
    <t>P936CDM</t>
  </si>
  <si>
    <t>P676CDM</t>
  </si>
  <si>
    <t>P555CDM</t>
  </si>
  <si>
    <t>P766CDM</t>
  </si>
  <si>
    <t>P404CDM</t>
  </si>
  <si>
    <t>P2115CDM</t>
  </si>
  <si>
    <t>P607CDM</t>
  </si>
  <si>
    <t>P466CDM</t>
  </si>
  <si>
    <t>P1194CDM</t>
  </si>
  <si>
    <t>P2219CDM</t>
  </si>
  <si>
    <t>P1023CDM</t>
  </si>
  <si>
    <t>P504CDM</t>
  </si>
  <si>
    <t>P1050CDM</t>
  </si>
  <si>
    <t>P2023CDM</t>
  </si>
  <si>
    <t>P1804CDM</t>
  </si>
  <si>
    <t>P958CDM</t>
  </si>
  <si>
    <t>P1420CDM</t>
  </si>
  <si>
    <t>P685CDM</t>
  </si>
  <si>
    <t>P571CDM</t>
  </si>
  <si>
    <t>P775CDM</t>
  </si>
  <si>
    <t>P418CDM</t>
  </si>
  <si>
    <t>P1157CDM</t>
  </si>
  <si>
    <t>PPF1411CDM</t>
  </si>
  <si>
    <t>P1000CDM</t>
  </si>
  <si>
    <t>P900CDM</t>
  </si>
  <si>
    <t>P815ACDM</t>
  </si>
  <si>
    <t>P1224CDM</t>
  </si>
  <si>
    <t>P1038CDM</t>
  </si>
  <si>
    <t>P920CDM</t>
  </si>
  <si>
    <t>P1376CDM</t>
  </si>
  <si>
    <t>P1559CDM</t>
  </si>
  <si>
    <t>P836CDM</t>
  </si>
  <si>
    <t>P525CDM</t>
  </si>
  <si>
    <t>P744CDM</t>
  </si>
  <si>
    <t>P353CDM</t>
  </si>
  <si>
    <t>P967CDM</t>
  </si>
  <si>
    <t>P1432CDM</t>
  </si>
  <si>
    <t>P1326CDM</t>
  </si>
  <si>
    <t>P587CDM</t>
  </si>
  <si>
    <t>P789CDM</t>
  </si>
  <si>
    <t>P2180CDM</t>
  </si>
  <si>
    <t>P1866CDM</t>
  </si>
  <si>
    <t>PPC1734CDM</t>
  </si>
  <si>
    <t>P910CDM</t>
  </si>
  <si>
    <t>P256CDM</t>
  </si>
  <si>
    <t>P1910CDM</t>
  </si>
  <si>
    <t>P662CDM</t>
  </si>
  <si>
    <t>P1283CDM</t>
  </si>
  <si>
    <t>P535CDM</t>
  </si>
  <si>
    <t>P673CDM</t>
  </si>
  <si>
    <t>P851CDM</t>
  </si>
  <si>
    <t>P550CDM</t>
  </si>
  <si>
    <t>P761CDM</t>
  </si>
  <si>
    <t>P394CDM</t>
  </si>
  <si>
    <t>P1082CDM</t>
  </si>
  <si>
    <t>P977CDM</t>
  </si>
  <si>
    <t>P1335CDM</t>
  </si>
  <si>
    <t>P799CDM</t>
  </si>
  <si>
    <t>P1185ACDM</t>
  </si>
  <si>
    <t>P2200CDM</t>
  </si>
  <si>
    <t>P1893CDM</t>
  </si>
  <si>
    <t>P628CDM</t>
  </si>
  <si>
    <t>P496CDM</t>
  </si>
  <si>
    <t>P310CDM</t>
  </si>
  <si>
    <t>P1924CDM</t>
  </si>
  <si>
    <t>P1783CDM</t>
  </si>
  <si>
    <t>P942CDM</t>
  </si>
  <si>
    <t>P1054CDM</t>
  </si>
  <si>
    <t>P561CDM</t>
  </si>
  <si>
    <t>P769CDM</t>
  </si>
  <si>
    <t>P411CDM</t>
  </si>
  <si>
    <t>P1125CDM</t>
  </si>
  <si>
    <t>P2136CDM</t>
  </si>
  <si>
    <t>P990CDM</t>
  </si>
  <si>
    <t>P716CDM</t>
  </si>
  <si>
    <t>P1689CDM</t>
  </si>
  <si>
    <t>P808CDM</t>
  </si>
  <si>
    <t>P1031CDM</t>
  </si>
  <si>
    <t>P915CDM</t>
  </si>
  <si>
    <t>P643CDM</t>
  </si>
  <si>
    <t>P1267CDM</t>
  </si>
  <si>
    <t>P508CDM</t>
  </si>
  <si>
    <t>P737CDM</t>
  </si>
  <si>
    <t>P340ACDM</t>
  </si>
  <si>
    <t>P365CDM</t>
  </si>
  <si>
    <t>P1067CDM</t>
  </si>
  <si>
    <t>P1809CDM</t>
  </si>
  <si>
    <t>P1424CDM</t>
  </si>
  <si>
    <t>P690CDM</t>
  </si>
  <si>
    <t>P1634CDM</t>
  </si>
  <si>
    <t>P1318CDM</t>
  </si>
  <si>
    <t>P427CDM</t>
  </si>
  <si>
    <t>P2173CDM</t>
  </si>
  <si>
    <t>PPF1857CDM</t>
  </si>
  <si>
    <t>P1856CDM</t>
  </si>
  <si>
    <t>PPC1561CDM</t>
  </si>
  <si>
    <t>P1507CDM</t>
  </si>
  <si>
    <t>P1709CDM</t>
  </si>
  <si>
    <t>P2225CDM</t>
  </si>
  <si>
    <t>P818CDM</t>
  </si>
  <si>
    <t>P1241CDM</t>
  </si>
  <si>
    <t>P1898CDM</t>
  </si>
  <si>
    <t>P104.16361CDM</t>
  </si>
  <si>
    <t>P1739CDM</t>
  </si>
  <si>
    <t>P924CDM</t>
  </si>
  <si>
    <t>P1380CDM</t>
  </si>
  <si>
    <t>P657CDM</t>
  </si>
  <si>
    <t>P1564CDM</t>
  </si>
  <si>
    <t>P840ACDM</t>
  </si>
  <si>
    <t>P52CDM</t>
  </si>
  <si>
    <t>P378CDM</t>
  </si>
  <si>
    <t>P2050CDM</t>
  </si>
  <si>
    <t>P1077CDM</t>
  </si>
  <si>
    <t>P1818CDM</t>
  </si>
  <si>
    <t>P973CDM</t>
  </si>
  <si>
    <t>P880CDM</t>
  </si>
  <si>
    <t>P1330CDM</t>
  </si>
  <si>
    <t>P592CDM</t>
  </si>
  <si>
    <t>P450CDM</t>
  </si>
  <si>
    <t>P2189CDM</t>
  </si>
  <si>
    <t>P1013CDM</t>
  </si>
  <si>
    <t>P1877CDM</t>
  </si>
  <si>
    <t>P622CDM</t>
  </si>
  <si>
    <t>PPF1075CDM</t>
  </si>
  <si>
    <t>P1544CDM</t>
  </si>
  <si>
    <t>P1726CDM</t>
  </si>
  <si>
    <t>P485CDM</t>
  </si>
  <si>
    <t>P1367CDM</t>
  </si>
  <si>
    <t>P279CDM</t>
  </si>
  <si>
    <t>P1915CDM</t>
  </si>
  <si>
    <t>P1771CDM</t>
  </si>
  <si>
    <t>P845CDM</t>
  </si>
  <si>
    <t>P1792CDM</t>
  </si>
  <si>
    <t>P1405CDM</t>
  </si>
  <si>
    <t>P555ACDM</t>
  </si>
  <si>
    <t>P765CDM</t>
  </si>
  <si>
    <t>P403CDM</t>
  </si>
  <si>
    <t>P1120CDM</t>
  </si>
  <si>
    <t>P2102CDM</t>
  </si>
  <si>
    <t>P1832CDM</t>
  </si>
  <si>
    <t>P465CDM</t>
  </si>
  <si>
    <t>P2218CDM</t>
  </si>
  <si>
    <t>P329CDM</t>
  </si>
  <si>
    <t>P1089CDM</t>
  </si>
  <si>
    <t>P1953CDM</t>
  </si>
  <si>
    <t>P1050ACDM</t>
  </si>
  <si>
    <t>P2019CDM</t>
  </si>
  <si>
    <t>P1803CDM</t>
  </si>
  <si>
    <t>P1419CDM</t>
  </si>
  <si>
    <t>P684CDM</t>
  </si>
  <si>
    <t>P1630ACDM</t>
  </si>
  <si>
    <t>P866CDM</t>
  </si>
  <si>
    <t>P1313CDM</t>
  </si>
  <si>
    <t>P567CDM</t>
  </si>
  <si>
    <t>P417CDM</t>
  </si>
  <si>
    <t>P2162CDM</t>
  </si>
  <si>
    <t>PPF1376CDM</t>
  </si>
  <si>
    <t>P720CDM</t>
  </si>
  <si>
    <t>P899CDM</t>
  </si>
  <si>
    <t>P1349CDM</t>
  </si>
  <si>
    <t>P814CDM</t>
  </si>
  <si>
    <t>P1223CDM</t>
  </si>
  <si>
    <t>P1557CDM</t>
  </si>
  <si>
    <t>P524CDM</t>
  </si>
  <si>
    <t>P743CDM</t>
  </si>
  <si>
    <t>P352CDM</t>
  </si>
  <si>
    <t>Local Purchase</t>
  </si>
  <si>
    <t>AFN no auto swap</t>
  </si>
  <si>
    <t>Clear AFN</t>
  </si>
  <si>
    <t>1047B</t>
  </si>
  <si>
    <t>840F</t>
  </si>
  <si>
    <t>840M</t>
  </si>
  <si>
    <t>667B</t>
  </si>
  <si>
    <t>1818B</t>
  </si>
  <si>
    <t>674B</t>
  </si>
  <si>
    <t>1047S</t>
  </si>
  <si>
    <t>667S</t>
  </si>
  <si>
    <t>687A</t>
  </si>
  <si>
    <t>674S</t>
  </si>
  <si>
    <t>436A</t>
  </si>
  <si>
    <t>TCD1874</t>
  </si>
  <si>
    <t>C1679</t>
  </si>
  <si>
    <t>1258A</t>
  </si>
  <si>
    <t>F1844</t>
  </si>
  <si>
    <t>C1540</t>
  </si>
  <si>
    <t>1111A</t>
  </si>
  <si>
    <t>C961</t>
  </si>
  <si>
    <t>888A</t>
  </si>
  <si>
    <t>465A</t>
  </si>
  <si>
    <t>F1297</t>
  </si>
  <si>
    <t>873E</t>
  </si>
  <si>
    <t>C-D1812</t>
  </si>
  <si>
    <t>C1640</t>
  </si>
  <si>
    <t>760A</t>
  </si>
  <si>
    <t>768A</t>
  </si>
  <si>
    <t>F1650</t>
  </si>
  <si>
    <t>C1274</t>
  </si>
  <si>
    <t>C1759</t>
  </si>
  <si>
    <t>709A</t>
  </si>
  <si>
    <t>F768A</t>
  </si>
  <si>
    <t>C1596</t>
  </si>
  <si>
    <t>840F34055</t>
  </si>
  <si>
    <t>1111M</t>
  </si>
  <si>
    <t>1047A</t>
  </si>
  <si>
    <t>408A</t>
  </si>
  <si>
    <t>F1432</t>
  </si>
  <si>
    <t>1001A</t>
  </si>
  <si>
    <t>C1273</t>
  </si>
  <si>
    <t>876A</t>
  </si>
  <si>
    <t>C1746</t>
  </si>
  <si>
    <t>674A</t>
  </si>
  <si>
    <t>853A</t>
  </si>
  <si>
    <t>915E</t>
  </si>
  <si>
    <t>F642</t>
  </si>
  <si>
    <t>C1589</t>
  </si>
  <si>
    <t>906A</t>
  </si>
  <si>
    <t>1040A</t>
  </si>
  <si>
    <t>1111E</t>
  </si>
  <si>
    <t>1818S</t>
  </si>
  <si>
    <t>974A</t>
  </si>
  <si>
    <t>702A</t>
  </si>
  <si>
    <t>F1284</t>
  </si>
  <si>
    <t>F1411</t>
  </si>
  <si>
    <t>815A</t>
  </si>
  <si>
    <t>C1734</t>
  </si>
  <si>
    <t>1185A</t>
  </si>
  <si>
    <t>340A</t>
  </si>
  <si>
    <t>F1857</t>
  </si>
  <si>
    <t>C1561</t>
  </si>
  <si>
    <t>840A</t>
  </si>
  <si>
    <t>F1075</t>
  </si>
  <si>
    <t>555A</t>
  </si>
  <si>
    <t>1050A</t>
  </si>
  <si>
    <t>1630A</t>
  </si>
  <si>
    <t>F1376</t>
  </si>
  <si>
    <t>Part</t>
    <phoneticPr fontId="22" type="noConversion"/>
  </si>
  <si>
    <t>CDM</t>
    <phoneticPr fontId="22" type="noConversion"/>
  </si>
  <si>
    <t/>
  </si>
  <si>
    <t>1367(2way)</t>
  </si>
  <si>
    <t>1194(2way)</t>
  </si>
  <si>
    <t>1364(2way)</t>
  </si>
  <si>
    <t>1000(2way)</t>
  </si>
  <si>
    <t>2102(2way)</t>
  </si>
  <si>
    <t>932(2way)</t>
  </si>
  <si>
    <t>558(2way)</t>
  </si>
  <si>
    <t>2035(2way)</t>
  </si>
  <si>
    <t>560(2way)</t>
  </si>
  <si>
    <t>1424(2way)</t>
  </si>
  <si>
    <t>637(2way)</t>
  </si>
  <si>
    <t>1297(2way)</t>
  </si>
  <si>
    <t>595(2way)</t>
  </si>
  <si>
    <t>936(2way)</t>
  </si>
  <si>
    <t>753(2way)</t>
  </si>
  <si>
    <t>727(2way)</t>
  </si>
  <si>
    <t>1408(2way)</t>
  </si>
  <si>
    <t>840F/840M</t>
  </si>
  <si>
    <t>N</t>
  </si>
  <si>
    <t>Y</t>
  </si>
  <si>
    <t>CDM TA</t>
    <phoneticPr fontId="22" type="noConversion"/>
  </si>
  <si>
    <t>AFN TA</t>
    <phoneticPr fontId="22" type="noConversion"/>
  </si>
  <si>
    <t>CDP TA</t>
    <phoneticPr fontId="22" type="noConversion"/>
  </si>
  <si>
    <t>Primary Qty</t>
    <phoneticPr fontId="22" type="noConversion"/>
  </si>
  <si>
    <t>Primary</t>
  </si>
  <si>
    <t>Weekly
Sales
(1-2)</t>
  </si>
  <si>
    <t>need
(1-2)</t>
  </si>
  <si>
    <t>Purchased</t>
  </si>
  <si>
    <t>840C</t>
  </si>
  <si>
    <t>Part</t>
  </si>
  <si>
    <t>QTY</t>
  </si>
  <si>
    <t>Buy QTY</t>
  </si>
  <si>
    <t>Swap</t>
  </si>
  <si>
    <t>AFN to CDM</t>
  </si>
  <si>
    <t>CDP to CDM</t>
  </si>
  <si>
    <t xml:space="preserve">AFN Sales
</t>
  </si>
  <si>
    <t>2000 Nov
Sales</t>
  </si>
  <si>
    <t>2000 Dec
Sales</t>
  </si>
  <si>
    <t>PMDC1274</t>
  </si>
  <si>
    <t>VTDC1274</t>
  </si>
  <si>
    <t>PMD500</t>
  </si>
  <si>
    <t>VTD500</t>
  </si>
  <si>
    <t>PMD356</t>
  </si>
  <si>
    <t>VTD356</t>
  </si>
  <si>
    <t>PMD427</t>
  </si>
  <si>
    <t>VTD427</t>
  </si>
  <si>
    <t>PMDF1376</t>
  </si>
  <si>
    <t>VTDF1376</t>
  </si>
  <si>
    <t>PMD531</t>
  </si>
  <si>
    <t>VTD531</t>
  </si>
  <si>
    <t>PMD573</t>
  </si>
  <si>
    <t>VTD573</t>
  </si>
  <si>
    <t>PMD1252</t>
  </si>
  <si>
    <t>VTD1252</t>
  </si>
  <si>
    <t>PMD256</t>
  </si>
  <si>
    <t>VTD256</t>
  </si>
  <si>
    <t>PMD363</t>
  </si>
  <si>
    <t>VTD363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</si>
</sst>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38">
    <font>
      <sz val="11"/>
      <color theme="1"/>
      <name val="Calibri"/>
      <family val="2"/>
      <charset val="136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</font>
    <font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</font>
    <font>
      <b/>
      <sz val="13"/>
      <color theme="3"/>
      <name val="Calibri"/>
      <family val="2"/>
      <charset val="136"/>
    </font>
    <font>
      <b/>
      <sz val="11"/>
      <color theme="3"/>
      <name val="Calibri"/>
      <family val="2"/>
      <charset val="136"/>
    </font>
    <font>
      <sz val="11"/>
      <color rgb="FF006100"/>
      <name val="Calibri"/>
      <family val="2"/>
      <charset val="136"/>
    </font>
    <font>
      <sz val="11"/>
      <color rgb="FF9C0006"/>
      <name val="Calibri"/>
      <family val="2"/>
      <charset val="136"/>
    </font>
    <font>
      <sz val="11"/>
      <color rgb="FF9C5700"/>
      <name val="Calibri"/>
      <family val="2"/>
      <charset val="136"/>
    </font>
    <font>
      <sz val="11"/>
      <color rgb="FF3F3F76"/>
      <name val="Calibri"/>
      <family val="2"/>
      <charset val="136"/>
    </font>
    <font>
      <b/>
      <sz val="11"/>
      <color rgb="FF3F3F3F"/>
      <name val="Calibri"/>
      <family val="2"/>
      <charset val="136"/>
    </font>
    <font>
      <b/>
      <sz val="11"/>
      <color rgb="FFFA7D00"/>
      <name val="Calibri"/>
      <family val="2"/>
      <charset val="136"/>
    </font>
    <font>
      <sz val="11"/>
      <color rgb="FFFA7D00"/>
      <name val="Calibri"/>
      <family val="2"/>
      <charset val="136"/>
    </font>
    <font>
      <b/>
      <sz val="11"/>
      <color theme="0"/>
      <name val="Calibri"/>
      <family val="2"/>
      <charset val="136"/>
    </font>
    <font>
      <sz val="11"/>
      <color rgb="FFFF0000"/>
      <name val="Calibri"/>
      <family val="2"/>
      <charset val="136"/>
    </font>
    <font>
      <i/>
      <sz val="11"/>
      <color rgb="FF7F7F7F"/>
      <name val="Calibri"/>
      <family val="2"/>
      <charset val="136"/>
    </font>
    <font>
      <b/>
      <sz val="11"/>
      <color theme="1"/>
      <name val="Calibri"/>
      <family val="2"/>
      <charset val="136"/>
    </font>
    <font>
      <sz val="11"/>
      <color theme="0"/>
      <name val="Calibri"/>
      <family val="2"/>
      <charset val="136"/>
    </font>
    <font>
      <sz val="9"/>
      <name val="Calibri"/>
      <family val="2"/>
      <charset val="136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name val="宋体"/>
      <family val="3"/>
      <charset val="136"/>
    </font>
    <font>
      <sz val="11"/>
      <name val="Calibri"/>
      <family val="2"/>
      <charset val="136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color theme="4"/>
      <name val="Calibri"/>
      <family val="2"/>
    </font>
    <font>
      <sz val="11"/>
      <color theme="4"/>
      <name val="Calibri"/>
      <family val="2"/>
    </font>
    <font>
      <sz val="11"/>
      <color theme="1"/>
      <name val="Calibri"/>
      <family val="2"/>
    </font>
    <font>
      <sz val="8"/>
      <name val="Calibri"/>
      <family val="2"/>
      <charset val="136"/>
    </font>
    <font>
      <sz val="10"/>
      <color theme="1"/>
      <name val="Times New Roman"/>
      <family val="1"/>
    </font>
    <font>
      <b/>
      <sz val="11"/>
      <color rgb="FF0070C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5" fillId="0" borderId="0"/>
    <xf numFmtId="0" fontId="26" fillId="0" borderId="0"/>
    <xf numFmtId="164" fontId="5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0" fontId="2" fillId="0" borderId="0"/>
    <xf numFmtId="0" fontId="1" fillId="0" borderId="0"/>
  </cellStyleXfs>
  <cellXfs count="39">
    <xf numFmtId="0" fontId="0" fillId="0" borderId="0" xfId="0">
      <alignment vertical="center"/>
    </xf>
    <xf numFmtId="0" fontId="23" fillId="33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35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24" fillId="0" borderId="0" xfId="0" applyNumberFormat="1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0" xfId="0" applyFont="1" applyFill="1" applyAlignment="1">
      <alignment horizontal="center" vertical="center" wrapText="1"/>
    </xf>
    <xf numFmtId="0" fontId="29" fillId="0" borderId="0" xfId="0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23" fillId="38" borderId="0" xfId="0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 wrapText="1"/>
    </xf>
    <xf numFmtId="0" fontId="30" fillId="0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3" fillId="0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/>
    </xf>
    <xf numFmtId="0" fontId="27" fillId="40" borderId="0" xfId="0" applyFont="1" applyFill="1" applyAlignment="1">
      <alignment horizontal="center" vertical="center"/>
    </xf>
    <xf numFmtId="0" fontId="28" fillId="38" borderId="0" xfId="0" applyFont="1" applyFill="1" applyAlignment="1">
      <alignment horizontal="center" vertical="center"/>
    </xf>
    <xf numFmtId="0" fontId="28" fillId="38" borderId="0" xfId="0" applyFont="1" applyFill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0" fontId="37" fillId="38" borderId="0" xfId="0" applyFont="1" applyFill="1" applyAlignment="1">
      <alignment horizontal="center" vertical="center"/>
    </xf>
    <xf numFmtId="0" fontId="23" fillId="36" borderId="0" xfId="0" applyFont="1" applyFill="1" applyAlignment="1">
      <alignment horizontal="center" vertical="center"/>
    </xf>
    <xf numFmtId="0" fontId="23" fillId="37" borderId="0" xfId="0" applyFont="1" applyFill="1" applyAlignment="1">
      <alignment horizontal="center" vertical="center"/>
    </xf>
  </cellXfs>
  <cellStyles count="4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4" xr:uid="{3B997184-AAE7-46AE-97EE-1CD8C99EDAF3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rmal 3" xfId="45" xr:uid="{FC2B8627-6A93-4B24-8641-F71F19040EB4}"/>
    <cellStyle name="Normal 4" xfId="46" xr:uid="{40B6B77C-6186-4B27-B26F-EE124A5F7181}"/>
    <cellStyle name="Normal 5" xfId="47" xr:uid="{2B55E453-F384-4306-BA1E-A749D6883902}"/>
    <cellStyle name="Normal 6" xfId="48" xr:uid="{0AA76A98-A58F-4EE3-B3E1-8AC4DDDD970D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常规_packing list-cornwall 080107" xfId="43" xr:uid="{00000000-0005-0000-0000-00002B000000}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144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8.85546875" defaultRowHeight="15"/>
  <cols>
    <col min="1" max="1" width="10.7109375" style="5" customWidth="1"/>
    <col min="2" max="2" width="10.42578125" style="5" bestFit="1" customWidth="1"/>
    <col min="3" max="3" width="8.85546875" style="16"/>
    <col min="4" max="4" width="0" style="5" hidden="1" customWidth="1"/>
    <col min="5" max="7" width="8.85546875" style="5" hidden="1" customWidth="1"/>
    <col min="8" max="9" width="8.85546875" style="24" hidden="1" customWidth="1"/>
    <col min="10" max="10" width="8.85546875" style="16" hidden="1" customWidth="1"/>
    <col min="11" max="12" width="0" style="24" hidden="1" customWidth="1"/>
    <col min="13" max="13" width="8.85546875" style="16"/>
    <col min="14" max="14" width="9" style="5" customWidth="1"/>
    <col min="15" max="15" width="8.85546875" style="5"/>
    <col min="16" max="17" width="8.85546875" style="16"/>
    <col min="18" max="19" width="8.85546875" style="23"/>
    <col min="20" max="20" width="10.7109375" style="5" customWidth="1"/>
    <col min="21" max="21" width="8.85546875" style="5"/>
    <col min="22" max="30" width="8.85546875" style="5" hidden="1" customWidth="1"/>
    <col min="31" max="31" width="8.85546875" style="26" hidden="1" customWidth="1"/>
    <col min="32" max="32" width="8.85546875" style="24" hidden="1" customWidth="1"/>
    <col min="33" max="33" width="0" style="16" hidden="1" customWidth="1"/>
    <col min="34" max="34" width="0" style="24" hidden="1" customWidth="1"/>
    <col min="35" max="35" width="8.85546875" style="24"/>
    <col min="36" max="36" width="8.85546875" style="16"/>
    <col min="37" max="39" width="8.85546875" style="5"/>
    <col min="40" max="40" width="17.85546875" style="5" bestFit="1" customWidth="1"/>
    <col min="41" max="41" width="13.5703125" style="5" bestFit="1" customWidth="1"/>
    <col min="42" max="42" width="9.42578125" style="5" hidden="1" customWidth="1"/>
    <col min="43" max="43" width="6.42578125" style="5" hidden="1" customWidth="1"/>
    <col min="44" max="44" width="10.7109375" style="5" hidden="1" customWidth="1"/>
    <col min="45" max="52" width="10.7109375" style="5" customWidth="1"/>
    <col min="53" max="16384" width="8.85546875" style="5"/>
  </cols>
  <sheetData>
    <row r="1" spans="1:57">
      <c r="F1" s="13"/>
      <c r="G1" s="13"/>
      <c r="H1" s="13"/>
      <c r="I1" s="13"/>
      <c r="J1" s="13"/>
      <c r="K1" s="33"/>
      <c r="L1" s="33"/>
      <c r="M1" s="32"/>
      <c r="R1" s="36" t="s">
        <v>1243</v>
      </c>
      <c r="S1" s="36"/>
      <c r="V1" s="13"/>
      <c r="W1" s="13"/>
      <c r="X1" s="13"/>
      <c r="Y1" s="13"/>
      <c r="Z1" s="13"/>
      <c r="AA1" s="13"/>
      <c r="AB1" s="13"/>
      <c r="AC1" s="13"/>
      <c r="AD1" s="13"/>
      <c r="AE1" s="13"/>
      <c r="AF1" s="33"/>
      <c r="AG1" s="33"/>
      <c r="AH1" s="33"/>
      <c r="AI1" s="33"/>
      <c r="AJ1" s="33"/>
      <c r="AS1" s="38"/>
      <c r="AT1" s="38"/>
      <c r="AU1" s="38"/>
      <c r="AV1" s="38"/>
      <c r="AW1" s="37"/>
      <c r="AX1" s="37"/>
      <c r="AY1" s="37"/>
      <c r="AZ1" s="37"/>
    </row>
    <row r="2" spans="1:57" ht="60">
      <c r="A2" s="4" t="s">
        <v>1209</v>
      </c>
      <c r="B2" s="4" t="s">
        <v>1208</v>
      </c>
      <c r="C2" s="17" t="s">
        <v>1231</v>
      </c>
      <c r="D2" s="4"/>
      <c r="E2" s="4"/>
      <c r="F2" s="10"/>
      <c r="G2" s="10"/>
      <c r="H2" s="10"/>
      <c r="I2" s="10"/>
      <c r="J2" s="1"/>
      <c r="K2" s="10"/>
      <c r="L2" s="10"/>
      <c r="M2" s="18" t="s">
        <v>1246</v>
      </c>
      <c r="N2" s="2"/>
      <c r="O2" s="2"/>
      <c r="P2" s="20" t="s">
        <v>1232</v>
      </c>
      <c r="Q2" s="20" t="s">
        <v>1233</v>
      </c>
      <c r="R2" s="35" t="s">
        <v>1244</v>
      </c>
      <c r="S2" s="35" t="s">
        <v>1245</v>
      </c>
      <c r="T2" s="20" t="s">
        <v>1235</v>
      </c>
      <c r="U2" s="20" t="s">
        <v>1234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0"/>
      <c r="AG2" s="1"/>
      <c r="AH2" s="10"/>
      <c r="AI2" s="10" t="s">
        <v>1247</v>
      </c>
      <c r="AJ2" s="18" t="s">
        <v>1248</v>
      </c>
      <c r="AK2" s="27" t="s">
        <v>1236</v>
      </c>
      <c r="AL2" s="3" t="s">
        <v>1237</v>
      </c>
      <c r="AM2" s="2" t="s">
        <v>1139</v>
      </c>
      <c r="AN2" s="34" t="s">
        <v>1242</v>
      </c>
      <c r="AO2" s="20" t="s">
        <v>1238</v>
      </c>
      <c r="AP2" s="21"/>
      <c r="AQ2" s="2" t="s">
        <v>1140</v>
      </c>
      <c r="AR2" s="2" t="s">
        <v>1141</v>
      </c>
      <c r="AS2" s="7"/>
      <c r="AT2" s="7"/>
      <c r="AU2" s="7"/>
      <c r="AV2" s="7"/>
      <c r="AW2" s="7"/>
      <c r="AX2" s="7"/>
      <c r="AY2" s="7"/>
      <c r="AZ2" s="7"/>
    </row>
    <row r="3" spans="1:57">
      <c r="A3" s="5" t="s">
        <v>1093</v>
      </c>
      <c r="B3" s="5">
        <v>1013</v>
      </c>
      <c r="C3" s="19">
        <v>16</v>
      </c>
      <c r="E3" s="14"/>
      <c r="F3" s="11"/>
      <c r="G3" s="11"/>
      <c r="H3" s="11"/>
      <c r="I3" s="11"/>
      <c r="J3" s="25"/>
      <c r="K3" s="11"/>
      <c r="L3" s="11"/>
      <c r="M3" s="19">
        <v>0</v>
      </c>
      <c r="O3" s="6"/>
      <c r="P3" s="16">
        <v>0</v>
      </c>
      <c r="Q3" s="16">
        <v>0</v>
      </c>
      <c r="R3" s="22"/>
      <c r="S3" s="22">
        <f>IF(AL3&gt;0,IF(Q3&gt;=AL3,ROUND(AL3,0),Q3),0)</f>
        <v>0</v>
      </c>
      <c r="T3" s="5">
        <v>864</v>
      </c>
      <c r="U3" s="5">
        <v>232</v>
      </c>
      <c r="Y3" s="8"/>
      <c r="Z3" s="8"/>
      <c r="AA3" s="8"/>
      <c r="AB3" s="8"/>
      <c r="AC3" s="8"/>
      <c r="AD3" s="8"/>
      <c r="AE3" s="25"/>
      <c r="AF3" s="11"/>
      <c r="AG3" s="25"/>
      <c r="AH3" s="11"/>
      <c r="AI3" s="11">
        <v>97</v>
      </c>
      <c r="AJ3" s="19">
        <v>0</v>
      </c>
      <c r="AK3" s="12">
        <f>(AJ3+AI3)/30*7</f>
        <v>22.633333333333333</v>
      </c>
      <c r="AL3" s="6">
        <f>IF(AK3-C3&lt;0,0,AK3-C3)</f>
        <v>6.6333333333333329</v>
      </c>
      <c r="AM3" s="6">
        <f>IF(AL3-R3-S3&lt;0,0,AL3-R3-S3)</f>
        <v>6.6333333333333329</v>
      </c>
      <c r="AN3" s="5" t="str">
        <f>IF(AM3&gt;0,IF(LEN(U3)=0,IF(ROUND(AM3-AO3,0)&gt;0,ROUND(AM3-AO3,0),""),IF(U3+AO3&gt;=AM3,"",ROUND(AM3-U3-AO3,0))),"")</f>
        <v/>
      </c>
      <c r="AO3" s="5">
        <v>0</v>
      </c>
      <c r="AP3" s="9"/>
      <c r="AQ3" s="5" t="s">
        <v>1210</v>
      </c>
      <c r="AR3" s="5" t="s">
        <v>1210</v>
      </c>
      <c r="AS3" s="8"/>
      <c r="AT3" s="8"/>
      <c r="AU3" s="8"/>
      <c r="AV3" s="8"/>
      <c r="AW3" s="8"/>
      <c r="AX3" s="8"/>
      <c r="AY3" s="8"/>
      <c r="AZ3" s="8"/>
      <c r="BB3" s="28"/>
      <c r="BC3" s="28"/>
      <c r="BD3" s="29"/>
      <c r="BE3" s="30"/>
    </row>
    <row r="4" spans="1:57">
      <c r="A4" s="5" t="s">
        <v>737</v>
      </c>
      <c r="B4" s="5" t="s">
        <v>1169</v>
      </c>
      <c r="C4" s="19">
        <v>16</v>
      </c>
      <c r="E4" s="14"/>
      <c r="F4" s="11"/>
      <c r="G4" s="11"/>
      <c r="H4" s="11"/>
      <c r="I4" s="11"/>
      <c r="J4" s="25"/>
      <c r="K4" s="11"/>
      <c r="L4" s="11"/>
      <c r="M4" s="19">
        <v>0</v>
      </c>
      <c r="O4" s="6"/>
      <c r="P4" s="16">
        <v>0</v>
      </c>
      <c r="Q4" s="16">
        <v>0</v>
      </c>
      <c r="R4" s="22"/>
      <c r="S4" s="22">
        <f t="shared" ref="S4:S67" si="0">IF(AL4&gt;0,IF(Q4&gt;=AL4,ROUND(AL4,0),Q4),0)</f>
        <v>0</v>
      </c>
      <c r="T4" s="5" t="s">
        <v>1210</v>
      </c>
      <c r="U4" s="5" t="s">
        <v>1210</v>
      </c>
      <c r="Y4" s="8"/>
      <c r="Z4" s="8"/>
      <c r="AA4" s="8"/>
      <c r="AB4" s="8"/>
      <c r="AC4" s="8"/>
      <c r="AD4" s="8"/>
      <c r="AE4" s="25"/>
      <c r="AF4" s="11"/>
      <c r="AG4" s="25"/>
      <c r="AH4" s="11"/>
      <c r="AI4" s="11">
        <v>97</v>
      </c>
      <c r="AJ4" s="19">
        <v>0</v>
      </c>
      <c r="AK4" s="12">
        <f>(AJ4+AI4)/30*7</f>
        <v>22.633333333333333</v>
      </c>
      <c r="AL4" s="6">
        <f>IF(AK4-C4&lt;0,0,AK4-C4)</f>
        <v>6.6333333333333329</v>
      </c>
      <c r="AM4" s="6">
        <f>IF(AL4-R4-S4&lt;0,0,AL4-R4-S4)</f>
        <v>6.6333333333333329</v>
      </c>
      <c r="AN4" s="5">
        <f t="shared" ref="AN4:AN67" si="1">IF(AM4&gt;0,IF(LEN(U4)=0,IF(ROUND(AM4-AO4,0)&gt;0,ROUND(AM4-AO4,0),""),IF(U4+AO4&gt;=AM4,"",ROUND(AM4-U4-AO4,0))),"")</f>
        <v>7</v>
      </c>
      <c r="AO4" s="5">
        <v>0</v>
      </c>
      <c r="AP4" s="9"/>
      <c r="AQ4" s="5" t="s">
        <v>1210</v>
      </c>
      <c r="AR4" s="5" t="s">
        <v>1210</v>
      </c>
      <c r="AS4" s="8"/>
      <c r="AT4" s="8"/>
      <c r="AU4" s="8"/>
      <c r="AV4" s="8"/>
      <c r="AW4" s="8"/>
      <c r="AX4" s="8"/>
      <c r="AY4" s="8"/>
      <c r="AZ4" s="8"/>
      <c r="BB4" s="28"/>
      <c r="BC4" s="28"/>
      <c r="BD4" s="29"/>
      <c r="BE4" s="30"/>
    </row>
    <row r="5" spans="1:57">
      <c r="A5" s="5" t="s">
        <v>973</v>
      </c>
      <c r="B5" s="5">
        <v>936</v>
      </c>
      <c r="C5" s="19">
        <v>16</v>
      </c>
      <c r="E5" s="14"/>
      <c r="F5" s="11"/>
      <c r="G5" s="11"/>
      <c r="H5" s="11"/>
      <c r="I5" s="11"/>
      <c r="J5" s="25"/>
      <c r="K5" s="11"/>
      <c r="L5" s="11"/>
      <c r="M5" s="19">
        <v>0</v>
      </c>
      <c r="O5" s="6"/>
      <c r="P5" s="16">
        <v>0</v>
      </c>
      <c r="Q5" s="16">
        <v>0</v>
      </c>
      <c r="R5" s="22"/>
      <c r="S5" s="22">
        <f t="shared" si="0"/>
        <v>0</v>
      </c>
      <c r="T5" s="5">
        <v>819</v>
      </c>
      <c r="U5" s="5">
        <v>499</v>
      </c>
      <c r="Y5" s="8"/>
      <c r="Z5" s="8"/>
      <c r="AA5" s="8"/>
      <c r="AB5" s="8"/>
      <c r="AC5" s="8"/>
      <c r="AD5" s="8"/>
      <c r="AE5" s="25"/>
      <c r="AF5" s="11"/>
      <c r="AG5" s="25"/>
      <c r="AH5" s="11"/>
      <c r="AI5" s="11">
        <v>96</v>
      </c>
      <c r="AJ5" s="19">
        <v>0</v>
      </c>
      <c r="AK5" s="12">
        <f>(AJ5+AI5)/30*7</f>
        <v>22.400000000000002</v>
      </c>
      <c r="AL5" s="6">
        <f>IF(AK5-C5&lt;0,0,AK5-C5)</f>
        <v>6.4000000000000021</v>
      </c>
      <c r="AM5" s="6">
        <f>IF(AL5-R5-S5&lt;0,0,AL5-R5-S5)</f>
        <v>6.4000000000000021</v>
      </c>
      <c r="AN5" s="5" t="str">
        <f t="shared" si="1"/>
        <v/>
      </c>
      <c r="AO5" s="5">
        <v>0</v>
      </c>
      <c r="AP5" s="9"/>
      <c r="AQ5" s="5" t="s">
        <v>1210</v>
      </c>
      <c r="AR5" s="5" t="s">
        <v>1210</v>
      </c>
      <c r="AS5" s="8"/>
      <c r="AT5" s="8"/>
      <c r="AU5" s="8"/>
      <c r="AV5" s="8"/>
      <c r="AW5" s="8"/>
      <c r="AX5" s="8"/>
      <c r="AY5" s="8"/>
      <c r="AZ5" s="8"/>
      <c r="BB5" s="28"/>
      <c r="BC5" s="28"/>
      <c r="BD5" s="29"/>
      <c r="BE5" s="30"/>
    </row>
    <row r="6" spans="1:57">
      <c r="A6" s="5" t="s">
        <v>780</v>
      </c>
      <c r="B6" s="5">
        <v>500</v>
      </c>
      <c r="C6" s="19">
        <v>16</v>
      </c>
      <c r="E6" s="14"/>
      <c r="F6" s="11"/>
      <c r="G6" s="11"/>
      <c r="H6" s="11"/>
      <c r="I6" s="11"/>
      <c r="J6" s="25"/>
      <c r="K6" s="11"/>
      <c r="L6" s="11"/>
      <c r="M6" s="19">
        <v>0</v>
      </c>
      <c r="O6" s="6"/>
      <c r="P6" s="16">
        <v>0</v>
      </c>
      <c r="Q6" s="16">
        <v>0</v>
      </c>
      <c r="R6" s="22"/>
      <c r="S6" s="22">
        <f t="shared" si="0"/>
        <v>0</v>
      </c>
      <c r="T6" s="5" t="s">
        <v>1210</v>
      </c>
      <c r="U6" s="5" t="s">
        <v>1210</v>
      </c>
      <c r="Y6" s="8"/>
      <c r="Z6" s="8"/>
      <c r="AA6" s="8"/>
      <c r="AB6" s="8"/>
      <c r="AC6" s="8"/>
      <c r="AD6" s="8"/>
      <c r="AE6" s="25"/>
      <c r="AF6" s="11"/>
      <c r="AG6" s="25"/>
      <c r="AH6" s="11"/>
      <c r="AI6" s="11">
        <v>92</v>
      </c>
      <c r="AJ6" s="19">
        <v>0</v>
      </c>
      <c r="AK6" s="12">
        <f>(AJ6+AI6)/30*7</f>
        <v>21.466666666666669</v>
      </c>
      <c r="AL6" s="6">
        <f>IF(AK6-C6&lt;0,0,AK6-C6)</f>
        <v>5.4666666666666686</v>
      </c>
      <c r="AM6" s="6">
        <f>IF(AL6-R6-S6&lt;0,0,AL6-R6-S6)</f>
        <v>5.4666666666666686</v>
      </c>
      <c r="AN6" s="5">
        <f t="shared" si="1"/>
        <v>5</v>
      </c>
      <c r="AO6" s="5">
        <v>0</v>
      </c>
      <c r="AP6" s="9"/>
      <c r="AQ6" s="5" t="s">
        <v>1210</v>
      </c>
      <c r="AR6" s="5" t="s">
        <v>1210</v>
      </c>
      <c r="AS6" s="8"/>
      <c r="AT6" s="8"/>
      <c r="AU6" s="8"/>
      <c r="AV6" s="8"/>
      <c r="AW6" s="8"/>
      <c r="AX6" s="8"/>
      <c r="AY6" s="8"/>
      <c r="AZ6" s="8"/>
      <c r="BB6" s="28"/>
      <c r="BC6" s="28"/>
    </row>
    <row r="7" spans="1:57">
      <c r="A7" s="5" t="s">
        <v>999</v>
      </c>
      <c r="B7" s="5">
        <v>1224</v>
      </c>
      <c r="C7" s="19">
        <v>17</v>
      </c>
      <c r="E7" s="14"/>
      <c r="F7" s="11"/>
      <c r="G7" s="11"/>
      <c r="H7" s="11"/>
      <c r="I7" s="11"/>
      <c r="J7" s="25"/>
      <c r="K7" s="11"/>
      <c r="L7" s="11"/>
      <c r="M7" s="19">
        <v>0</v>
      </c>
      <c r="O7" s="6"/>
      <c r="P7" s="16">
        <v>0</v>
      </c>
      <c r="Q7" s="16">
        <v>0</v>
      </c>
      <c r="R7" s="22"/>
      <c r="S7" s="22">
        <f t="shared" si="0"/>
        <v>0</v>
      </c>
      <c r="T7" s="5">
        <v>699</v>
      </c>
      <c r="U7" s="5">
        <v>268</v>
      </c>
      <c r="Y7" s="8"/>
      <c r="Z7" s="8"/>
      <c r="AA7" s="8"/>
      <c r="AB7" s="8"/>
      <c r="AC7" s="8"/>
      <c r="AD7" s="8"/>
      <c r="AE7" s="25"/>
      <c r="AF7" s="11"/>
      <c r="AG7" s="25"/>
      <c r="AH7" s="11"/>
      <c r="AI7" s="11">
        <v>93</v>
      </c>
      <c r="AJ7" s="19">
        <v>0</v>
      </c>
      <c r="AK7" s="12">
        <f>(AJ7+AI7)/30*7</f>
        <v>21.7</v>
      </c>
      <c r="AL7" s="6">
        <f>IF(AK7-C7&lt;0,0,AK7-C7)</f>
        <v>4.6999999999999993</v>
      </c>
      <c r="AM7" s="6">
        <f>IF(AL7-R7-S7&lt;0,0,AL7-R7-S7)</f>
        <v>4.6999999999999993</v>
      </c>
      <c r="AN7" s="5" t="str">
        <f t="shared" si="1"/>
        <v/>
      </c>
      <c r="AO7" s="5">
        <v>0</v>
      </c>
      <c r="AP7" s="9"/>
      <c r="AQ7" s="5" t="s">
        <v>1210</v>
      </c>
      <c r="AR7" s="5" t="s">
        <v>1210</v>
      </c>
      <c r="AS7" s="8"/>
      <c r="AT7" s="8"/>
      <c r="AU7" s="8"/>
      <c r="AV7" s="8"/>
      <c r="AW7" s="8"/>
      <c r="AX7" s="8"/>
      <c r="AY7" s="8"/>
      <c r="AZ7" s="8"/>
      <c r="BB7" s="28"/>
      <c r="BC7" s="28"/>
    </row>
    <row r="8" spans="1:57">
      <c r="A8" s="5" t="s">
        <v>1064</v>
      </c>
      <c r="B8" s="5">
        <v>427</v>
      </c>
      <c r="C8" s="19">
        <v>17</v>
      </c>
      <c r="E8" s="14"/>
      <c r="F8" s="11"/>
      <c r="G8" s="11"/>
      <c r="H8" s="11"/>
      <c r="I8" s="11"/>
      <c r="J8" s="25"/>
      <c r="K8" s="11"/>
      <c r="L8" s="11"/>
      <c r="M8" s="19">
        <v>0</v>
      </c>
      <c r="O8" s="6"/>
      <c r="P8" s="16">
        <v>0</v>
      </c>
      <c r="Q8" s="16">
        <v>0</v>
      </c>
      <c r="R8" s="22"/>
      <c r="S8" s="22">
        <f t="shared" si="0"/>
        <v>0</v>
      </c>
      <c r="T8" s="5" t="s">
        <v>1210</v>
      </c>
      <c r="U8" s="5" t="s">
        <v>1210</v>
      </c>
      <c r="Y8" s="8"/>
      <c r="Z8" s="8"/>
      <c r="AA8" s="8"/>
      <c r="AB8" s="8"/>
      <c r="AC8" s="8"/>
      <c r="AD8" s="8"/>
      <c r="AE8" s="25"/>
      <c r="AF8" s="11"/>
      <c r="AG8" s="25"/>
      <c r="AH8" s="11"/>
      <c r="AI8" s="11">
        <v>90</v>
      </c>
      <c r="AJ8" s="19">
        <v>0</v>
      </c>
      <c r="AK8" s="12">
        <f>(AJ8+AI8)/30*7</f>
        <v>21</v>
      </c>
      <c r="AL8" s="6">
        <f>IF(AK8-C8&lt;0,0,AK8-C8)</f>
        <v>4</v>
      </c>
      <c r="AM8" s="6">
        <f>IF(AL8-R8-S8&lt;0,0,AL8-R8-S8)</f>
        <v>4</v>
      </c>
      <c r="AN8" s="5">
        <f t="shared" si="1"/>
        <v>4</v>
      </c>
      <c r="AO8" s="5">
        <v>0</v>
      </c>
      <c r="AP8" s="9"/>
      <c r="AQ8" s="5" t="s">
        <v>1210</v>
      </c>
      <c r="AR8" s="5" t="s">
        <v>1210</v>
      </c>
      <c r="AS8" s="8"/>
      <c r="AT8" s="8"/>
      <c r="AU8" s="8"/>
      <c r="AV8" s="8"/>
      <c r="AW8" s="8"/>
      <c r="AX8" s="8"/>
      <c r="AY8" s="8"/>
      <c r="AZ8" s="8"/>
      <c r="BB8" s="28"/>
      <c r="BC8" s="28"/>
    </row>
    <row r="9" spans="1:57">
      <c r="A9" s="5" t="s">
        <v>1129</v>
      </c>
      <c r="B9" s="5" t="s">
        <v>1207</v>
      </c>
      <c r="C9" s="19">
        <v>17</v>
      </c>
      <c r="E9" s="14"/>
      <c r="F9" s="11"/>
      <c r="G9" s="11"/>
      <c r="H9" s="11"/>
      <c r="I9" s="11"/>
      <c r="J9" s="25"/>
      <c r="K9" s="11"/>
      <c r="L9" s="11"/>
      <c r="M9" s="19">
        <v>0</v>
      </c>
      <c r="O9" s="6"/>
      <c r="P9" s="16">
        <v>0</v>
      </c>
      <c r="Q9" s="16">
        <v>0</v>
      </c>
      <c r="R9" s="22"/>
      <c r="S9" s="22">
        <f t="shared" si="0"/>
        <v>0</v>
      </c>
      <c r="T9" s="5" t="s">
        <v>1210</v>
      </c>
      <c r="U9" s="5" t="s">
        <v>1210</v>
      </c>
      <c r="Y9" s="8"/>
      <c r="Z9" s="8"/>
      <c r="AA9" s="8"/>
      <c r="AB9" s="8"/>
      <c r="AC9" s="8"/>
      <c r="AD9" s="8"/>
      <c r="AE9" s="25"/>
      <c r="AF9" s="11"/>
      <c r="AG9" s="25"/>
      <c r="AH9" s="11"/>
      <c r="AI9" s="11">
        <v>90</v>
      </c>
      <c r="AJ9" s="19">
        <v>0</v>
      </c>
      <c r="AK9" s="12">
        <f>(AJ9+AI9)/30*7</f>
        <v>21</v>
      </c>
      <c r="AL9" s="6">
        <f>IF(AK9-C9&lt;0,0,AK9-C9)</f>
        <v>4</v>
      </c>
      <c r="AM9" s="6">
        <f>IF(AL9-R9-S9&lt;0,0,AL9-R9-S9)</f>
        <v>4</v>
      </c>
      <c r="AN9" s="5">
        <f t="shared" si="1"/>
        <v>4</v>
      </c>
      <c r="AO9" s="5">
        <v>0</v>
      </c>
      <c r="AP9" s="9"/>
      <c r="AQ9" s="5" t="s">
        <v>1210</v>
      </c>
      <c r="AR9" s="5" t="s">
        <v>1210</v>
      </c>
      <c r="AS9" s="8"/>
      <c r="AT9" s="8"/>
      <c r="AU9" s="8"/>
      <c r="AV9" s="8"/>
      <c r="AW9" s="8"/>
      <c r="AX9" s="8"/>
      <c r="AY9" s="8"/>
      <c r="AZ9" s="8"/>
      <c r="BB9" s="28"/>
      <c r="BC9" s="28"/>
    </row>
    <row r="10" spans="1:57">
      <c r="A10" s="5" t="s">
        <v>882</v>
      </c>
      <c r="B10" s="5">
        <v>356</v>
      </c>
      <c r="C10" s="19">
        <v>18</v>
      </c>
      <c r="E10" s="14"/>
      <c r="F10" s="11"/>
      <c r="G10" s="11"/>
      <c r="H10" s="11"/>
      <c r="I10" s="11"/>
      <c r="J10" s="25"/>
      <c r="K10" s="11"/>
      <c r="L10" s="11"/>
      <c r="M10" s="19">
        <v>0</v>
      </c>
      <c r="O10" s="6"/>
      <c r="P10" s="16">
        <v>0</v>
      </c>
      <c r="Q10" s="16">
        <v>0</v>
      </c>
      <c r="R10" s="22"/>
      <c r="S10" s="22">
        <f t="shared" si="0"/>
        <v>0</v>
      </c>
      <c r="T10" s="5" t="s">
        <v>1210</v>
      </c>
      <c r="U10" s="5" t="s">
        <v>1210</v>
      </c>
      <c r="Y10" s="8"/>
      <c r="Z10" s="8"/>
      <c r="AA10" s="8"/>
      <c r="AB10" s="8"/>
      <c r="AC10" s="8"/>
      <c r="AD10" s="8"/>
      <c r="AE10" s="25"/>
      <c r="AF10" s="11"/>
      <c r="AG10" s="25"/>
      <c r="AH10" s="11"/>
      <c r="AI10" s="11">
        <v>90</v>
      </c>
      <c r="AJ10" s="19">
        <v>0</v>
      </c>
      <c r="AK10" s="12">
        <f>(AJ10+AI10)/30*7</f>
        <v>21</v>
      </c>
      <c r="AL10" s="6">
        <f>IF(AK10-C10&lt;0,0,AK10-C10)</f>
        <v>3</v>
      </c>
      <c r="AM10" s="6">
        <f>IF(AL10-R10-S10&lt;0,0,AL10-R10-S10)</f>
        <v>3</v>
      </c>
      <c r="AN10" s="5">
        <f t="shared" si="1"/>
        <v>3</v>
      </c>
      <c r="AO10" s="5">
        <v>0</v>
      </c>
      <c r="AP10" s="9"/>
      <c r="AQ10" s="5" t="s">
        <v>1210</v>
      </c>
      <c r="AR10" s="5" t="s">
        <v>1210</v>
      </c>
      <c r="AS10" s="8"/>
      <c r="AT10" s="8"/>
      <c r="AU10" s="8"/>
      <c r="AV10" s="8"/>
      <c r="AW10" s="8"/>
      <c r="AX10" s="8"/>
      <c r="AY10" s="8"/>
      <c r="AZ10" s="8"/>
      <c r="BB10" s="28"/>
      <c r="BC10" s="28"/>
    </row>
    <row r="11" spans="1:57">
      <c r="A11" s="5" t="s">
        <v>611</v>
      </c>
      <c r="B11" s="5">
        <v>1563</v>
      </c>
      <c r="C11" s="19">
        <v>18</v>
      </c>
      <c r="E11" s="14"/>
      <c r="F11" s="11"/>
      <c r="G11" s="11"/>
      <c r="H11" s="11"/>
      <c r="I11" s="11"/>
      <c r="J11" s="25"/>
      <c r="K11" s="11"/>
      <c r="L11" s="11"/>
      <c r="M11" s="19">
        <v>0</v>
      </c>
      <c r="O11" s="6"/>
      <c r="P11" s="16">
        <v>564</v>
      </c>
      <c r="Q11" s="16">
        <v>0</v>
      </c>
      <c r="R11" s="22"/>
      <c r="S11" s="22">
        <f t="shared" si="0"/>
        <v>0</v>
      </c>
      <c r="T11" s="5">
        <v>1044</v>
      </c>
      <c r="U11" s="5">
        <v>314</v>
      </c>
      <c r="Y11" s="8"/>
      <c r="Z11" s="8"/>
      <c r="AA11" s="8"/>
      <c r="AB11" s="8"/>
      <c r="AC11" s="8"/>
      <c r="AD11" s="8"/>
      <c r="AE11" s="25"/>
      <c r="AF11" s="11"/>
      <c r="AG11" s="25"/>
      <c r="AH11" s="11"/>
      <c r="AI11" s="11">
        <v>89</v>
      </c>
      <c r="AJ11" s="19">
        <v>0</v>
      </c>
      <c r="AK11" s="12">
        <f>(AJ11+AI11)/30*7</f>
        <v>20.766666666666666</v>
      </c>
      <c r="AL11" s="6">
        <f>IF(AK11-C11&lt;0,0,AK11-C11)</f>
        <v>2.7666666666666657</v>
      </c>
      <c r="AM11" s="6">
        <f>IF(AL11-R11-S11&lt;0,0,AL11-R11-S11)</f>
        <v>2.7666666666666657</v>
      </c>
      <c r="AN11" s="5" t="str">
        <f t="shared" si="1"/>
        <v/>
      </c>
      <c r="AO11" s="5">
        <v>0</v>
      </c>
      <c r="AP11" s="9"/>
      <c r="AQ11" s="5" t="s">
        <v>1210</v>
      </c>
      <c r="AR11" s="5" t="s">
        <v>1230</v>
      </c>
      <c r="AS11" s="8"/>
      <c r="AT11" s="8"/>
      <c r="AU11" s="8"/>
      <c r="AV11" s="8"/>
      <c r="AW11" s="8"/>
      <c r="AX11" s="8"/>
      <c r="AY11" s="8"/>
      <c r="AZ11" s="8"/>
      <c r="BB11" s="28"/>
      <c r="BC11" s="28"/>
    </row>
    <row r="12" spans="1:57">
      <c r="A12" s="5" t="s">
        <v>1017</v>
      </c>
      <c r="B12" s="5">
        <v>256</v>
      </c>
      <c r="C12" s="19">
        <v>16</v>
      </c>
      <c r="E12" s="14"/>
      <c r="F12" s="11"/>
      <c r="G12" s="11"/>
      <c r="H12" s="11"/>
      <c r="I12" s="11"/>
      <c r="J12" s="25"/>
      <c r="K12" s="11"/>
      <c r="L12" s="11"/>
      <c r="M12" s="19">
        <v>0</v>
      </c>
      <c r="O12" s="6"/>
      <c r="P12" s="16">
        <v>0</v>
      </c>
      <c r="Q12" s="16">
        <v>0</v>
      </c>
      <c r="R12" s="22"/>
      <c r="S12" s="22">
        <f t="shared" si="0"/>
        <v>0</v>
      </c>
      <c r="U12" s="5" t="s">
        <v>1210</v>
      </c>
      <c r="Y12" s="8"/>
      <c r="Z12" s="8"/>
      <c r="AA12" s="8"/>
      <c r="AB12" s="8"/>
      <c r="AC12" s="8"/>
      <c r="AD12" s="8"/>
      <c r="AE12" s="25"/>
      <c r="AF12" s="11"/>
      <c r="AG12" s="25"/>
      <c r="AH12" s="11"/>
      <c r="AI12" s="11">
        <v>80</v>
      </c>
      <c r="AJ12" s="19">
        <v>0</v>
      </c>
      <c r="AK12" s="12">
        <f>(AJ12+AI12)/30*7</f>
        <v>18.666666666666664</v>
      </c>
      <c r="AL12" s="6">
        <f>IF(AK12-C12&lt;0,0,AK12-C12)</f>
        <v>2.6666666666666643</v>
      </c>
      <c r="AM12" s="6">
        <f>IF(AL12-R12-S12&lt;0,0,AL12-R12-S12)</f>
        <v>2.6666666666666643</v>
      </c>
      <c r="AN12" s="5">
        <f t="shared" si="1"/>
        <v>3</v>
      </c>
      <c r="AO12" s="5">
        <v>0</v>
      </c>
      <c r="AP12" s="9"/>
      <c r="AS12" s="8"/>
      <c r="AT12" s="8"/>
      <c r="AU12" s="8"/>
      <c r="AV12" s="8"/>
      <c r="AW12" s="8"/>
      <c r="AX12" s="8"/>
      <c r="AY12" s="8"/>
      <c r="AZ12" s="8"/>
      <c r="BB12" s="28"/>
      <c r="BC12" s="28"/>
    </row>
    <row r="13" spans="1:57">
      <c r="A13" s="5" t="s">
        <v>1053</v>
      </c>
      <c r="B13" s="5">
        <v>1267</v>
      </c>
      <c r="C13" s="19">
        <v>20</v>
      </c>
      <c r="E13" s="14"/>
      <c r="F13" s="11"/>
      <c r="G13" s="11"/>
      <c r="H13" s="11"/>
      <c r="I13" s="11"/>
      <c r="J13" s="25"/>
      <c r="K13" s="11"/>
      <c r="L13" s="11"/>
      <c r="M13" s="19">
        <v>0</v>
      </c>
      <c r="O13" s="6"/>
      <c r="P13" s="16">
        <v>0</v>
      </c>
      <c r="Q13" s="16">
        <v>0</v>
      </c>
      <c r="R13" s="22"/>
      <c r="S13" s="22">
        <f t="shared" si="0"/>
        <v>0</v>
      </c>
      <c r="T13" s="5">
        <v>1171</v>
      </c>
      <c r="U13" s="5">
        <v>208</v>
      </c>
      <c r="Y13" s="8"/>
      <c r="Z13" s="8"/>
      <c r="AA13" s="8"/>
      <c r="AB13" s="8"/>
      <c r="AC13" s="8"/>
      <c r="AD13" s="8"/>
      <c r="AE13" s="25"/>
      <c r="AF13" s="11"/>
      <c r="AG13" s="25"/>
      <c r="AH13" s="11"/>
      <c r="AI13" s="11">
        <v>97</v>
      </c>
      <c r="AJ13" s="19">
        <v>0</v>
      </c>
      <c r="AK13" s="12">
        <f>(AJ13+AI13)/30*7</f>
        <v>22.633333333333333</v>
      </c>
      <c r="AL13" s="6">
        <f>IF(AK13-C13&lt;0,0,AK13-C13)</f>
        <v>2.6333333333333329</v>
      </c>
      <c r="AM13" s="6">
        <f>IF(AL13-R13-S13&lt;0,0,AL13-R13-S13)</f>
        <v>2.6333333333333329</v>
      </c>
      <c r="AN13" s="5" t="str">
        <f t="shared" si="1"/>
        <v/>
      </c>
      <c r="AO13" s="5">
        <v>0</v>
      </c>
      <c r="AP13" s="9"/>
      <c r="AQ13" s="5" t="s">
        <v>1210</v>
      </c>
      <c r="AR13" s="5" t="s">
        <v>1210</v>
      </c>
      <c r="AS13" s="8"/>
      <c r="AT13" s="8"/>
      <c r="AU13" s="8"/>
      <c r="AV13" s="8"/>
      <c r="AW13" s="8"/>
      <c r="AX13" s="8"/>
      <c r="AY13" s="8"/>
      <c r="AZ13" s="8"/>
      <c r="BB13" s="28"/>
      <c r="BC13" s="28"/>
    </row>
    <row r="14" spans="1:57">
      <c r="A14" s="5" t="s">
        <v>826</v>
      </c>
      <c r="B14" s="5">
        <v>531</v>
      </c>
      <c r="C14" s="19">
        <v>18</v>
      </c>
      <c r="E14" s="14"/>
      <c r="F14" s="11"/>
      <c r="G14" s="11"/>
      <c r="H14" s="11"/>
      <c r="I14" s="11"/>
      <c r="J14" s="25"/>
      <c r="K14" s="11"/>
      <c r="L14" s="11"/>
      <c r="M14" s="19">
        <v>0</v>
      </c>
      <c r="O14" s="6"/>
      <c r="P14" s="16">
        <v>0</v>
      </c>
      <c r="Q14" s="16">
        <v>0</v>
      </c>
      <c r="R14" s="22"/>
      <c r="S14" s="22">
        <f t="shared" si="0"/>
        <v>0</v>
      </c>
      <c r="T14" s="5" t="s">
        <v>1210</v>
      </c>
      <c r="U14" s="5" t="s">
        <v>1210</v>
      </c>
      <c r="Y14" s="8"/>
      <c r="Z14" s="8"/>
      <c r="AA14" s="8"/>
      <c r="AB14" s="8"/>
      <c r="AC14" s="8"/>
      <c r="AD14" s="8"/>
      <c r="AE14" s="25"/>
      <c r="AF14" s="11"/>
      <c r="AG14" s="25"/>
      <c r="AH14" s="11"/>
      <c r="AI14" s="11">
        <v>85</v>
      </c>
      <c r="AJ14" s="19">
        <v>0</v>
      </c>
      <c r="AK14" s="12">
        <f>(AJ14+AI14)/30*7</f>
        <v>19.833333333333336</v>
      </c>
      <c r="AL14" s="6">
        <f>IF(AK14-C14&lt;0,0,AK14-C14)</f>
        <v>1.8333333333333357</v>
      </c>
      <c r="AM14" s="6">
        <f>IF(AL14-R14-S14&lt;0,0,AL14-R14-S14)</f>
        <v>1.8333333333333357</v>
      </c>
      <c r="AN14" s="5">
        <f t="shared" si="1"/>
        <v>2</v>
      </c>
      <c r="AO14" s="5">
        <v>0</v>
      </c>
      <c r="AP14" s="9"/>
      <c r="AQ14" s="5" t="s">
        <v>1210</v>
      </c>
      <c r="AR14" s="5" t="s">
        <v>1210</v>
      </c>
      <c r="AS14" s="8"/>
      <c r="AT14" s="8"/>
      <c r="AU14" s="8"/>
      <c r="AV14" s="8"/>
      <c r="AW14" s="8"/>
      <c r="AX14" s="8"/>
      <c r="AY14" s="8"/>
      <c r="AZ14" s="8"/>
      <c r="BB14" s="28"/>
      <c r="BC14" s="28"/>
    </row>
    <row r="15" spans="1:57">
      <c r="A15" s="5" t="s">
        <v>733</v>
      </c>
      <c r="B15" s="5">
        <v>573</v>
      </c>
      <c r="C15" s="19">
        <v>18</v>
      </c>
      <c r="E15" s="14"/>
      <c r="F15" s="11"/>
      <c r="G15" s="11"/>
      <c r="H15" s="11"/>
      <c r="I15" s="11"/>
      <c r="J15" s="25"/>
      <c r="K15" s="11"/>
      <c r="L15" s="11"/>
      <c r="M15" s="19">
        <v>0</v>
      </c>
      <c r="O15" s="6"/>
      <c r="P15" s="16">
        <v>0</v>
      </c>
      <c r="Q15" s="16">
        <v>0</v>
      </c>
      <c r="R15" s="22"/>
      <c r="S15" s="22">
        <f t="shared" si="0"/>
        <v>0</v>
      </c>
      <c r="T15" s="5" t="s">
        <v>1210</v>
      </c>
      <c r="U15" s="5" t="s">
        <v>1210</v>
      </c>
      <c r="Y15" s="8"/>
      <c r="Z15" s="8"/>
      <c r="AA15" s="8"/>
      <c r="AB15" s="8"/>
      <c r="AC15" s="8"/>
      <c r="AD15" s="8"/>
      <c r="AE15" s="25"/>
      <c r="AF15" s="11"/>
      <c r="AG15" s="25"/>
      <c r="AH15" s="11"/>
      <c r="AI15" s="11">
        <v>85</v>
      </c>
      <c r="AJ15" s="19">
        <v>0</v>
      </c>
      <c r="AK15" s="12">
        <f>(AJ15+AI15)/30*7</f>
        <v>19.833333333333336</v>
      </c>
      <c r="AL15" s="6">
        <f>IF(AK15-C15&lt;0,0,AK15-C15)</f>
        <v>1.8333333333333357</v>
      </c>
      <c r="AM15" s="6">
        <f>IF(AL15-R15-S15&lt;0,0,AL15-R15-S15)</f>
        <v>1.8333333333333357</v>
      </c>
      <c r="AN15" s="5">
        <f t="shared" si="1"/>
        <v>2</v>
      </c>
      <c r="AO15" s="5">
        <v>0</v>
      </c>
      <c r="AP15" s="9"/>
      <c r="AQ15" s="5" t="s">
        <v>1210</v>
      </c>
      <c r="AR15" s="5" t="s">
        <v>1210</v>
      </c>
      <c r="AS15" s="8"/>
      <c r="AT15" s="8"/>
      <c r="AU15" s="8"/>
      <c r="AV15" s="8"/>
      <c r="AW15" s="8"/>
      <c r="AX15" s="8"/>
      <c r="AY15" s="8"/>
      <c r="AZ15" s="8"/>
      <c r="BB15" s="28"/>
      <c r="BC15" s="28"/>
    </row>
    <row r="16" spans="1:57">
      <c r="A16" s="5" t="s">
        <v>1080</v>
      </c>
      <c r="B16" s="5">
        <v>1564</v>
      </c>
      <c r="C16" s="19">
        <v>20</v>
      </c>
      <c r="E16" s="14"/>
      <c r="F16" s="11"/>
      <c r="G16" s="11"/>
      <c r="H16" s="11"/>
      <c r="I16" s="11"/>
      <c r="J16" s="25"/>
      <c r="K16" s="11"/>
      <c r="L16" s="11"/>
      <c r="M16" s="19">
        <v>0</v>
      </c>
      <c r="O16" s="6"/>
      <c r="P16" s="16">
        <v>927</v>
      </c>
      <c r="Q16" s="16">
        <v>0</v>
      </c>
      <c r="R16" s="22"/>
      <c r="S16" s="22">
        <f t="shared" si="0"/>
        <v>0</v>
      </c>
      <c r="T16" s="5">
        <v>1095</v>
      </c>
      <c r="U16" s="5">
        <v>360</v>
      </c>
      <c r="Y16" s="8"/>
      <c r="Z16" s="8"/>
      <c r="AA16" s="8"/>
      <c r="AB16" s="8"/>
      <c r="AC16" s="8"/>
      <c r="AD16" s="8"/>
      <c r="AE16" s="25"/>
      <c r="AF16" s="11"/>
      <c r="AG16" s="25"/>
      <c r="AH16" s="11"/>
      <c r="AI16" s="11">
        <v>93</v>
      </c>
      <c r="AJ16" s="19">
        <v>0</v>
      </c>
      <c r="AK16" s="12">
        <f>(AJ16+AI16)/30*7</f>
        <v>21.7</v>
      </c>
      <c r="AL16" s="6">
        <f>IF(AK16-C16&lt;0,0,AK16-C16)</f>
        <v>1.6999999999999993</v>
      </c>
      <c r="AM16" s="6">
        <f>IF(AL16-R16-S16&lt;0,0,AL16-R16-S16)</f>
        <v>1.6999999999999993</v>
      </c>
      <c r="AN16" s="5" t="str">
        <f t="shared" si="1"/>
        <v/>
      </c>
      <c r="AO16" s="5">
        <v>0</v>
      </c>
      <c r="AP16" s="9"/>
      <c r="AQ16" s="5" t="s">
        <v>1210</v>
      </c>
      <c r="AR16" s="5" t="s">
        <v>1230</v>
      </c>
      <c r="AS16" s="8"/>
      <c r="AT16" s="8"/>
      <c r="AU16" s="8"/>
      <c r="AV16" s="8"/>
      <c r="AW16" s="8"/>
      <c r="AX16" s="8"/>
      <c r="AY16" s="8"/>
      <c r="AZ16" s="8"/>
      <c r="BB16" s="28"/>
      <c r="BC16" s="28"/>
    </row>
    <row r="17" spans="1:55">
      <c r="A17" s="5" t="s">
        <v>679</v>
      </c>
      <c r="B17" s="5">
        <v>1645</v>
      </c>
      <c r="C17" s="19">
        <v>16</v>
      </c>
      <c r="E17" s="14"/>
      <c r="F17" s="11"/>
      <c r="G17" s="11"/>
      <c r="H17" s="11"/>
      <c r="I17" s="11"/>
      <c r="J17" s="25"/>
      <c r="K17" s="11"/>
      <c r="L17" s="11"/>
      <c r="M17" s="19">
        <v>0</v>
      </c>
      <c r="O17" s="6"/>
      <c r="P17" s="16">
        <v>0</v>
      </c>
      <c r="Q17" s="16">
        <v>0</v>
      </c>
      <c r="R17" s="22"/>
      <c r="S17" s="22">
        <f t="shared" si="0"/>
        <v>0</v>
      </c>
      <c r="T17" s="5">
        <v>1668</v>
      </c>
      <c r="U17" s="5">
        <v>441</v>
      </c>
      <c r="Y17" s="8"/>
      <c r="Z17" s="8"/>
      <c r="AA17" s="8"/>
      <c r="AB17" s="8"/>
      <c r="AC17" s="8"/>
      <c r="AD17" s="8"/>
      <c r="AE17" s="25"/>
      <c r="AF17" s="11"/>
      <c r="AG17" s="25"/>
      <c r="AH17" s="11"/>
      <c r="AI17" s="11">
        <v>75</v>
      </c>
      <c r="AJ17" s="19">
        <v>0</v>
      </c>
      <c r="AK17" s="12">
        <f>(AJ17+AI17)/30*7</f>
        <v>17.5</v>
      </c>
      <c r="AL17" s="6">
        <f>IF(AK17-C17&lt;0,0,AK17-C17)</f>
        <v>1.5</v>
      </c>
      <c r="AM17" s="6">
        <f>IF(AL17-R17-S17&lt;0,0,AL17-R17-S17)</f>
        <v>1.5</v>
      </c>
      <c r="AN17" s="5" t="str">
        <f t="shared" si="1"/>
        <v/>
      </c>
      <c r="AO17" s="5">
        <v>0</v>
      </c>
      <c r="AP17" s="9"/>
      <c r="AQ17" s="5" t="s">
        <v>1210</v>
      </c>
      <c r="AR17" s="5" t="s">
        <v>1210</v>
      </c>
      <c r="AS17" s="8"/>
      <c r="AT17" s="8"/>
      <c r="AU17" s="8"/>
      <c r="AV17" s="8"/>
      <c r="AW17" s="8"/>
      <c r="AX17" s="8"/>
      <c r="AY17" s="8"/>
      <c r="AZ17" s="8"/>
      <c r="BB17" s="28"/>
      <c r="BC17" s="28"/>
    </row>
    <row r="18" spans="1:55">
      <c r="A18" s="5" t="s">
        <v>741</v>
      </c>
      <c r="B18" s="5">
        <v>1353</v>
      </c>
      <c r="C18" s="19">
        <v>17</v>
      </c>
      <c r="E18" s="14"/>
      <c r="F18" s="11"/>
      <c r="G18" s="11"/>
      <c r="H18" s="11"/>
      <c r="I18" s="11"/>
      <c r="J18" s="25"/>
      <c r="K18" s="11"/>
      <c r="L18" s="11"/>
      <c r="M18" s="19">
        <v>0</v>
      </c>
      <c r="O18" s="6"/>
      <c r="P18" s="16">
        <v>0</v>
      </c>
      <c r="Q18" s="16">
        <v>0</v>
      </c>
      <c r="R18" s="22"/>
      <c r="S18" s="22">
        <f t="shared" si="0"/>
        <v>0</v>
      </c>
      <c r="T18" s="5">
        <v>777</v>
      </c>
      <c r="U18" s="5">
        <v>303</v>
      </c>
      <c r="Y18" s="8"/>
      <c r="Z18" s="8"/>
      <c r="AA18" s="8"/>
      <c r="AB18" s="8"/>
      <c r="AC18" s="8"/>
      <c r="AD18" s="8"/>
      <c r="AE18" s="25"/>
      <c r="AF18" s="11"/>
      <c r="AG18" s="25"/>
      <c r="AH18" s="11"/>
      <c r="AI18" s="11">
        <v>79</v>
      </c>
      <c r="AJ18" s="19">
        <v>0</v>
      </c>
      <c r="AK18" s="12">
        <f>(AJ18+AI18)/30*7</f>
        <v>18.433333333333334</v>
      </c>
      <c r="AL18" s="6">
        <f>IF(AK18-C18&lt;0,0,AK18-C18)</f>
        <v>1.4333333333333336</v>
      </c>
      <c r="AM18" s="6">
        <f>IF(AL18-R18-S18&lt;0,0,AL18-R18-S18)</f>
        <v>1.4333333333333336</v>
      </c>
      <c r="AN18" s="5" t="str">
        <f t="shared" si="1"/>
        <v/>
      </c>
      <c r="AO18" s="5">
        <v>0</v>
      </c>
      <c r="AP18" s="9"/>
      <c r="AQ18" s="5" t="s">
        <v>1210</v>
      </c>
      <c r="AR18" s="5" t="s">
        <v>1210</v>
      </c>
      <c r="AS18" s="8"/>
      <c r="AT18" s="8"/>
      <c r="AU18" s="8"/>
      <c r="AV18" s="8"/>
      <c r="AW18" s="8"/>
      <c r="AX18" s="8"/>
      <c r="AY18" s="8"/>
      <c r="AZ18" s="8"/>
      <c r="BB18" s="28"/>
      <c r="BC18" s="28"/>
    </row>
    <row r="19" spans="1:55">
      <c r="A19" s="5" t="s">
        <v>697</v>
      </c>
      <c r="B19" s="5">
        <v>1112</v>
      </c>
      <c r="C19" s="19">
        <v>17</v>
      </c>
      <c r="E19" s="14"/>
      <c r="F19" s="11"/>
      <c r="G19" s="11"/>
      <c r="H19" s="11"/>
      <c r="I19" s="11"/>
      <c r="J19" s="25"/>
      <c r="K19" s="11"/>
      <c r="L19" s="11"/>
      <c r="M19" s="19">
        <v>0</v>
      </c>
      <c r="O19" s="6"/>
      <c r="P19" s="16">
        <v>0</v>
      </c>
      <c r="Q19" s="16">
        <v>0</v>
      </c>
      <c r="R19" s="22"/>
      <c r="S19" s="22">
        <f t="shared" si="0"/>
        <v>0</v>
      </c>
      <c r="T19" s="5">
        <v>340</v>
      </c>
      <c r="U19" s="5">
        <v>902</v>
      </c>
      <c r="Y19" s="8"/>
      <c r="Z19" s="8"/>
      <c r="AA19" s="8"/>
      <c r="AB19" s="8"/>
      <c r="AC19" s="8"/>
      <c r="AD19" s="8"/>
      <c r="AE19" s="25"/>
      <c r="AF19" s="11"/>
      <c r="AG19" s="25"/>
      <c r="AH19" s="11"/>
      <c r="AI19" s="11">
        <v>78</v>
      </c>
      <c r="AJ19" s="19">
        <v>0</v>
      </c>
      <c r="AK19" s="12">
        <f>(AJ19+AI19)/30*7</f>
        <v>18.2</v>
      </c>
      <c r="AL19" s="6">
        <f>IF(AK19-C19&lt;0,0,AK19-C19)</f>
        <v>1.1999999999999993</v>
      </c>
      <c r="AM19" s="6">
        <f>IF(AL19-R19-S19&lt;0,0,AL19-R19-S19)</f>
        <v>1.1999999999999993</v>
      </c>
      <c r="AN19" s="5" t="str">
        <f t="shared" si="1"/>
        <v/>
      </c>
      <c r="AO19" s="5">
        <v>0</v>
      </c>
      <c r="AP19" s="9"/>
      <c r="AQ19" s="5" t="s">
        <v>1210</v>
      </c>
      <c r="AR19" s="5" t="s">
        <v>1210</v>
      </c>
      <c r="AS19" s="8"/>
      <c r="AT19" s="8"/>
      <c r="AU19" s="8"/>
      <c r="AV19" s="8"/>
      <c r="AW19" s="8"/>
      <c r="AX19" s="8"/>
      <c r="AY19" s="8"/>
      <c r="AZ19" s="8"/>
      <c r="BB19" s="28"/>
      <c r="BC19" s="28"/>
    </row>
    <row r="20" spans="1:55">
      <c r="A20" s="5" t="s">
        <v>747</v>
      </c>
      <c r="B20" s="5">
        <v>1285</v>
      </c>
      <c r="C20" s="19">
        <v>22</v>
      </c>
      <c r="E20" s="14"/>
      <c r="F20" s="11"/>
      <c r="G20" s="11"/>
      <c r="H20" s="11"/>
      <c r="I20" s="11"/>
      <c r="J20" s="25"/>
      <c r="K20" s="11"/>
      <c r="L20" s="11"/>
      <c r="M20" s="19">
        <v>0</v>
      </c>
      <c r="O20" s="6"/>
      <c r="P20" s="16">
        <v>0</v>
      </c>
      <c r="Q20" s="16">
        <v>0</v>
      </c>
      <c r="R20" s="22"/>
      <c r="S20" s="22">
        <f t="shared" si="0"/>
        <v>0</v>
      </c>
      <c r="T20" s="5">
        <v>2057</v>
      </c>
      <c r="U20" s="5">
        <v>901</v>
      </c>
      <c r="Y20" s="8"/>
      <c r="Z20" s="8"/>
      <c r="AA20" s="8"/>
      <c r="AB20" s="8"/>
      <c r="AC20" s="8"/>
      <c r="AD20" s="8"/>
      <c r="AE20" s="25"/>
      <c r="AF20" s="11"/>
      <c r="AG20" s="25"/>
      <c r="AH20" s="11"/>
      <c r="AI20" s="11">
        <v>99</v>
      </c>
      <c r="AJ20" s="19">
        <v>0</v>
      </c>
      <c r="AK20" s="12">
        <f>(AJ20+AI20)/30*7</f>
        <v>23.099999999999998</v>
      </c>
      <c r="AL20" s="6">
        <f>IF(AK20-C20&lt;0,0,AK20-C20)</f>
        <v>1.0999999999999979</v>
      </c>
      <c r="AM20" s="6">
        <f>IF(AL20-R20-S20&lt;0,0,AL20-R20-S20)</f>
        <v>1.0999999999999979</v>
      </c>
      <c r="AN20" s="5" t="str">
        <f t="shared" si="1"/>
        <v/>
      </c>
      <c r="AO20" s="5">
        <v>0</v>
      </c>
      <c r="AP20" s="9"/>
      <c r="AQ20" s="5" t="s">
        <v>1210</v>
      </c>
      <c r="AR20" s="5" t="s">
        <v>1210</v>
      </c>
      <c r="AS20" s="8"/>
      <c r="AT20" s="8"/>
      <c r="AU20" s="8"/>
      <c r="AV20" s="8"/>
      <c r="AW20" s="8"/>
      <c r="AX20" s="8"/>
      <c r="AY20" s="8"/>
      <c r="AZ20" s="8"/>
      <c r="BB20" s="28"/>
      <c r="BC20" s="28"/>
    </row>
    <row r="21" spans="1:55">
      <c r="A21" s="5" t="s">
        <v>663</v>
      </c>
      <c r="B21" s="5">
        <v>719</v>
      </c>
      <c r="C21" s="19">
        <v>20</v>
      </c>
      <c r="E21" s="14"/>
      <c r="F21" s="11"/>
      <c r="G21" s="11"/>
      <c r="H21" s="11"/>
      <c r="I21" s="11"/>
      <c r="J21" s="25"/>
      <c r="K21" s="11"/>
      <c r="L21" s="11"/>
      <c r="M21" s="19">
        <v>0</v>
      </c>
      <c r="O21" s="6"/>
      <c r="P21" s="16">
        <v>0</v>
      </c>
      <c r="Q21" s="16">
        <v>0</v>
      </c>
      <c r="R21" s="22"/>
      <c r="S21" s="22">
        <f t="shared" si="0"/>
        <v>0</v>
      </c>
      <c r="T21" s="5">
        <v>670</v>
      </c>
      <c r="U21" s="5">
        <v>38</v>
      </c>
      <c r="Y21" s="8"/>
      <c r="Z21" s="8"/>
      <c r="AA21" s="8"/>
      <c r="AB21" s="8"/>
      <c r="AC21" s="8"/>
      <c r="AD21" s="8"/>
      <c r="AE21" s="25"/>
      <c r="AF21" s="11"/>
      <c r="AG21" s="25"/>
      <c r="AH21" s="11"/>
      <c r="AI21" s="11">
        <v>90</v>
      </c>
      <c r="AJ21" s="19">
        <v>0</v>
      </c>
      <c r="AK21" s="12">
        <f>(AJ21+AI21)/30*7</f>
        <v>21</v>
      </c>
      <c r="AL21" s="6">
        <f>IF(AK21-C21&lt;0,0,AK21-C21)</f>
        <v>1</v>
      </c>
      <c r="AM21" s="6">
        <f>IF(AL21-R21-S21&lt;0,0,AL21-R21-S21)</f>
        <v>1</v>
      </c>
      <c r="AN21" s="5" t="str">
        <f t="shared" si="1"/>
        <v/>
      </c>
      <c r="AO21" s="5">
        <v>0</v>
      </c>
      <c r="AP21" s="9"/>
      <c r="AQ21" s="5" t="s">
        <v>1210</v>
      </c>
      <c r="AR21" s="5" t="s">
        <v>1210</v>
      </c>
      <c r="AS21" s="8"/>
      <c r="AT21" s="8"/>
      <c r="AU21" s="8"/>
      <c r="AV21" s="8"/>
      <c r="AW21" s="8"/>
      <c r="AX21" s="8"/>
      <c r="AY21" s="8"/>
      <c r="AZ21" s="8"/>
      <c r="BB21" s="28"/>
      <c r="BC21" s="28"/>
    </row>
    <row r="22" spans="1:55">
      <c r="A22" s="5" t="s">
        <v>822</v>
      </c>
      <c r="B22" s="5">
        <v>1252</v>
      </c>
      <c r="C22" s="19">
        <v>19</v>
      </c>
      <c r="E22" s="14"/>
      <c r="F22" s="11"/>
      <c r="G22" s="11"/>
      <c r="H22" s="11"/>
      <c r="I22" s="11"/>
      <c r="J22" s="25"/>
      <c r="K22" s="11"/>
      <c r="L22" s="11"/>
      <c r="M22" s="19">
        <v>0</v>
      </c>
      <c r="O22" s="6"/>
      <c r="P22" s="16">
        <v>0</v>
      </c>
      <c r="Q22" s="16">
        <v>0</v>
      </c>
      <c r="R22" s="22"/>
      <c r="S22" s="22">
        <f t="shared" si="0"/>
        <v>0</v>
      </c>
      <c r="T22" s="5" t="s">
        <v>1210</v>
      </c>
      <c r="U22" s="5" t="s">
        <v>1210</v>
      </c>
      <c r="Y22" s="8"/>
      <c r="Z22" s="8"/>
      <c r="AA22" s="8"/>
      <c r="AB22" s="8"/>
      <c r="AC22" s="8"/>
      <c r="AD22" s="8"/>
      <c r="AE22" s="25"/>
      <c r="AF22" s="11"/>
      <c r="AG22" s="25"/>
      <c r="AH22" s="11"/>
      <c r="AI22" s="11">
        <v>85</v>
      </c>
      <c r="AJ22" s="19">
        <v>0</v>
      </c>
      <c r="AK22" s="12">
        <f>(AJ22+AI22)/30*7</f>
        <v>19.833333333333336</v>
      </c>
      <c r="AL22" s="6">
        <f>IF(AK22-C22&lt;0,0,AK22-C22)</f>
        <v>0.8333333333333357</v>
      </c>
      <c r="AM22" s="6">
        <f>IF(AL22-R22-S22&lt;0,0,AL22-R22-S22)</f>
        <v>0.8333333333333357</v>
      </c>
      <c r="AN22" s="5">
        <f t="shared" si="1"/>
        <v>1</v>
      </c>
      <c r="AO22" s="5">
        <v>0</v>
      </c>
      <c r="AP22" s="9"/>
      <c r="AQ22" s="5" t="s">
        <v>1210</v>
      </c>
      <c r="AR22" s="5" t="s">
        <v>1210</v>
      </c>
      <c r="AS22" s="8"/>
      <c r="AT22" s="8"/>
      <c r="AU22" s="8"/>
      <c r="AV22" s="8"/>
      <c r="AW22" s="8"/>
      <c r="AX22" s="8"/>
      <c r="AY22" s="8"/>
      <c r="AZ22" s="8"/>
      <c r="BB22" s="28"/>
      <c r="BC22" s="28"/>
    </row>
    <row r="23" spans="1:55">
      <c r="A23" s="5" t="s">
        <v>730</v>
      </c>
      <c r="B23" s="5">
        <v>363</v>
      </c>
      <c r="C23" s="19">
        <v>16</v>
      </c>
      <c r="E23" s="14"/>
      <c r="F23" s="11"/>
      <c r="G23" s="11"/>
      <c r="H23" s="11"/>
      <c r="I23" s="11"/>
      <c r="J23" s="25"/>
      <c r="K23" s="11"/>
      <c r="L23" s="11"/>
      <c r="M23" s="19">
        <v>0</v>
      </c>
      <c r="O23" s="6"/>
      <c r="P23" s="16">
        <v>0</v>
      </c>
      <c r="Q23" s="16">
        <v>0</v>
      </c>
      <c r="R23" s="22"/>
      <c r="S23" s="22">
        <f t="shared" si="0"/>
        <v>0</v>
      </c>
      <c r="T23" s="5" t="s">
        <v>1210</v>
      </c>
      <c r="U23" s="5" t="s">
        <v>1210</v>
      </c>
      <c r="Y23" s="8"/>
      <c r="Z23" s="8"/>
      <c r="AA23" s="8"/>
      <c r="AB23" s="8"/>
      <c r="AC23" s="8"/>
      <c r="AD23" s="8"/>
      <c r="AE23" s="25"/>
      <c r="AF23" s="11"/>
      <c r="AG23" s="25"/>
      <c r="AH23" s="11"/>
      <c r="AI23" s="11">
        <v>72</v>
      </c>
      <c r="AJ23" s="19">
        <v>0</v>
      </c>
      <c r="AK23" s="12">
        <f>(AJ23+AI23)/30*7</f>
        <v>16.8</v>
      </c>
      <c r="AL23" s="6">
        <f>IF(AK23-C23&lt;0,0,AK23-C23)</f>
        <v>0.80000000000000071</v>
      </c>
      <c r="AM23" s="6">
        <f>IF(AL23-R23-S23&lt;0,0,AL23-R23-S23)</f>
        <v>0.80000000000000071</v>
      </c>
      <c r="AN23" s="5">
        <f t="shared" si="1"/>
        <v>1</v>
      </c>
      <c r="AO23" s="5">
        <v>0</v>
      </c>
      <c r="AP23" s="9"/>
      <c r="AQ23" s="5" t="s">
        <v>1210</v>
      </c>
      <c r="AR23" s="5" t="s">
        <v>1210</v>
      </c>
      <c r="AS23" s="8"/>
      <c r="AT23" s="8"/>
      <c r="AU23" s="8"/>
      <c r="AV23" s="8"/>
      <c r="AW23" s="8"/>
      <c r="AX23" s="8"/>
      <c r="AY23" s="8"/>
      <c r="AZ23" s="8"/>
      <c r="BB23" s="28"/>
      <c r="BC23" s="28"/>
    </row>
    <row r="24" spans="1:55">
      <c r="A24" s="5" t="s">
        <v>668</v>
      </c>
      <c r="B24" s="5">
        <v>834</v>
      </c>
      <c r="C24" s="19">
        <v>17</v>
      </c>
      <c r="E24" s="14"/>
      <c r="F24" s="11"/>
      <c r="G24" s="11"/>
      <c r="H24" s="11"/>
      <c r="I24" s="11"/>
      <c r="J24" s="25"/>
      <c r="K24" s="11"/>
      <c r="L24" s="11"/>
      <c r="M24" s="19">
        <v>0</v>
      </c>
      <c r="O24" s="6"/>
      <c r="P24" s="16">
        <v>0</v>
      </c>
      <c r="Q24" s="16">
        <v>0</v>
      </c>
      <c r="R24" s="22"/>
      <c r="S24" s="22">
        <f t="shared" si="0"/>
        <v>0</v>
      </c>
      <c r="T24" s="5">
        <v>975</v>
      </c>
      <c r="U24" s="5">
        <v>615</v>
      </c>
      <c r="Y24" s="8"/>
      <c r="Z24" s="8"/>
      <c r="AA24" s="8"/>
      <c r="AB24" s="8"/>
      <c r="AC24" s="8"/>
      <c r="AD24" s="8"/>
      <c r="AE24" s="25"/>
      <c r="AF24" s="11"/>
      <c r="AG24" s="25"/>
      <c r="AH24" s="11"/>
      <c r="AI24" s="11">
        <v>76</v>
      </c>
      <c r="AJ24" s="19">
        <v>0</v>
      </c>
      <c r="AK24" s="12">
        <f>(AJ24+AI24)/30*7</f>
        <v>17.733333333333334</v>
      </c>
      <c r="AL24" s="6">
        <f>IF(AK24-C24&lt;0,0,AK24-C24)</f>
        <v>0.73333333333333428</v>
      </c>
      <c r="AM24" s="6">
        <f>IF(AL24-R24-S24&lt;0,0,AL24-R24-S24)</f>
        <v>0.73333333333333428</v>
      </c>
      <c r="AN24" s="5" t="str">
        <f t="shared" si="1"/>
        <v/>
      </c>
      <c r="AO24" s="5">
        <v>0</v>
      </c>
      <c r="AP24" s="9"/>
      <c r="AQ24" s="5" t="s">
        <v>1210</v>
      </c>
      <c r="AR24" s="5" t="s">
        <v>1210</v>
      </c>
      <c r="AS24" s="8"/>
      <c r="AT24" s="8"/>
      <c r="AU24" s="8"/>
      <c r="AV24" s="8"/>
      <c r="AW24" s="8"/>
      <c r="AX24" s="8"/>
      <c r="AY24" s="8"/>
      <c r="AZ24" s="8"/>
      <c r="BB24" s="28"/>
      <c r="BC24" s="28"/>
    </row>
    <row r="25" spans="1:55">
      <c r="A25" s="5" t="s">
        <v>585</v>
      </c>
      <c r="B25" s="5">
        <v>410</v>
      </c>
      <c r="C25" s="19">
        <v>17</v>
      </c>
      <c r="E25" s="14"/>
      <c r="F25" s="11"/>
      <c r="G25" s="11"/>
      <c r="H25" s="11"/>
      <c r="I25" s="11"/>
      <c r="J25" s="25"/>
      <c r="K25" s="11"/>
      <c r="L25" s="11"/>
      <c r="M25" s="19">
        <v>0</v>
      </c>
      <c r="O25" s="6"/>
      <c r="P25" s="16">
        <v>0</v>
      </c>
      <c r="Q25" s="16">
        <v>0</v>
      </c>
      <c r="R25" s="22"/>
      <c r="S25" s="22">
        <f t="shared" si="0"/>
        <v>0</v>
      </c>
      <c r="T25" s="5">
        <v>436</v>
      </c>
      <c r="U25" s="5">
        <v>264</v>
      </c>
      <c r="Y25" s="8"/>
      <c r="Z25" s="8"/>
      <c r="AA25" s="8"/>
      <c r="AB25" s="8"/>
      <c r="AC25" s="8"/>
      <c r="AD25" s="8"/>
      <c r="AE25" s="25"/>
      <c r="AF25" s="11"/>
      <c r="AG25" s="25"/>
      <c r="AH25" s="11"/>
      <c r="AI25" s="11">
        <v>75</v>
      </c>
      <c r="AJ25" s="19">
        <v>0</v>
      </c>
      <c r="AK25" s="12">
        <f>(AJ25+AI25)/30*7</f>
        <v>17.5</v>
      </c>
      <c r="AL25" s="6">
        <f>IF(AK25-C25&lt;0,0,AK25-C25)</f>
        <v>0.5</v>
      </c>
      <c r="AM25" s="6">
        <f>IF(AL25-R25-S25&lt;0,0,AL25-R25-S25)</f>
        <v>0.5</v>
      </c>
      <c r="AN25" s="5" t="str">
        <f t="shared" si="1"/>
        <v/>
      </c>
      <c r="AO25" s="5">
        <v>0</v>
      </c>
      <c r="AP25" s="9"/>
      <c r="AQ25" s="5" t="s">
        <v>1210</v>
      </c>
      <c r="AR25" s="5" t="s">
        <v>1210</v>
      </c>
      <c r="AS25" s="8"/>
      <c r="AT25" s="8"/>
      <c r="AU25" s="8"/>
      <c r="AV25" s="8"/>
      <c r="AW25" s="8"/>
      <c r="AX25" s="8"/>
      <c r="AY25" s="8"/>
      <c r="AZ25" s="8"/>
      <c r="BB25" s="28"/>
      <c r="BC25" s="28"/>
    </row>
    <row r="26" spans="1:55">
      <c r="A26" s="5" t="s">
        <v>505</v>
      </c>
      <c r="B26" s="5">
        <v>184</v>
      </c>
      <c r="C26" s="19">
        <v>22</v>
      </c>
      <c r="E26" s="14"/>
      <c r="F26" s="11"/>
      <c r="G26" s="11"/>
      <c r="H26" s="11"/>
      <c r="I26" s="11"/>
      <c r="J26" s="25"/>
      <c r="K26" s="11"/>
      <c r="L26" s="11"/>
      <c r="M26" s="19">
        <v>0</v>
      </c>
      <c r="O26" s="6"/>
      <c r="P26" s="16">
        <v>0</v>
      </c>
      <c r="Q26" s="16">
        <v>0</v>
      </c>
      <c r="R26" s="22"/>
      <c r="S26" s="22">
        <f t="shared" si="0"/>
        <v>0</v>
      </c>
      <c r="T26" s="5">
        <v>717</v>
      </c>
      <c r="U26" s="5">
        <v>34</v>
      </c>
      <c r="Y26" s="8"/>
      <c r="Z26" s="8"/>
      <c r="AA26" s="8"/>
      <c r="AB26" s="8"/>
      <c r="AC26" s="8"/>
      <c r="AD26" s="8"/>
      <c r="AE26" s="25"/>
      <c r="AF26" s="11"/>
      <c r="AG26" s="25"/>
      <c r="AH26" s="11"/>
      <c r="AI26" s="11">
        <v>96</v>
      </c>
      <c r="AJ26" s="19">
        <v>0</v>
      </c>
      <c r="AK26" s="12">
        <f>(AJ26+AI26)/30*7</f>
        <v>22.400000000000002</v>
      </c>
      <c r="AL26" s="6">
        <f>IF(AK26-C26&lt;0,0,AK26-C26)</f>
        <v>0.40000000000000213</v>
      </c>
      <c r="AM26" s="6">
        <f>IF(AL26-R26-S26&lt;0,0,AL26-R26-S26)</f>
        <v>0.40000000000000213</v>
      </c>
      <c r="AN26" s="5" t="str">
        <f t="shared" si="1"/>
        <v/>
      </c>
      <c r="AO26" s="5">
        <v>0</v>
      </c>
      <c r="AP26" s="9"/>
      <c r="AQ26" s="5" t="s">
        <v>1210</v>
      </c>
      <c r="AR26" s="5" t="s">
        <v>1230</v>
      </c>
      <c r="AS26" s="8"/>
      <c r="AT26" s="8"/>
      <c r="AU26" s="8"/>
      <c r="AV26" s="8"/>
      <c r="AW26" s="8"/>
      <c r="AX26" s="8"/>
      <c r="AY26" s="8"/>
      <c r="AZ26" s="8"/>
      <c r="BB26" s="28"/>
      <c r="BC26" s="28"/>
    </row>
    <row r="27" spans="1:55">
      <c r="A27" s="5" t="s">
        <v>623</v>
      </c>
      <c r="B27" s="5">
        <v>879</v>
      </c>
      <c r="C27" s="19">
        <v>22</v>
      </c>
      <c r="E27" s="14"/>
      <c r="F27" s="11"/>
      <c r="G27" s="11"/>
      <c r="H27" s="11"/>
      <c r="I27" s="11"/>
      <c r="J27" s="25"/>
      <c r="K27" s="11"/>
      <c r="L27" s="11"/>
      <c r="M27" s="19">
        <v>0</v>
      </c>
      <c r="O27" s="6"/>
      <c r="P27" s="16">
        <v>0</v>
      </c>
      <c r="Q27" s="16">
        <v>0</v>
      </c>
      <c r="R27" s="22"/>
      <c r="S27" s="22">
        <f t="shared" si="0"/>
        <v>0</v>
      </c>
      <c r="T27" s="5">
        <v>711</v>
      </c>
      <c r="U27" s="5">
        <v>643</v>
      </c>
      <c r="Y27" s="8"/>
      <c r="Z27" s="8"/>
      <c r="AA27" s="8"/>
      <c r="AB27" s="8"/>
      <c r="AC27" s="8"/>
      <c r="AD27" s="8"/>
      <c r="AE27" s="25"/>
      <c r="AF27" s="11"/>
      <c r="AG27" s="25"/>
      <c r="AH27" s="11"/>
      <c r="AI27" s="11">
        <v>96</v>
      </c>
      <c r="AJ27" s="19">
        <v>0</v>
      </c>
      <c r="AK27" s="12">
        <f>(AJ27+AI27)/30*7</f>
        <v>22.400000000000002</v>
      </c>
      <c r="AL27" s="6">
        <f>IF(AK27-C27&lt;0,0,AK27-C27)</f>
        <v>0.40000000000000213</v>
      </c>
      <c r="AM27" s="6">
        <f>IF(AL27-R27-S27&lt;0,0,AL27-R27-S27)</f>
        <v>0.40000000000000213</v>
      </c>
      <c r="AN27" s="5" t="str">
        <f t="shared" si="1"/>
        <v/>
      </c>
      <c r="AO27" s="5">
        <v>0</v>
      </c>
      <c r="AP27" s="9"/>
      <c r="AQ27" s="5" t="s">
        <v>1210</v>
      </c>
      <c r="AR27" s="5" t="s">
        <v>1210</v>
      </c>
      <c r="AS27" s="8"/>
      <c r="AT27" s="8"/>
      <c r="AU27" s="8"/>
      <c r="AV27" s="8"/>
      <c r="AW27" s="8"/>
      <c r="AX27" s="8"/>
      <c r="AY27" s="8"/>
      <c r="AZ27" s="8"/>
      <c r="BB27" s="28"/>
      <c r="BC27" s="28"/>
    </row>
    <row r="28" spans="1:55">
      <c r="A28" s="5" t="s">
        <v>1034</v>
      </c>
      <c r="B28" s="5">
        <v>628</v>
      </c>
      <c r="C28" s="19">
        <v>18</v>
      </c>
      <c r="E28" s="14"/>
      <c r="F28" s="11"/>
      <c r="G28" s="11"/>
      <c r="H28" s="11"/>
      <c r="I28" s="11"/>
      <c r="J28" s="25"/>
      <c r="K28" s="11"/>
      <c r="L28" s="11"/>
      <c r="M28" s="19">
        <v>0</v>
      </c>
      <c r="O28" s="6"/>
      <c r="P28" s="16">
        <v>0</v>
      </c>
      <c r="Q28" s="16">
        <v>0</v>
      </c>
      <c r="R28" s="22"/>
      <c r="S28" s="22">
        <f t="shared" si="0"/>
        <v>0</v>
      </c>
      <c r="T28" s="5" t="s">
        <v>1210</v>
      </c>
      <c r="U28" s="5" t="s">
        <v>1210</v>
      </c>
      <c r="Y28" s="8"/>
      <c r="Z28" s="8"/>
      <c r="AA28" s="8"/>
      <c r="AB28" s="8"/>
      <c r="AC28" s="8"/>
      <c r="AD28" s="8"/>
      <c r="AE28" s="25"/>
      <c r="AF28" s="11"/>
      <c r="AG28" s="25"/>
      <c r="AH28" s="11"/>
      <c r="AI28" s="11">
        <v>78</v>
      </c>
      <c r="AJ28" s="19">
        <v>0</v>
      </c>
      <c r="AK28" s="12">
        <f>(AJ28+AI28)/30*7</f>
        <v>18.2</v>
      </c>
      <c r="AL28" s="6">
        <f>IF(AK28-C28&lt;0,0,AK28-C28)</f>
        <v>0.19999999999999929</v>
      </c>
      <c r="AM28" s="6">
        <f>IF(AL28-R28-S28&lt;0,0,AL28-R28-S28)</f>
        <v>0.19999999999999929</v>
      </c>
      <c r="AN28" s="5" t="str">
        <f t="shared" si="1"/>
        <v/>
      </c>
      <c r="AO28" s="5">
        <v>0</v>
      </c>
      <c r="AP28" s="9"/>
      <c r="AQ28" s="5" t="s">
        <v>1210</v>
      </c>
      <c r="AR28" s="5" t="s">
        <v>1210</v>
      </c>
      <c r="AS28" s="8"/>
      <c r="AT28" s="8"/>
      <c r="AU28" s="8"/>
      <c r="AV28" s="8"/>
      <c r="AW28" s="8"/>
      <c r="AX28" s="8"/>
      <c r="AY28" s="8"/>
      <c r="AZ28" s="8"/>
      <c r="BB28" s="28"/>
      <c r="BC28" s="28"/>
    </row>
    <row r="29" spans="1:55">
      <c r="A29" s="5" t="s">
        <v>969</v>
      </c>
      <c r="B29" s="5">
        <v>486</v>
      </c>
      <c r="C29" s="19">
        <v>37</v>
      </c>
      <c r="E29" s="14"/>
      <c r="F29" s="11"/>
      <c r="G29" s="11"/>
      <c r="H29" s="11"/>
      <c r="I29" s="11"/>
      <c r="J29" s="25"/>
      <c r="K29" s="11"/>
      <c r="L29" s="11"/>
      <c r="M29" s="19">
        <v>0</v>
      </c>
      <c r="O29" s="6"/>
      <c r="P29" s="16">
        <v>0</v>
      </c>
      <c r="Q29" s="16">
        <v>0</v>
      </c>
      <c r="R29" s="22"/>
      <c r="S29" s="22">
        <f t="shared" si="0"/>
        <v>0</v>
      </c>
      <c r="T29" s="5">
        <v>587</v>
      </c>
      <c r="U29" s="5">
        <v>38</v>
      </c>
      <c r="Y29" s="8"/>
      <c r="Z29" s="8"/>
      <c r="AA29" s="8"/>
      <c r="AB29" s="8"/>
      <c r="AC29" s="8"/>
      <c r="AD29" s="8"/>
      <c r="AE29" s="25"/>
      <c r="AF29" s="11"/>
      <c r="AG29" s="25"/>
      <c r="AH29" s="11"/>
      <c r="AI29" s="11">
        <v>100</v>
      </c>
      <c r="AJ29" s="19">
        <v>0</v>
      </c>
      <c r="AK29" s="12">
        <f>(AJ29+AI29)/30*7</f>
        <v>23.333333333333336</v>
      </c>
      <c r="AL29" s="6">
        <f>IF(AK29-C29&lt;0,0,AK29-C29)</f>
        <v>0</v>
      </c>
      <c r="AM29" s="6">
        <f>IF(AL29-R29-S29&lt;0,0,AL29-R29-S29)</f>
        <v>0</v>
      </c>
      <c r="AN29" s="5" t="str">
        <f t="shared" si="1"/>
        <v/>
      </c>
      <c r="AO29" s="5">
        <v>0</v>
      </c>
      <c r="AP29" s="9"/>
      <c r="AQ29" s="5" t="s">
        <v>1210</v>
      </c>
      <c r="AR29" s="5" t="s">
        <v>1210</v>
      </c>
      <c r="AS29" s="8"/>
      <c r="AT29" s="8"/>
      <c r="AU29" s="8"/>
      <c r="AV29" s="8"/>
      <c r="AW29" s="8"/>
      <c r="AX29" s="8"/>
      <c r="AY29" s="8"/>
      <c r="AZ29" s="8"/>
      <c r="BB29" s="28"/>
      <c r="BC29" s="28"/>
    </row>
    <row r="30" spans="1:55">
      <c r="A30" s="5" t="s">
        <v>605</v>
      </c>
      <c r="B30" s="5">
        <v>1002</v>
      </c>
      <c r="C30" s="19">
        <v>38</v>
      </c>
      <c r="E30" s="14"/>
      <c r="F30" s="11"/>
      <c r="G30" s="11"/>
      <c r="H30" s="11"/>
      <c r="I30" s="11"/>
      <c r="J30" s="25"/>
      <c r="K30" s="11"/>
      <c r="L30" s="11"/>
      <c r="M30" s="19">
        <v>0</v>
      </c>
      <c r="O30" s="6"/>
      <c r="P30" s="16">
        <v>0</v>
      </c>
      <c r="Q30" s="16">
        <v>0</v>
      </c>
      <c r="R30" s="22"/>
      <c r="S30" s="22">
        <f t="shared" si="0"/>
        <v>0</v>
      </c>
      <c r="T30" s="5">
        <v>891</v>
      </c>
      <c r="U30" s="5">
        <v>35</v>
      </c>
      <c r="Y30" s="8"/>
      <c r="Z30" s="8"/>
      <c r="AA30" s="8"/>
      <c r="AB30" s="8"/>
      <c r="AC30" s="8"/>
      <c r="AD30" s="8"/>
      <c r="AE30" s="25"/>
      <c r="AF30" s="11"/>
      <c r="AG30" s="25"/>
      <c r="AH30" s="11"/>
      <c r="AI30" s="11">
        <v>100</v>
      </c>
      <c r="AJ30" s="19">
        <v>0</v>
      </c>
      <c r="AK30" s="12">
        <f>(AJ30+AI30)/30*7</f>
        <v>23.333333333333336</v>
      </c>
      <c r="AL30" s="6">
        <f>IF(AK30-C30&lt;0,0,AK30-C30)</f>
        <v>0</v>
      </c>
      <c r="AM30" s="6">
        <f>IF(AL30-R30-S30&lt;0,0,AL30-R30-S30)</f>
        <v>0</v>
      </c>
      <c r="AN30" s="5" t="str">
        <f t="shared" si="1"/>
        <v/>
      </c>
      <c r="AO30" s="5">
        <v>0</v>
      </c>
      <c r="AP30" s="9"/>
      <c r="AQ30" s="5" t="s">
        <v>1210</v>
      </c>
      <c r="AR30" s="5" t="s">
        <v>1210</v>
      </c>
      <c r="AS30" s="8"/>
      <c r="AT30" s="8"/>
      <c r="AU30" s="8"/>
      <c r="AV30" s="8"/>
      <c r="AW30" s="8"/>
      <c r="AX30" s="8"/>
      <c r="AY30" s="8"/>
      <c r="AZ30" s="8"/>
      <c r="BB30" s="28"/>
      <c r="BC30" s="28"/>
    </row>
    <row r="31" spans="1:55">
      <c r="A31" s="5" t="s">
        <v>744</v>
      </c>
      <c r="B31" s="5">
        <v>655</v>
      </c>
      <c r="C31" s="19">
        <v>28</v>
      </c>
      <c r="E31" s="14"/>
      <c r="F31" s="11"/>
      <c r="G31" s="11"/>
      <c r="H31" s="11"/>
      <c r="I31" s="11"/>
      <c r="J31" s="25"/>
      <c r="K31" s="11"/>
      <c r="L31" s="11"/>
      <c r="M31" s="19">
        <v>0</v>
      </c>
      <c r="O31" s="6"/>
      <c r="P31" s="16">
        <v>0</v>
      </c>
      <c r="Q31" s="16">
        <v>245</v>
      </c>
      <c r="R31" s="22"/>
      <c r="S31" s="22">
        <f t="shared" si="0"/>
        <v>0</v>
      </c>
      <c r="T31" s="5">
        <v>859</v>
      </c>
      <c r="U31" s="5">
        <v>559</v>
      </c>
      <c r="Y31" s="8"/>
      <c r="Z31" s="8"/>
      <c r="AA31" s="8"/>
      <c r="AB31" s="8"/>
      <c r="AC31" s="8"/>
      <c r="AD31" s="8"/>
      <c r="AE31" s="25"/>
      <c r="AF31" s="11"/>
      <c r="AG31" s="25"/>
      <c r="AH31" s="11"/>
      <c r="AI31" s="11">
        <v>99</v>
      </c>
      <c r="AJ31" s="19">
        <v>0</v>
      </c>
      <c r="AK31" s="12">
        <f>(AJ31+AI31)/30*7</f>
        <v>23.099999999999998</v>
      </c>
      <c r="AL31" s="6">
        <f>IF(AK31-C31&lt;0,0,AK31-C31)</f>
        <v>0</v>
      </c>
      <c r="AM31" s="6">
        <f>IF(AL31-R31-S31&lt;0,0,AL31-R31-S31)</f>
        <v>0</v>
      </c>
      <c r="AN31" s="5" t="str">
        <f t="shared" si="1"/>
        <v/>
      </c>
      <c r="AO31" s="5">
        <v>0</v>
      </c>
      <c r="AP31" s="9"/>
      <c r="AQ31" s="5" t="s">
        <v>1210</v>
      </c>
      <c r="AR31" s="5" t="s">
        <v>1210</v>
      </c>
      <c r="AS31" s="8"/>
      <c r="AT31" s="8"/>
      <c r="AU31" s="8"/>
      <c r="AV31" s="8"/>
      <c r="AW31" s="8"/>
      <c r="AX31" s="8"/>
      <c r="AY31" s="8"/>
      <c r="AZ31" s="8"/>
      <c r="BB31" s="28"/>
      <c r="BC31" s="28"/>
    </row>
    <row r="32" spans="1:55">
      <c r="A32" s="5" t="s">
        <v>775</v>
      </c>
      <c r="B32" s="5">
        <v>464</v>
      </c>
      <c r="C32" s="19">
        <v>40</v>
      </c>
      <c r="E32" s="14"/>
      <c r="F32" s="11"/>
      <c r="G32" s="11"/>
      <c r="H32" s="11"/>
      <c r="I32" s="11"/>
      <c r="J32" s="25"/>
      <c r="K32" s="11"/>
      <c r="L32" s="11"/>
      <c r="M32" s="19">
        <v>0</v>
      </c>
      <c r="O32" s="6"/>
      <c r="P32" s="16">
        <v>892</v>
      </c>
      <c r="Q32" s="16">
        <v>0</v>
      </c>
      <c r="R32" s="22"/>
      <c r="S32" s="22">
        <f t="shared" si="0"/>
        <v>0</v>
      </c>
      <c r="T32" s="5">
        <v>323</v>
      </c>
      <c r="U32" s="5">
        <v>936</v>
      </c>
      <c r="Y32" s="8"/>
      <c r="Z32" s="8"/>
      <c r="AA32" s="8"/>
      <c r="AB32" s="8"/>
      <c r="AC32" s="8"/>
      <c r="AD32" s="8"/>
      <c r="AE32" s="25"/>
      <c r="AF32" s="11"/>
      <c r="AG32" s="25"/>
      <c r="AH32" s="11"/>
      <c r="AI32" s="11">
        <v>99</v>
      </c>
      <c r="AJ32" s="19">
        <v>0</v>
      </c>
      <c r="AK32" s="12">
        <f>(AJ32+AI32)/30*7</f>
        <v>23.099999999999998</v>
      </c>
      <c r="AL32" s="6">
        <f>IF(AK32-C32&lt;0,0,AK32-C32)</f>
        <v>0</v>
      </c>
      <c r="AM32" s="6">
        <f>IF(AL32-R32-S32&lt;0,0,AL32-R32-S32)</f>
        <v>0</v>
      </c>
      <c r="AN32" s="5" t="str">
        <f t="shared" si="1"/>
        <v/>
      </c>
      <c r="AO32" s="5">
        <v>0</v>
      </c>
      <c r="AP32" s="9"/>
      <c r="AQ32" s="5" t="s">
        <v>1210</v>
      </c>
      <c r="AR32" s="5" t="s">
        <v>1230</v>
      </c>
      <c r="AS32" s="8"/>
      <c r="AT32" s="8"/>
      <c r="AU32" s="8"/>
      <c r="AV32" s="8"/>
      <c r="AW32" s="8"/>
      <c r="AX32" s="8"/>
      <c r="AY32" s="8"/>
      <c r="AZ32" s="8"/>
      <c r="BB32" s="28"/>
      <c r="BC32" s="28"/>
    </row>
    <row r="33" spans="1:55">
      <c r="A33" s="5" t="s">
        <v>1005</v>
      </c>
      <c r="B33" s="5">
        <v>525</v>
      </c>
      <c r="C33" s="19">
        <v>30</v>
      </c>
      <c r="E33" s="14"/>
      <c r="F33" s="11"/>
      <c r="G33" s="11"/>
      <c r="H33" s="11"/>
      <c r="I33" s="11"/>
      <c r="J33" s="25"/>
      <c r="K33" s="11"/>
      <c r="L33" s="11"/>
      <c r="M33" s="19">
        <v>0</v>
      </c>
      <c r="O33" s="6"/>
      <c r="P33" s="16">
        <v>0</v>
      </c>
      <c r="Q33" s="16">
        <v>0</v>
      </c>
      <c r="R33" s="22"/>
      <c r="S33" s="22">
        <f t="shared" si="0"/>
        <v>0</v>
      </c>
      <c r="T33" s="5" t="s">
        <v>1210</v>
      </c>
      <c r="U33" s="5" t="s">
        <v>1210</v>
      </c>
      <c r="Y33" s="8"/>
      <c r="Z33" s="8"/>
      <c r="AA33" s="8"/>
      <c r="AB33" s="8"/>
      <c r="AC33" s="8"/>
      <c r="AD33" s="8"/>
      <c r="AE33" s="25"/>
      <c r="AF33" s="11"/>
      <c r="AG33" s="25"/>
      <c r="AH33" s="11"/>
      <c r="AI33" s="11">
        <v>99</v>
      </c>
      <c r="AJ33" s="19">
        <v>0</v>
      </c>
      <c r="AK33" s="12">
        <f>(AJ33+AI33)/30*7</f>
        <v>23.099999999999998</v>
      </c>
      <c r="AL33" s="6">
        <f>IF(AK33-C33&lt;0,0,AK33-C33)</f>
        <v>0</v>
      </c>
      <c r="AM33" s="6">
        <f>IF(AL33-R33-S33&lt;0,0,AL33-R33-S33)</f>
        <v>0</v>
      </c>
      <c r="AN33" s="5" t="str">
        <f t="shared" si="1"/>
        <v/>
      </c>
      <c r="AO33" s="5">
        <v>0</v>
      </c>
      <c r="AP33" s="9"/>
      <c r="AQ33" s="5" t="s">
        <v>1210</v>
      </c>
      <c r="AR33" s="5" t="s">
        <v>1210</v>
      </c>
      <c r="AS33" s="8"/>
      <c r="AT33" s="8"/>
      <c r="AU33" s="8"/>
      <c r="AV33" s="8"/>
      <c r="AW33" s="8"/>
      <c r="AX33" s="8"/>
      <c r="AY33" s="8"/>
      <c r="AZ33" s="8"/>
      <c r="BB33" s="28"/>
      <c r="BC33" s="28"/>
    </row>
    <row r="34" spans="1:55">
      <c r="A34" s="5" t="s">
        <v>880</v>
      </c>
      <c r="B34" s="5">
        <v>526</v>
      </c>
      <c r="C34" s="19">
        <v>29</v>
      </c>
      <c r="E34" s="14"/>
      <c r="F34" s="11"/>
      <c r="G34" s="11"/>
      <c r="H34" s="11"/>
      <c r="I34" s="11"/>
      <c r="J34" s="25"/>
      <c r="K34" s="11"/>
      <c r="L34" s="11"/>
      <c r="M34" s="19">
        <v>0</v>
      </c>
      <c r="O34" s="6"/>
      <c r="P34" s="16">
        <v>0</v>
      </c>
      <c r="Q34" s="16">
        <v>0</v>
      </c>
      <c r="R34" s="22"/>
      <c r="S34" s="22">
        <f t="shared" si="0"/>
        <v>0</v>
      </c>
      <c r="T34" s="5">
        <v>815</v>
      </c>
      <c r="U34" s="5">
        <v>780</v>
      </c>
      <c r="Y34" s="8"/>
      <c r="Z34" s="8"/>
      <c r="AA34" s="8"/>
      <c r="AB34" s="8"/>
      <c r="AC34" s="8"/>
      <c r="AD34" s="8"/>
      <c r="AE34" s="25"/>
      <c r="AF34" s="11"/>
      <c r="AG34" s="25"/>
      <c r="AH34" s="11"/>
      <c r="AI34" s="11">
        <v>98</v>
      </c>
      <c r="AJ34" s="19">
        <v>0</v>
      </c>
      <c r="AK34" s="12">
        <f>(AJ34+AI34)/30*7</f>
        <v>22.866666666666667</v>
      </c>
      <c r="AL34" s="6">
        <f>IF(AK34-C34&lt;0,0,AK34-C34)</f>
        <v>0</v>
      </c>
      <c r="AM34" s="6">
        <f>IF(AL34-R34-S34&lt;0,0,AL34-R34-S34)</f>
        <v>0</v>
      </c>
      <c r="AN34" s="5" t="str">
        <f t="shared" si="1"/>
        <v/>
      </c>
      <c r="AO34" s="5">
        <v>0</v>
      </c>
      <c r="AP34" s="9"/>
      <c r="AQ34" s="5" t="s">
        <v>1210</v>
      </c>
      <c r="AR34" s="5" t="s">
        <v>1210</v>
      </c>
      <c r="AS34" s="8"/>
      <c r="AT34" s="8"/>
      <c r="AU34" s="8"/>
      <c r="AV34" s="8"/>
      <c r="AW34" s="8"/>
      <c r="AX34" s="8"/>
      <c r="AY34" s="8"/>
      <c r="AZ34" s="8"/>
      <c r="BB34" s="28"/>
      <c r="BC34" s="28"/>
    </row>
    <row r="35" spans="1:55">
      <c r="A35" s="5" t="s">
        <v>1049</v>
      </c>
      <c r="B35" s="5">
        <v>808</v>
      </c>
      <c r="C35" s="19">
        <v>39</v>
      </c>
      <c r="E35" s="14"/>
      <c r="F35" s="11"/>
      <c r="G35" s="11"/>
      <c r="H35" s="11"/>
      <c r="I35" s="11"/>
      <c r="J35" s="25"/>
      <c r="K35" s="11"/>
      <c r="L35" s="11"/>
      <c r="M35" s="19">
        <v>0</v>
      </c>
      <c r="O35" s="6"/>
      <c r="P35" s="16">
        <v>0</v>
      </c>
      <c r="Q35" s="16">
        <v>0</v>
      </c>
      <c r="R35" s="22"/>
      <c r="S35" s="22">
        <f t="shared" si="0"/>
        <v>0</v>
      </c>
      <c r="T35" s="5">
        <v>706</v>
      </c>
      <c r="U35" s="5">
        <v>38</v>
      </c>
      <c r="Y35" s="8"/>
      <c r="Z35" s="8"/>
      <c r="AA35" s="8"/>
      <c r="AB35" s="8"/>
      <c r="AC35" s="8"/>
      <c r="AD35" s="8"/>
      <c r="AE35" s="25"/>
      <c r="AF35" s="11"/>
      <c r="AG35" s="25"/>
      <c r="AH35" s="11"/>
      <c r="AI35" s="11">
        <v>98</v>
      </c>
      <c r="AJ35" s="19">
        <v>0</v>
      </c>
      <c r="AK35" s="12">
        <f>(AJ35+AI35)/30*7</f>
        <v>22.866666666666667</v>
      </c>
      <c r="AL35" s="6">
        <f>IF(AK35-C35&lt;0,0,AK35-C35)</f>
        <v>0</v>
      </c>
      <c r="AM35" s="6">
        <f>IF(AL35-R35-S35&lt;0,0,AL35-R35-S35)</f>
        <v>0</v>
      </c>
      <c r="AN35" s="5" t="str">
        <f t="shared" si="1"/>
        <v/>
      </c>
      <c r="AO35" s="5">
        <v>0</v>
      </c>
      <c r="AP35" s="9"/>
      <c r="AQ35" s="5" t="s">
        <v>1210</v>
      </c>
      <c r="AR35" s="5" t="s">
        <v>1210</v>
      </c>
      <c r="AS35" s="8"/>
      <c r="AT35" s="8"/>
      <c r="AU35" s="8"/>
      <c r="AV35" s="8"/>
      <c r="AW35" s="8"/>
      <c r="AX35" s="8"/>
      <c r="AY35" s="8"/>
      <c r="AZ35" s="8"/>
      <c r="BB35" s="28"/>
      <c r="BC35" s="28"/>
    </row>
    <row r="36" spans="1:55">
      <c r="A36" s="5" t="s">
        <v>900</v>
      </c>
      <c r="B36" s="5">
        <v>842</v>
      </c>
      <c r="C36" s="19">
        <v>38</v>
      </c>
      <c r="E36" s="14"/>
      <c r="F36" s="11"/>
      <c r="G36" s="11"/>
      <c r="H36" s="11"/>
      <c r="I36" s="11"/>
      <c r="J36" s="25"/>
      <c r="K36" s="11"/>
      <c r="L36" s="11"/>
      <c r="M36" s="19">
        <v>0</v>
      </c>
      <c r="O36" s="6"/>
      <c r="P36" s="16">
        <v>0</v>
      </c>
      <c r="Q36" s="16">
        <v>0</v>
      </c>
      <c r="R36" s="22"/>
      <c r="S36" s="22">
        <f t="shared" si="0"/>
        <v>0</v>
      </c>
      <c r="T36" s="5">
        <v>702</v>
      </c>
      <c r="U36" s="5">
        <v>329</v>
      </c>
      <c r="Y36" s="8"/>
      <c r="Z36" s="8"/>
      <c r="AA36" s="8"/>
      <c r="AB36" s="8"/>
      <c r="AC36" s="8"/>
      <c r="AD36" s="8"/>
      <c r="AE36" s="25"/>
      <c r="AF36" s="11"/>
      <c r="AG36" s="25"/>
      <c r="AH36" s="11"/>
      <c r="AI36" s="11">
        <v>98</v>
      </c>
      <c r="AJ36" s="19">
        <v>0</v>
      </c>
      <c r="AK36" s="12">
        <f>(AJ36+AI36)/30*7</f>
        <v>22.866666666666667</v>
      </c>
      <c r="AL36" s="6">
        <f>IF(AK36-C36&lt;0,0,AK36-C36)</f>
        <v>0</v>
      </c>
      <c r="AM36" s="6">
        <f>IF(AL36-R36-S36&lt;0,0,AL36-R36-S36)</f>
        <v>0</v>
      </c>
      <c r="AN36" s="5" t="str">
        <f t="shared" si="1"/>
        <v/>
      </c>
      <c r="AO36" s="5">
        <v>0</v>
      </c>
      <c r="AP36" s="9"/>
      <c r="AQ36" s="5" t="s">
        <v>1210</v>
      </c>
      <c r="AR36" s="5" t="s">
        <v>1210</v>
      </c>
      <c r="AS36" s="8"/>
      <c r="AT36" s="8"/>
      <c r="AU36" s="8"/>
      <c r="AV36" s="8"/>
      <c r="AW36" s="8"/>
      <c r="AX36" s="8"/>
      <c r="AY36" s="8"/>
      <c r="AZ36" s="8"/>
      <c r="BB36" s="28"/>
      <c r="BC36" s="28"/>
    </row>
    <row r="37" spans="1:55">
      <c r="A37" s="5" t="s">
        <v>1016</v>
      </c>
      <c r="B37" s="5">
        <v>910</v>
      </c>
      <c r="C37" s="19">
        <v>39</v>
      </c>
      <c r="E37" s="14"/>
      <c r="F37" s="11"/>
      <c r="G37" s="11"/>
      <c r="H37" s="11"/>
      <c r="I37" s="11"/>
      <c r="J37" s="25"/>
      <c r="K37" s="11"/>
      <c r="L37" s="11"/>
      <c r="M37" s="19">
        <v>0</v>
      </c>
      <c r="O37" s="6"/>
      <c r="P37" s="16">
        <v>0</v>
      </c>
      <c r="Q37" s="16">
        <v>0</v>
      </c>
      <c r="R37" s="22"/>
      <c r="S37" s="22">
        <f t="shared" si="0"/>
        <v>0</v>
      </c>
      <c r="T37" s="5" t="s">
        <v>1210</v>
      </c>
      <c r="U37" s="5" t="s">
        <v>1210</v>
      </c>
      <c r="Y37" s="8"/>
      <c r="Z37" s="8"/>
      <c r="AA37" s="8"/>
      <c r="AB37" s="8"/>
      <c r="AC37" s="8"/>
      <c r="AD37" s="8"/>
      <c r="AE37" s="25"/>
      <c r="AF37" s="11"/>
      <c r="AG37" s="25"/>
      <c r="AH37" s="11"/>
      <c r="AI37" s="11">
        <v>98</v>
      </c>
      <c r="AJ37" s="19">
        <v>0</v>
      </c>
      <c r="AK37" s="12">
        <f>(AJ37+AI37)/30*7</f>
        <v>22.866666666666667</v>
      </c>
      <c r="AL37" s="6">
        <f>IF(AK37-C37&lt;0,0,AK37-C37)</f>
        <v>0</v>
      </c>
      <c r="AM37" s="6">
        <f>IF(AL37-R37-S37&lt;0,0,AL37-R37-S37)</f>
        <v>0</v>
      </c>
      <c r="AN37" s="5" t="str">
        <f t="shared" si="1"/>
        <v/>
      </c>
      <c r="AO37" s="5">
        <v>0</v>
      </c>
      <c r="AP37" s="9"/>
      <c r="AQ37" s="5" t="s">
        <v>1210</v>
      </c>
      <c r="AR37" s="5" t="s">
        <v>1210</v>
      </c>
      <c r="AS37" s="8"/>
      <c r="AT37" s="8"/>
      <c r="AU37" s="8"/>
      <c r="AV37" s="8"/>
      <c r="AW37" s="8"/>
      <c r="AX37" s="8"/>
      <c r="AY37" s="8"/>
      <c r="AZ37" s="8"/>
      <c r="BB37" s="28"/>
      <c r="BC37" s="28"/>
    </row>
    <row r="38" spans="1:55">
      <c r="A38" s="5" t="s">
        <v>876</v>
      </c>
      <c r="B38" s="5">
        <v>1226</v>
      </c>
      <c r="C38" s="19">
        <v>24</v>
      </c>
      <c r="E38" s="14"/>
      <c r="F38" s="11"/>
      <c r="G38" s="11"/>
      <c r="H38" s="11"/>
      <c r="I38" s="11"/>
      <c r="J38" s="25"/>
      <c r="K38" s="11"/>
      <c r="L38" s="11"/>
      <c r="M38" s="19">
        <v>0</v>
      </c>
      <c r="O38" s="6"/>
      <c r="P38" s="16">
        <v>0</v>
      </c>
      <c r="Q38" s="16">
        <v>0</v>
      </c>
      <c r="R38" s="22"/>
      <c r="S38" s="22">
        <f t="shared" si="0"/>
        <v>0</v>
      </c>
      <c r="T38" s="5">
        <v>1554</v>
      </c>
      <c r="U38" s="5">
        <v>628</v>
      </c>
      <c r="Y38" s="8"/>
      <c r="Z38" s="8"/>
      <c r="AA38" s="8"/>
      <c r="AB38" s="8"/>
      <c r="AC38" s="8"/>
      <c r="AD38" s="8"/>
      <c r="AE38" s="25"/>
      <c r="AF38" s="11"/>
      <c r="AG38" s="25"/>
      <c r="AH38" s="11"/>
      <c r="AI38" s="11">
        <v>98</v>
      </c>
      <c r="AJ38" s="19">
        <v>0</v>
      </c>
      <c r="AK38" s="12">
        <f>(AJ38+AI38)/30*7</f>
        <v>22.866666666666667</v>
      </c>
      <c r="AL38" s="6">
        <f>IF(AK38-C38&lt;0,0,AK38-C38)</f>
        <v>0</v>
      </c>
      <c r="AM38" s="6">
        <f>IF(AL38-R38-S38&lt;0,0,AL38-R38-S38)</f>
        <v>0</v>
      </c>
      <c r="AN38" s="5" t="str">
        <f t="shared" si="1"/>
        <v/>
      </c>
      <c r="AO38" s="5">
        <v>0</v>
      </c>
      <c r="AP38" s="9"/>
      <c r="AQ38" s="5" t="s">
        <v>1210</v>
      </c>
      <c r="AR38" s="5" t="s">
        <v>1210</v>
      </c>
      <c r="AS38" s="8"/>
      <c r="AT38" s="8"/>
      <c r="AU38" s="8"/>
      <c r="AV38" s="8"/>
      <c r="AW38" s="8"/>
      <c r="AX38" s="8"/>
      <c r="AY38" s="8"/>
      <c r="AZ38" s="8"/>
      <c r="BB38" s="28"/>
      <c r="BC38" s="28"/>
    </row>
    <row r="39" spans="1:55">
      <c r="A39" s="5" t="s">
        <v>635</v>
      </c>
      <c r="B39" s="5">
        <v>1298</v>
      </c>
      <c r="C39" s="19">
        <v>36</v>
      </c>
      <c r="E39" s="14"/>
      <c r="F39" s="11"/>
      <c r="G39" s="11"/>
      <c r="H39" s="11"/>
      <c r="I39" s="11"/>
      <c r="J39" s="25"/>
      <c r="K39" s="11"/>
      <c r="L39" s="11"/>
      <c r="M39" s="19">
        <v>0</v>
      </c>
      <c r="O39" s="6"/>
      <c r="P39" s="16">
        <v>0</v>
      </c>
      <c r="Q39" s="16">
        <v>0</v>
      </c>
      <c r="R39" s="22"/>
      <c r="S39" s="22">
        <f t="shared" si="0"/>
        <v>0</v>
      </c>
      <c r="T39" s="5">
        <v>1149</v>
      </c>
      <c r="U39" s="5">
        <v>352</v>
      </c>
      <c r="Y39" s="8"/>
      <c r="Z39" s="8"/>
      <c r="AA39" s="8"/>
      <c r="AB39" s="8"/>
      <c r="AC39" s="8"/>
      <c r="AD39" s="8"/>
      <c r="AE39" s="25"/>
      <c r="AF39" s="11"/>
      <c r="AG39" s="25"/>
      <c r="AH39" s="11"/>
      <c r="AI39" s="11">
        <v>98</v>
      </c>
      <c r="AJ39" s="19">
        <v>0</v>
      </c>
      <c r="AK39" s="12">
        <f>(AJ39+AI39)/30*7</f>
        <v>22.866666666666667</v>
      </c>
      <c r="AL39" s="6">
        <f>IF(AK39-C39&lt;0,0,AK39-C39)</f>
        <v>0</v>
      </c>
      <c r="AM39" s="6">
        <f>IF(AL39-R39-S39&lt;0,0,AL39-R39-S39)</f>
        <v>0</v>
      </c>
      <c r="AN39" s="5" t="str">
        <f t="shared" si="1"/>
        <v/>
      </c>
      <c r="AO39" s="5">
        <v>0</v>
      </c>
      <c r="AP39" s="9"/>
      <c r="AQ39" s="5" t="s">
        <v>1210</v>
      </c>
      <c r="AR39" s="5" t="s">
        <v>1210</v>
      </c>
      <c r="AS39" s="8"/>
      <c r="AT39" s="8"/>
      <c r="AU39" s="8"/>
      <c r="AV39" s="8"/>
      <c r="AW39" s="8"/>
      <c r="AX39" s="8"/>
      <c r="AY39" s="8"/>
      <c r="AZ39" s="8"/>
      <c r="BB39" s="28"/>
      <c r="BC39" s="28"/>
    </row>
    <row r="40" spans="1:55">
      <c r="A40" s="5" t="s">
        <v>960</v>
      </c>
      <c r="B40" s="5">
        <v>1445</v>
      </c>
      <c r="C40" s="19">
        <v>37</v>
      </c>
      <c r="E40" s="14"/>
      <c r="F40" s="11"/>
      <c r="G40" s="11"/>
      <c r="H40" s="11"/>
      <c r="I40" s="11"/>
      <c r="J40" s="25"/>
      <c r="K40" s="11"/>
      <c r="L40" s="11"/>
      <c r="M40" s="19">
        <v>0</v>
      </c>
      <c r="O40" s="6"/>
      <c r="P40" s="16">
        <v>0</v>
      </c>
      <c r="Q40" s="16">
        <v>0</v>
      </c>
      <c r="R40" s="22"/>
      <c r="S40" s="22">
        <f t="shared" si="0"/>
        <v>0</v>
      </c>
      <c r="T40" s="5">
        <v>1848</v>
      </c>
      <c r="U40" s="5">
        <v>542</v>
      </c>
      <c r="Y40" s="8"/>
      <c r="Z40" s="8"/>
      <c r="AA40" s="8"/>
      <c r="AB40" s="8"/>
      <c r="AC40" s="8"/>
      <c r="AD40" s="8"/>
      <c r="AE40" s="25"/>
      <c r="AF40" s="11"/>
      <c r="AG40" s="25"/>
      <c r="AH40" s="11"/>
      <c r="AI40" s="11">
        <v>98</v>
      </c>
      <c r="AJ40" s="19">
        <v>0</v>
      </c>
      <c r="AK40" s="12">
        <f>(AJ40+AI40)/30*7</f>
        <v>22.866666666666667</v>
      </c>
      <c r="AL40" s="6">
        <f>IF(AK40-C40&lt;0,0,AK40-C40)</f>
        <v>0</v>
      </c>
      <c r="AM40" s="6">
        <f>IF(AL40-R40-S40&lt;0,0,AL40-R40-S40)</f>
        <v>0</v>
      </c>
      <c r="AN40" s="5" t="str">
        <f t="shared" si="1"/>
        <v/>
      </c>
      <c r="AO40" s="5">
        <v>0</v>
      </c>
      <c r="AP40" s="9"/>
      <c r="AQ40" s="5" t="s">
        <v>1210</v>
      </c>
      <c r="AR40" s="5" t="s">
        <v>1210</v>
      </c>
      <c r="AS40" s="8"/>
      <c r="AT40" s="8"/>
      <c r="AU40" s="8"/>
      <c r="AV40" s="8"/>
      <c r="AW40" s="8"/>
      <c r="AX40" s="8"/>
      <c r="AY40" s="8"/>
      <c r="AZ40" s="8"/>
      <c r="BB40" s="28"/>
      <c r="BC40" s="28"/>
    </row>
    <row r="41" spans="1:55">
      <c r="A41" s="5" t="s">
        <v>1123</v>
      </c>
      <c r="B41" s="5" t="s">
        <v>1206</v>
      </c>
      <c r="C41" s="19">
        <v>31</v>
      </c>
      <c r="E41" s="14"/>
      <c r="F41" s="11"/>
      <c r="G41" s="11"/>
      <c r="H41" s="11"/>
      <c r="I41" s="11"/>
      <c r="J41" s="25"/>
      <c r="K41" s="11"/>
      <c r="L41" s="11"/>
      <c r="M41" s="19">
        <v>0</v>
      </c>
      <c r="O41" s="6"/>
      <c r="P41" s="16">
        <v>0</v>
      </c>
      <c r="Q41" s="16">
        <v>0</v>
      </c>
      <c r="R41" s="22"/>
      <c r="S41" s="22">
        <f t="shared" si="0"/>
        <v>0</v>
      </c>
      <c r="T41" s="5" t="s">
        <v>1210</v>
      </c>
      <c r="U41" s="5" t="s">
        <v>1210</v>
      </c>
      <c r="Y41" s="8"/>
      <c r="Z41" s="8"/>
      <c r="AA41" s="8"/>
      <c r="AB41" s="8"/>
      <c r="AC41" s="8"/>
      <c r="AD41" s="8"/>
      <c r="AE41" s="25"/>
      <c r="AF41" s="11"/>
      <c r="AG41" s="25"/>
      <c r="AH41" s="11"/>
      <c r="AI41" s="11">
        <v>98</v>
      </c>
      <c r="AJ41" s="19">
        <v>0</v>
      </c>
      <c r="AK41" s="12">
        <f>(AJ41+AI41)/30*7</f>
        <v>22.866666666666667</v>
      </c>
      <c r="AL41" s="6">
        <f>IF(AK41-C41&lt;0,0,AK41-C41)</f>
        <v>0</v>
      </c>
      <c r="AM41" s="6">
        <f>IF(AL41-R41-S41&lt;0,0,AL41-R41-S41)</f>
        <v>0</v>
      </c>
      <c r="AN41" s="5" t="str">
        <f t="shared" si="1"/>
        <v/>
      </c>
      <c r="AO41" s="5">
        <v>0</v>
      </c>
      <c r="AP41" s="9"/>
      <c r="AQ41" s="5" t="s">
        <v>1210</v>
      </c>
      <c r="AR41" s="5" t="s">
        <v>1210</v>
      </c>
      <c r="AS41" s="8"/>
      <c r="AT41" s="8"/>
      <c r="AU41" s="8"/>
      <c r="AV41" s="8"/>
      <c r="AW41" s="8"/>
      <c r="AX41" s="8"/>
      <c r="AY41" s="8"/>
      <c r="AZ41" s="8"/>
      <c r="BB41" s="28"/>
      <c r="BC41" s="28"/>
    </row>
    <row r="42" spans="1:55">
      <c r="A42" s="5" t="s">
        <v>1099</v>
      </c>
      <c r="B42" s="5">
        <v>485</v>
      </c>
      <c r="C42" s="19">
        <v>29</v>
      </c>
      <c r="E42" s="14"/>
      <c r="F42" s="11"/>
      <c r="G42" s="11"/>
      <c r="H42" s="11"/>
      <c r="I42" s="11"/>
      <c r="J42" s="25"/>
      <c r="K42" s="11"/>
      <c r="L42" s="11"/>
      <c r="M42" s="19">
        <v>0</v>
      </c>
      <c r="O42" s="6"/>
      <c r="P42" s="16">
        <v>0</v>
      </c>
      <c r="Q42" s="16">
        <v>0</v>
      </c>
      <c r="R42" s="22"/>
      <c r="S42" s="22">
        <f t="shared" si="0"/>
        <v>0</v>
      </c>
      <c r="T42" s="5">
        <v>700</v>
      </c>
      <c r="U42" s="5">
        <v>687</v>
      </c>
      <c r="Y42" s="8"/>
      <c r="Z42" s="8"/>
      <c r="AA42" s="8"/>
      <c r="AB42" s="8"/>
      <c r="AC42" s="8"/>
      <c r="AD42" s="8"/>
      <c r="AE42" s="25"/>
      <c r="AF42" s="11"/>
      <c r="AG42" s="25"/>
      <c r="AH42" s="11"/>
      <c r="AI42" s="11">
        <v>97</v>
      </c>
      <c r="AJ42" s="19">
        <v>0</v>
      </c>
      <c r="AK42" s="12">
        <f>(AJ42+AI42)/30*7</f>
        <v>22.633333333333333</v>
      </c>
      <c r="AL42" s="6">
        <f>IF(AK42-C42&lt;0,0,AK42-C42)</f>
        <v>0</v>
      </c>
      <c r="AM42" s="6">
        <f>IF(AL42-R42-S42&lt;0,0,AL42-R42-S42)</f>
        <v>0</v>
      </c>
      <c r="AN42" s="5" t="str">
        <f t="shared" si="1"/>
        <v/>
      </c>
      <c r="AO42" s="5">
        <v>0</v>
      </c>
      <c r="AP42" s="9"/>
      <c r="AQ42" s="5" t="s">
        <v>1210</v>
      </c>
      <c r="AR42" s="5" t="s">
        <v>1210</v>
      </c>
      <c r="AS42" s="8"/>
      <c r="AT42" s="8"/>
      <c r="AU42" s="8"/>
      <c r="AV42" s="8"/>
      <c r="AW42" s="8"/>
      <c r="AX42" s="8"/>
      <c r="AY42" s="8"/>
      <c r="AZ42" s="8"/>
      <c r="BB42" s="28"/>
      <c r="BC42" s="28"/>
    </row>
    <row r="43" spans="1:55">
      <c r="A43" s="5" t="s">
        <v>1112</v>
      </c>
      <c r="B43" s="5">
        <v>1832</v>
      </c>
      <c r="C43" s="19">
        <v>32</v>
      </c>
      <c r="E43" s="14"/>
      <c r="F43" s="11"/>
      <c r="G43" s="11"/>
      <c r="H43" s="11"/>
      <c r="I43" s="11"/>
      <c r="J43" s="25"/>
      <c r="K43" s="11"/>
      <c r="L43" s="11"/>
      <c r="M43" s="19">
        <v>0</v>
      </c>
      <c r="O43" s="6"/>
      <c r="P43" s="16">
        <v>0</v>
      </c>
      <c r="Q43" s="16">
        <v>0</v>
      </c>
      <c r="R43" s="22"/>
      <c r="S43" s="22">
        <f t="shared" si="0"/>
        <v>0</v>
      </c>
      <c r="T43" s="5">
        <v>1697</v>
      </c>
      <c r="U43" s="5">
        <v>739</v>
      </c>
      <c r="Y43" s="8"/>
      <c r="Z43" s="8"/>
      <c r="AA43" s="8"/>
      <c r="AB43" s="8"/>
      <c r="AC43" s="8"/>
      <c r="AD43" s="8"/>
      <c r="AE43" s="25"/>
      <c r="AF43" s="11"/>
      <c r="AG43" s="25"/>
      <c r="AH43" s="11"/>
      <c r="AI43" s="11">
        <v>97</v>
      </c>
      <c r="AJ43" s="19">
        <v>0</v>
      </c>
      <c r="AK43" s="12">
        <f>(AJ43+AI43)/30*7</f>
        <v>22.633333333333333</v>
      </c>
      <c r="AL43" s="6">
        <f>IF(AK43-C43&lt;0,0,AK43-C43)</f>
        <v>0</v>
      </c>
      <c r="AM43" s="6">
        <f>IF(AL43-R43-S43&lt;0,0,AL43-R43-S43)</f>
        <v>0</v>
      </c>
      <c r="AN43" s="5" t="str">
        <f t="shared" si="1"/>
        <v/>
      </c>
      <c r="AO43" s="5">
        <v>0</v>
      </c>
      <c r="AP43" s="9"/>
      <c r="AQ43" s="5" t="s">
        <v>1210</v>
      </c>
      <c r="AR43" s="5" t="s">
        <v>1210</v>
      </c>
      <c r="AS43" s="8"/>
      <c r="AT43" s="8"/>
      <c r="AU43" s="8"/>
      <c r="AV43" s="8"/>
      <c r="AW43" s="8"/>
      <c r="AX43" s="8"/>
      <c r="AY43" s="8"/>
      <c r="AZ43" s="8"/>
      <c r="BB43" s="28"/>
      <c r="BC43" s="28"/>
    </row>
    <row r="44" spans="1:55">
      <c r="A44" s="5" t="s">
        <v>871</v>
      </c>
      <c r="B44" s="5" t="s">
        <v>1180</v>
      </c>
      <c r="C44" s="19">
        <v>32</v>
      </c>
      <c r="E44" s="14"/>
      <c r="F44" s="11"/>
      <c r="G44" s="11"/>
      <c r="H44" s="11"/>
      <c r="I44" s="11"/>
      <c r="J44" s="25"/>
      <c r="K44" s="11"/>
      <c r="L44" s="11"/>
      <c r="M44" s="19">
        <v>0</v>
      </c>
      <c r="O44" s="6"/>
      <c r="P44" s="16">
        <v>0</v>
      </c>
      <c r="Q44" s="16">
        <v>0</v>
      </c>
      <c r="R44" s="22"/>
      <c r="S44" s="22">
        <f t="shared" si="0"/>
        <v>0</v>
      </c>
      <c r="T44" s="5" t="s">
        <v>1210</v>
      </c>
      <c r="U44" s="5" t="s">
        <v>1210</v>
      </c>
      <c r="Y44" s="8"/>
      <c r="Z44" s="8"/>
      <c r="AA44" s="8"/>
      <c r="AB44" s="8"/>
      <c r="AC44" s="8"/>
      <c r="AD44" s="8"/>
      <c r="AE44" s="25"/>
      <c r="AF44" s="11"/>
      <c r="AG44" s="25"/>
      <c r="AH44" s="11"/>
      <c r="AI44" s="11">
        <v>97</v>
      </c>
      <c r="AJ44" s="19">
        <v>0</v>
      </c>
      <c r="AK44" s="12">
        <f>(AJ44+AI44)/30*7</f>
        <v>22.633333333333333</v>
      </c>
      <c r="AL44" s="6">
        <f>IF(AK44-C44&lt;0,0,AK44-C44)</f>
        <v>0</v>
      </c>
      <c r="AM44" s="6">
        <f>IF(AL44-R44-S44&lt;0,0,AL44-R44-S44)</f>
        <v>0</v>
      </c>
      <c r="AN44" s="5" t="str">
        <f t="shared" si="1"/>
        <v/>
      </c>
      <c r="AO44" s="5">
        <v>0</v>
      </c>
      <c r="AP44" s="9"/>
      <c r="AQ44" s="5" t="s">
        <v>1210</v>
      </c>
      <c r="AR44" s="5" t="s">
        <v>1210</v>
      </c>
      <c r="AS44" s="8"/>
      <c r="AT44" s="8"/>
      <c r="AU44" s="8"/>
      <c r="AV44" s="8"/>
      <c r="AW44" s="8"/>
      <c r="AX44" s="8"/>
      <c r="AY44" s="8"/>
      <c r="AZ44" s="8"/>
      <c r="BB44" s="28"/>
      <c r="BC44" s="28"/>
    </row>
    <row r="45" spans="1:55">
      <c r="A45" s="5" t="s">
        <v>549</v>
      </c>
      <c r="B45" s="5" t="s">
        <v>1153</v>
      </c>
      <c r="C45" s="19">
        <v>40</v>
      </c>
      <c r="E45" s="14"/>
      <c r="F45" s="11"/>
      <c r="G45" s="11"/>
      <c r="H45" s="11"/>
      <c r="I45" s="11"/>
      <c r="J45" s="25"/>
      <c r="K45" s="11"/>
      <c r="L45" s="11"/>
      <c r="M45" s="19">
        <v>0</v>
      </c>
      <c r="O45" s="6"/>
      <c r="P45" s="16">
        <v>0</v>
      </c>
      <c r="Q45" s="16">
        <v>0</v>
      </c>
      <c r="R45" s="22"/>
      <c r="S45" s="22">
        <f t="shared" si="0"/>
        <v>0</v>
      </c>
      <c r="T45" s="5" t="s">
        <v>1210</v>
      </c>
      <c r="U45" s="5" t="s">
        <v>1210</v>
      </c>
      <c r="Y45" s="8"/>
      <c r="Z45" s="8"/>
      <c r="AA45" s="8"/>
      <c r="AB45" s="8"/>
      <c r="AC45" s="8"/>
      <c r="AD45" s="8"/>
      <c r="AE45" s="25"/>
      <c r="AF45" s="11"/>
      <c r="AG45" s="25"/>
      <c r="AH45" s="11"/>
      <c r="AI45" s="11">
        <v>97</v>
      </c>
      <c r="AJ45" s="19">
        <v>0</v>
      </c>
      <c r="AK45" s="12">
        <f>(AJ45+AI45)/30*7</f>
        <v>22.633333333333333</v>
      </c>
      <c r="AL45" s="6">
        <f>IF(AK45-C45&lt;0,0,AK45-C45)</f>
        <v>0</v>
      </c>
      <c r="AM45" s="6">
        <f>IF(AL45-R45-S45&lt;0,0,AL45-R45-S45)</f>
        <v>0</v>
      </c>
      <c r="AN45" s="5" t="str">
        <f t="shared" si="1"/>
        <v/>
      </c>
      <c r="AO45" s="5">
        <v>0</v>
      </c>
      <c r="AP45" s="9"/>
      <c r="AQ45" s="5" t="s">
        <v>1210</v>
      </c>
      <c r="AR45" s="5" t="s">
        <v>1210</v>
      </c>
      <c r="AS45" s="8"/>
      <c r="AT45" s="8"/>
      <c r="AU45" s="8"/>
      <c r="AV45" s="8"/>
      <c r="AW45" s="8"/>
      <c r="AX45" s="8"/>
      <c r="AY45" s="8"/>
      <c r="AZ45" s="8"/>
      <c r="BB45" s="28"/>
      <c r="BC45" s="28"/>
    </row>
    <row r="46" spans="1:55">
      <c r="A46" s="5" t="s">
        <v>743</v>
      </c>
      <c r="B46" s="5">
        <v>104.163</v>
      </c>
      <c r="C46" s="19">
        <v>33</v>
      </c>
      <c r="E46" s="14"/>
      <c r="F46" s="11"/>
      <c r="G46" s="11"/>
      <c r="H46" s="11"/>
      <c r="I46" s="11"/>
      <c r="J46" s="25"/>
      <c r="K46" s="11"/>
      <c r="L46" s="11"/>
      <c r="M46" s="19">
        <v>0</v>
      </c>
      <c r="O46" s="6"/>
      <c r="P46" s="16">
        <v>0</v>
      </c>
      <c r="Q46" s="16">
        <v>0</v>
      </c>
      <c r="R46" s="22"/>
      <c r="S46" s="22">
        <f t="shared" si="0"/>
        <v>0</v>
      </c>
      <c r="T46" s="5" t="s">
        <v>1210</v>
      </c>
      <c r="U46" s="5" t="s">
        <v>1210</v>
      </c>
      <c r="Y46" s="8"/>
      <c r="Z46" s="8"/>
      <c r="AA46" s="8"/>
      <c r="AB46" s="8"/>
      <c r="AC46" s="8"/>
      <c r="AD46" s="8"/>
      <c r="AE46" s="25"/>
      <c r="AF46" s="11"/>
      <c r="AG46" s="25"/>
      <c r="AH46" s="11"/>
      <c r="AI46" s="11">
        <v>96</v>
      </c>
      <c r="AJ46" s="19">
        <v>0</v>
      </c>
      <c r="AK46" s="12">
        <f>(AJ46+AI46)/30*7</f>
        <v>22.400000000000002</v>
      </c>
      <c r="AL46" s="6">
        <f>IF(AK46-C46&lt;0,0,AK46-C46)</f>
        <v>0</v>
      </c>
      <c r="AM46" s="6">
        <f>IF(AL46-R46-S46&lt;0,0,AL46-R46-S46)</f>
        <v>0</v>
      </c>
      <c r="AN46" s="5" t="str">
        <f t="shared" si="1"/>
        <v/>
      </c>
      <c r="AO46" s="5">
        <v>0</v>
      </c>
      <c r="AP46" s="9"/>
      <c r="AQ46" s="5" t="s">
        <v>1210</v>
      </c>
      <c r="AR46" s="5" t="s">
        <v>1210</v>
      </c>
      <c r="AS46" s="8"/>
      <c r="AT46" s="8"/>
      <c r="AU46" s="8"/>
      <c r="AV46" s="8"/>
      <c r="AW46" s="8"/>
      <c r="AX46" s="8"/>
      <c r="AY46" s="8"/>
      <c r="AZ46" s="8"/>
      <c r="BB46" s="28"/>
      <c r="BC46" s="28"/>
    </row>
    <row r="47" spans="1:55">
      <c r="A47" s="5" t="s">
        <v>881</v>
      </c>
      <c r="B47" s="5">
        <v>745</v>
      </c>
      <c r="C47" s="19">
        <v>30</v>
      </c>
      <c r="E47" s="14"/>
      <c r="F47" s="11"/>
      <c r="G47" s="11"/>
      <c r="H47" s="11"/>
      <c r="I47" s="11"/>
      <c r="J47" s="25"/>
      <c r="K47" s="11"/>
      <c r="L47" s="11"/>
      <c r="M47" s="19">
        <v>0</v>
      </c>
      <c r="O47" s="6"/>
      <c r="P47" s="16">
        <v>0</v>
      </c>
      <c r="Q47" s="16">
        <v>0</v>
      </c>
      <c r="R47" s="22"/>
      <c r="S47" s="22">
        <f t="shared" si="0"/>
        <v>0</v>
      </c>
      <c r="T47" s="5">
        <v>648</v>
      </c>
      <c r="U47" s="5">
        <v>646</v>
      </c>
      <c r="Y47" s="8"/>
      <c r="Z47" s="8"/>
      <c r="AA47" s="8"/>
      <c r="AB47" s="8"/>
      <c r="AC47" s="8"/>
      <c r="AD47" s="8"/>
      <c r="AE47" s="25"/>
      <c r="AF47" s="11"/>
      <c r="AG47" s="25"/>
      <c r="AH47" s="11"/>
      <c r="AI47" s="11">
        <v>96</v>
      </c>
      <c r="AJ47" s="19">
        <v>0</v>
      </c>
      <c r="AK47" s="12">
        <f>(AJ47+AI47)/30*7</f>
        <v>22.400000000000002</v>
      </c>
      <c r="AL47" s="6">
        <f>IF(AK47-C47&lt;0,0,AK47-C47)</f>
        <v>0</v>
      </c>
      <c r="AM47" s="6">
        <f>IF(AL47-R47-S47&lt;0,0,AL47-R47-S47)</f>
        <v>0</v>
      </c>
      <c r="AN47" s="5" t="str">
        <f t="shared" si="1"/>
        <v/>
      </c>
      <c r="AO47" s="5">
        <v>0</v>
      </c>
      <c r="AP47" s="9"/>
      <c r="AQ47" s="5" t="s">
        <v>1210</v>
      </c>
      <c r="AR47" s="5" t="s">
        <v>1210</v>
      </c>
      <c r="AS47" s="8"/>
      <c r="AT47" s="8"/>
      <c r="AU47" s="8"/>
      <c r="AV47" s="8"/>
      <c r="AW47" s="8"/>
      <c r="AX47" s="8"/>
      <c r="AY47" s="8"/>
      <c r="AZ47" s="8"/>
      <c r="BB47" s="28"/>
      <c r="BC47" s="28"/>
    </row>
    <row r="48" spans="1:55">
      <c r="A48" s="5" t="s">
        <v>779</v>
      </c>
      <c r="B48" s="5">
        <v>821</v>
      </c>
      <c r="C48" s="19">
        <v>23</v>
      </c>
      <c r="E48" s="14"/>
      <c r="F48" s="11"/>
      <c r="G48" s="11"/>
      <c r="H48" s="11"/>
      <c r="I48" s="11"/>
      <c r="J48" s="25"/>
      <c r="K48" s="11"/>
      <c r="L48" s="11"/>
      <c r="M48" s="19">
        <v>0</v>
      </c>
      <c r="O48" s="6"/>
      <c r="P48" s="16">
        <v>0</v>
      </c>
      <c r="Q48" s="16">
        <v>0</v>
      </c>
      <c r="R48" s="22"/>
      <c r="S48" s="22">
        <f t="shared" si="0"/>
        <v>0</v>
      </c>
      <c r="T48" s="5">
        <v>859</v>
      </c>
      <c r="U48" s="5">
        <v>559</v>
      </c>
      <c r="Y48" s="8"/>
      <c r="Z48" s="8"/>
      <c r="AA48" s="8"/>
      <c r="AB48" s="8"/>
      <c r="AC48" s="8"/>
      <c r="AD48" s="8"/>
      <c r="AE48" s="25"/>
      <c r="AF48" s="11"/>
      <c r="AG48" s="25"/>
      <c r="AH48" s="11"/>
      <c r="AI48" s="11">
        <v>96</v>
      </c>
      <c r="AJ48" s="19">
        <v>0</v>
      </c>
      <c r="AK48" s="12">
        <f>(AJ48+AI48)/30*7</f>
        <v>22.400000000000002</v>
      </c>
      <c r="AL48" s="6">
        <f>IF(AK48-C48&lt;0,0,AK48-C48)</f>
        <v>0</v>
      </c>
      <c r="AM48" s="6">
        <f>IF(AL48-R48-S48&lt;0,0,AL48-R48-S48)</f>
        <v>0</v>
      </c>
      <c r="AN48" s="5" t="str">
        <f t="shared" si="1"/>
        <v/>
      </c>
      <c r="AO48" s="5">
        <v>0</v>
      </c>
      <c r="AP48" s="9"/>
      <c r="AQ48" s="5" t="s">
        <v>1210</v>
      </c>
      <c r="AR48" s="5" t="s">
        <v>1210</v>
      </c>
      <c r="AS48" s="8"/>
      <c r="AT48" s="8"/>
      <c r="AU48" s="8"/>
      <c r="AV48" s="8"/>
      <c r="AW48" s="8"/>
      <c r="AX48" s="8"/>
      <c r="AY48" s="8"/>
      <c r="AZ48" s="8"/>
      <c r="BB48" s="28"/>
      <c r="BC48" s="28"/>
    </row>
    <row r="49" spans="1:55">
      <c r="A49" s="5" t="s">
        <v>637</v>
      </c>
      <c r="B49" s="5">
        <v>764</v>
      </c>
      <c r="C49" s="19">
        <v>28</v>
      </c>
      <c r="E49" s="14"/>
      <c r="F49" s="11"/>
      <c r="G49" s="11"/>
      <c r="H49" s="11"/>
      <c r="I49" s="11"/>
      <c r="J49" s="25"/>
      <c r="K49" s="11"/>
      <c r="L49" s="11"/>
      <c r="M49" s="19">
        <v>0</v>
      </c>
      <c r="O49" s="6"/>
      <c r="P49" s="16">
        <v>0</v>
      </c>
      <c r="Q49" s="16">
        <v>0</v>
      </c>
      <c r="R49" s="22"/>
      <c r="S49" s="22">
        <f t="shared" si="0"/>
        <v>0</v>
      </c>
      <c r="T49" s="5">
        <v>1578</v>
      </c>
      <c r="U49" s="5">
        <v>915</v>
      </c>
      <c r="Y49" s="8"/>
      <c r="Z49" s="8"/>
      <c r="AA49" s="8"/>
      <c r="AB49" s="8"/>
      <c r="AC49" s="8"/>
      <c r="AD49" s="8"/>
      <c r="AE49" s="25"/>
      <c r="AF49" s="11"/>
      <c r="AG49" s="25"/>
      <c r="AH49" s="11"/>
      <c r="AI49" s="11">
        <v>95</v>
      </c>
      <c r="AJ49" s="19">
        <v>0</v>
      </c>
      <c r="AK49" s="12">
        <f>(AJ49+AI49)/30*7</f>
        <v>22.166666666666664</v>
      </c>
      <c r="AL49" s="6">
        <f>IF(AK49-C49&lt;0,0,AK49-C49)</f>
        <v>0</v>
      </c>
      <c r="AM49" s="6">
        <f>IF(AL49-R49-S49&lt;0,0,AL49-R49-S49)</f>
        <v>0</v>
      </c>
      <c r="AN49" s="5" t="str">
        <f t="shared" si="1"/>
        <v/>
      </c>
      <c r="AO49" s="5">
        <v>0</v>
      </c>
      <c r="AP49" s="9"/>
      <c r="AQ49" s="5" t="s">
        <v>1210</v>
      </c>
      <c r="AR49" s="5" t="s">
        <v>1210</v>
      </c>
      <c r="AS49" s="8"/>
      <c r="AT49" s="8"/>
      <c r="AU49" s="8"/>
      <c r="AV49" s="8"/>
      <c r="AW49" s="8"/>
      <c r="AX49" s="8"/>
      <c r="AY49" s="8"/>
      <c r="AZ49" s="8"/>
      <c r="BB49" s="28"/>
      <c r="BC49" s="28"/>
    </row>
    <row r="50" spans="1:55">
      <c r="A50" s="5" t="s">
        <v>909</v>
      </c>
      <c r="B50" s="5">
        <v>800</v>
      </c>
      <c r="C50" s="19">
        <v>24</v>
      </c>
      <c r="E50" s="14"/>
      <c r="F50" s="11"/>
      <c r="G50" s="11"/>
      <c r="H50" s="11"/>
      <c r="I50" s="11"/>
      <c r="J50" s="25"/>
      <c r="K50" s="11"/>
      <c r="L50" s="11"/>
      <c r="M50" s="19">
        <v>0</v>
      </c>
      <c r="O50" s="6"/>
      <c r="P50" s="16">
        <v>0</v>
      </c>
      <c r="Q50" s="16">
        <v>0</v>
      </c>
      <c r="R50" s="22"/>
      <c r="S50" s="22">
        <f t="shared" si="0"/>
        <v>0</v>
      </c>
      <c r="T50" s="5">
        <v>819</v>
      </c>
      <c r="U50" s="5">
        <v>499</v>
      </c>
      <c r="Y50" s="8"/>
      <c r="Z50" s="8"/>
      <c r="AA50" s="8"/>
      <c r="AB50" s="8"/>
      <c r="AC50" s="8"/>
      <c r="AD50" s="8"/>
      <c r="AE50" s="25"/>
      <c r="AF50" s="11"/>
      <c r="AG50" s="25"/>
      <c r="AH50" s="11"/>
      <c r="AI50" s="11">
        <v>95</v>
      </c>
      <c r="AJ50" s="19">
        <v>0</v>
      </c>
      <c r="AK50" s="12">
        <f>(AJ50+AI50)/30*7</f>
        <v>22.166666666666664</v>
      </c>
      <c r="AL50" s="6">
        <f>IF(AK50-C50&lt;0,0,AK50-C50)</f>
        <v>0</v>
      </c>
      <c r="AM50" s="6">
        <f>IF(AL50-R50-S50&lt;0,0,AL50-R50-S50)</f>
        <v>0</v>
      </c>
      <c r="AN50" s="5" t="str">
        <f t="shared" si="1"/>
        <v/>
      </c>
      <c r="AO50" s="5">
        <v>0</v>
      </c>
      <c r="AP50" s="9"/>
      <c r="AQ50" s="5" t="s">
        <v>1210</v>
      </c>
      <c r="AR50" s="5" t="s">
        <v>1210</v>
      </c>
      <c r="AS50" s="8"/>
      <c r="AT50" s="8"/>
      <c r="AU50" s="8"/>
      <c r="AV50" s="8"/>
      <c r="AW50" s="8"/>
      <c r="AX50" s="8"/>
      <c r="AY50" s="8"/>
      <c r="AZ50" s="8"/>
      <c r="BB50" s="28"/>
      <c r="BC50" s="28"/>
    </row>
    <row r="51" spans="1:55">
      <c r="A51" s="5" t="s">
        <v>1116</v>
      </c>
      <c r="B51" s="5">
        <v>1089</v>
      </c>
      <c r="C51" s="19">
        <v>25</v>
      </c>
      <c r="E51" s="14"/>
      <c r="F51" s="11"/>
      <c r="G51" s="11"/>
      <c r="H51" s="11"/>
      <c r="I51" s="11"/>
      <c r="J51" s="25"/>
      <c r="K51" s="11"/>
      <c r="L51" s="11"/>
      <c r="M51" s="19">
        <v>0</v>
      </c>
      <c r="O51" s="6"/>
      <c r="P51" s="16">
        <v>0</v>
      </c>
      <c r="Q51" s="16">
        <v>0</v>
      </c>
      <c r="R51" s="22"/>
      <c r="S51" s="22">
        <f t="shared" si="0"/>
        <v>0</v>
      </c>
      <c r="T51" s="5">
        <v>1521</v>
      </c>
      <c r="U51" s="5">
        <v>973</v>
      </c>
      <c r="Y51" s="8"/>
      <c r="Z51" s="8"/>
      <c r="AA51" s="8"/>
      <c r="AB51" s="8"/>
      <c r="AC51" s="8"/>
      <c r="AD51" s="8"/>
      <c r="AE51" s="25"/>
      <c r="AF51" s="11"/>
      <c r="AG51" s="25"/>
      <c r="AH51" s="11"/>
      <c r="AI51" s="11">
        <v>95</v>
      </c>
      <c r="AJ51" s="19">
        <v>0</v>
      </c>
      <c r="AK51" s="12">
        <f>(AJ51+AI51)/30*7</f>
        <v>22.166666666666664</v>
      </c>
      <c r="AL51" s="6">
        <f>IF(AK51-C51&lt;0,0,AK51-C51)</f>
        <v>0</v>
      </c>
      <c r="AM51" s="6">
        <f>IF(AL51-R51-S51&lt;0,0,AL51-R51-S51)</f>
        <v>0</v>
      </c>
      <c r="AN51" s="5" t="str">
        <f t="shared" si="1"/>
        <v/>
      </c>
      <c r="AO51" s="5">
        <v>0</v>
      </c>
      <c r="AP51" s="9"/>
      <c r="AQ51" s="5" t="s">
        <v>1210</v>
      </c>
      <c r="AR51" s="5" t="s">
        <v>1210</v>
      </c>
      <c r="AS51" s="8"/>
      <c r="AT51" s="8"/>
      <c r="AU51" s="8"/>
      <c r="AV51" s="8"/>
      <c r="AW51" s="8"/>
      <c r="AX51" s="8"/>
      <c r="AY51" s="8"/>
      <c r="AZ51" s="8"/>
      <c r="BB51" s="28"/>
      <c r="BC51" s="28"/>
    </row>
    <row r="52" spans="1:55">
      <c r="A52" s="5" t="s">
        <v>604</v>
      </c>
      <c r="B52" s="5" t="s">
        <v>1156</v>
      </c>
      <c r="C52" s="19">
        <v>28</v>
      </c>
      <c r="E52" s="14"/>
      <c r="F52" s="11"/>
      <c r="G52" s="11"/>
      <c r="H52" s="11"/>
      <c r="I52" s="11"/>
      <c r="J52" s="25"/>
      <c r="K52" s="11"/>
      <c r="L52" s="11"/>
      <c r="M52" s="19">
        <v>0</v>
      </c>
      <c r="O52" s="6"/>
      <c r="P52" s="16">
        <v>0</v>
      </c>
      <c r="Q52" s="16">
        <v>0</v>
      </c>
      <c r="R52" s="22"/>
      <c r="S52" s="22">
        <f t="shared" si="0"/>
        <v>0</v>
      </c>
      <c r="T52" s="5" t="s">
        <v>1210</v>
      </c>
      <c r="U52" s="5" t="s">
        <v>1210</v>
      </c>
      <c r="Y52" s="8"/>
      <c r="Z52" s="8"/>
      <c r="AA52" s="8"/>
      <c r="AB52" s="8"/>
      <c r="AC52" s="8"/>
      <c r="AD52" s="8"/>
      <c r="AE52" s="25"/>
      <c r="AF52" s="11"/>
      <c r="AG52" s="25"/>
      <c r="AH52" s="11"/>
      <c r="AI52" s="11">
        <v>95</v>
      </c>
      <c r="AJ52" s="19">
        <v>0</v>
      </c>
      <c r="AK52" s="12">
        <f>(AJ52+AI52)/30*7</f>
        <v>22.166666666666664</v>
      </c>
      <c r="AL52" s="6">
        <f>IF(AK52-C52&lt;0,0,AK52-C52)</f>
        <v>0</v>
      </c>
      <c r="AM52" s="6">
        <f>IF(AL52-R52-S52&lt;0,0,AL52-R52-S52)</f>
        <v>0</v>
      </c>
      <c r="AN52" s="5" t="str">
        <f t="shared" si="1"/>
        <v/>
      </c>
      <c r="AO52" s="5">
        <v>0</v>
      </c>
      <c r="AP52" s="9"/>
      <c r="AQ52" s="5" t="s">
        <v>1210</v>
      </c>
      <c r="AR52" s="5" t="s">
        <v>1210</v>
      </c>
      <c r="AS52" s="8"/>
      <c r="AT52" s="8"/>
      <c r="AU52" s="8"/>
      <c r="AV52" s="8"/>
      <c r="AW52" s="8"/>
      <c r="AX52" s="8"/>
      <c r="AY52" s="8"/>
      <c r="AZ52" s="8"/>
      <c r="BB52" s="28"/>
      <c r="BC52" s="28"/>
    </row>
    <row r="53" spans="1:55">
      <c r="A53" s="5" t="s">
        <v>1026</v>
      </c>
      <c r="B53" s="5">
        <v>394</v>
      </c>
      <c r="C53" s="19">
        <v>22</v>
      </c>
      <c r="E53" s="14"/>
      <c r="F53" s="11"/>
      <c r="G53" s="11"/>
      <c r="H53" s="11"/>
      <c r="I53" s="11"/>
      <c r="J53" s="25"/>
      <c r="K53" s="11"/>
      <c r="L53" s="11"/>
      <c r="M53" s="19">
        <v>0</v>
      </c>
      <c r="O53" s="6"/>
      <c r="P53" s="16">
        <v>0</v>
      </c>
      <c r="Q53" s="16">
        <v>0</v>
      </c>
      <c r="R53" s="22"/>
      <c r="S53" s="22">
        <f t="shared" si="0"/>
        <v>0</v>
      </c>
      <c r="T53" s="5" t="s">
        <v>1210</v>
      </c>
      <c r="U53" s="5" t="s">
        <v>1210</v>
      </c>
      <c r="Y53" s="8"/>
      <c r="Z53" s="8"/>
      <c r="AA53" s="8"/>
      <c r="AB53" s="8"/>
      <c r="AC53" s="8"/>
      <c r="AD53" s="8"/>
      <c r="AE53" s="25"/>
      <c r="AF53" s="11"/>
      <c r="AG53" s="25"/>
      <c r="AH53" s="11"/>
      <c r="AI53" s="11">
        <v>94</v>
      </c>
      <c r="AJ53" s="19">
        <v>0</v>
      </c>
      <c r="AK53" s="12">
        <f>(AJ53+AI53)/30*7</f>
        <v>21.933333333333334</v>
      </c>
      <c r="AL53" s="6">
        <f>IF(AK53-C53&lt;0,0,AK53-C53)</f>
        <v>0</v>
      </c>
      <c r="AM53" s="6">
        <f>IF(AL53-R53-S53&lt;0,0,AL53-R53-S53)</f>
        <v>0</v>
      </c>
      <c r="AN53" s="5" t="str">
        <f t="shared" si="1"/>
        <v/>
      </c>
      <c r="AO53" s="5">
        <v>0</v>
      </c>
      <c r="AP53" s="9"/>
      <c r="AQ53" s="5" t="s">
        <v>1210</v>
      </c>
      <c r="AR53" s="5" t="s">
        <v>1210</v>
      </c>
      <c r="AS53" s="8"/>
      <c r="AT53" s="8"/>
      <c r="AU53" s="8"/>
      <c r="AV53" s="8"/>
      <c r="AW53" s="8"/>
      <c r="AX53" s="8"/>
      <c r="AY53" s="8"/>
      <c r="AZ53" s="8"/>
      <c r="BB53" s="28"/>
      <c r="BC53" s="28"/>
    </row>
    <row r="54" spans="1:55">
      <c r="A54" s="5" t="s">
        <v>1021</v>
      </c>
      <c r="B54" s="5">
        <v>535</v>
      </c>
      <c r="C54" s="19">
        <v>36</v>
      </c>
      <c r="E54" s="14"/>
      <c r="F54" s="11"/>
      <c r="G54" s="11"/>
      <c r="H54" s="11"/>
      <c r="I54" s="11"/>
      <c r="J54" s="25"/>
      <c r="K54" s="11"/>
      <c r="L54" s="11"/>
      <c r="M54" s="19">
        <v>0</v>
      </c>
      <c r="O54" s="6"/>
      <c r="P54" s="16">
        <v>0</v>
      </c>
      <c r="Q54" s="16">
        <v>0</v>
      </c>
      <c r="R54" s="22"/>
      <c r="S54" s="22">
        <f t="shared" si="0"/>
        <v>0</v>
      </c>
      <c r="T54" s="5">
        <v>602</v>
      </c>
      <c r="U54" s="5">
        <v>676</v>
      </c>
      <c r="Y54" s="8"/>
      <c r="Z54" s="8"/>
      <c r="AA54" s="8"/>
      <c r="AB54" s="8"/>
      <c r="AC54" s="8"/>
      <c r="AD54" s="8"/>
      <c r="AE54" s="25"/>
      <c r="AF54" s="11"/>
      <c r="AG54" s="25"/>
      <c r="AH54" s="11"/>
      <c r="AI54" s="11">
        <v>94</v>
      </c>
      <c r="AJ54" s="19">
        <v>0</v>
      </c>
      <c r="AK54" s="12">
        <f>(AJ54+AI54)/30*7</f>
        <v>21.933333333333334</v>
      </c>
      <c r="AL54" s="6">
        <f>IF(AK54-C54&lt;0,0,AK54-C54)</f>
        <v>0</v>
      </c>
      <c r="AM54" s="6">
        <f>IF(AL54-R54-S54&lt;0,0,AL54-R54-S54)</f>
        <v>0</v>
      </c>
      <c r="AN54" s="5" t="str">
        <f t="shared" si="1"/>
        <v/>
      </c>
      <c r="AO54" s="5">
        <v>0</v>
      </c>
      <c r="AP54" s="9"/>
      <c r="AQ54" s="5" t="s">
        <v>1210</v>
      </c>
      <c r="AR54" s="5" t="s">
        <v>1210</v>
      </c>
      <c r="AS54" s="8"/>
      <c r="AT54" s="8"/>
      <c r="AU54" s="8"/>
      <c r="AV54" s="8"/>
      <c r="AW54" s="8"/>
      <c r="AX54" s="8"/>
      <c r="AY54" s="8"/>
      <c r="AZ54" s="8"/>
      <c r="BB54" s="28"/>
      <c r="BC54" s="28"/>
    </row>
    <row r="55" spans="1:55">
      <c r="A55" s="5" t="s">
        <v>802</v>
      </c>
      <c r="B55" s="5">
        <v>740</v>
      </c>
      <c r="C55" s="19">
        <v>24</v>
      </c>
      <c r="E55" s="14"/>
      <c r="F55" s="11"/>
      <c r="G55" s="11"/>
      <c r="H55" s="11"/>
      <c r="I55" s="11"/>
      <c r="J55" s="25"/>
      <c r="K55" s="11"/>
      <c r="L55" s="11"/>
      <c r="M55" s="19">
        <v>0</v>
      </c>
      <c r="O55" s="6"/>
      <c r="P55" s="16">
        <v>0</v>
      </c>
      <c r="Q55" s="16">
        <v>0</v>
      </c>
      <c r="R55" s="22"/>
      <c r="S55" s="22">
        <f t="shared" si="0"/>
        <v>0</v>
      </c>
      <c r="T55" s="5">
        <v>853</v>
      </c>
      <c r="U55" s="5">
        <v>916</v>
      </c>
      <c r="Y55" s="8"/>
      <c r="Z55" s="8"/>
      <c r="AA55" s="8"/>
      <c r="AB55" s="8"/>
      <c r="AC55" s="8"/>
      <c r="AD55" s="8"/>
      <c r="AE55" s="25"/>
      <c r="AF55" s="11"/>
      <c r="AG55" s="25"/>
      <c r="AH55" s="11"/>
      <c r="AI55" s="11">
        <v>94</v>
      </c>
      <c r="AJ55" s="19">
        <v>0</v>
      </c>
      <c r="AK55" s="12">
        <f>(AJ55+AI55)/30*7</f>
        <v>21.933333333333334</v>
      </c>
      <c r="AL55" s="6">
        <f>IF(AK55-C55&lt;0,0,AK55-C55)</f>
        <v>0</v>
      </c>
      <c r="AM55" s="6">
        <f>IF(AL55-R55-S55&lt;0,0,AL55-R55-S55)</f>
        <v>0</v>
      </c>
      <c r="AN55" s="5" t="str">
        <f t="shared" si="1"/>
        <v/>
      </c>
      <c r="AO55" s="5">
        <v>0</v>
      </c>
      <c r="AP55" s="9"/>
      <c r="AQ55" s="5" t="s">
        <v>1210</v>
      </c>
      <c r="AR55" s="5" t="s">
        <v>1210</v>
      </c>
      <c r="AS55" s="8"/>
      <c r="AT55" s="8"/>
      <c r="AU55" s="8"/>
      <c r="AV55" s="8"/>
      <c r="AW55" s="8"/>
      <c r="AX55" s="8"/>
      <c r="AY55" s="8"/>
      <c r="AZ55" s="8"/>
      <c r="BB55" s="28"/>
      <c r="BC55" s="28"/>
    </row>
    <row r="56" spans="1:55">
      <c r="A56" s="5" t="s">
        <v>875</v>
      </c>
      <c r="B56" s="5">
        <v>902</v>
      </c>
      <c r="C56" s="19">
        <v>38</v>
      </c>
      <c r="E56" s="14"/>
      <c r="F56" s="11"/>
      <c r="G56" s="11"/>
      <c r="H56" s="11"/>
      <c r="I56" s="11"/>
      <c r="J56" s="25"/>
      <c r="K56" s="11"/>
      <c r="L56" s="11"/>
      <c r="M56" s="19">
        <v>0</v>
      </c>
      <c r="O56" s="6"/>
      <c r="P56" s="16">
        <v>0</v>
      </c>
      <c r="Q56" s="16">
        <v>0</v>
      </c>
      <c r="R56" s="22"/>
      <c r="S56" s="22">
        <f t="shared" si="0"/>
        <v>0</v>
      </c>
      <c r="T56" s="5">
        <v>1035</v>
      </c>
      <c r="U56" s="5">
        <v>621</v>
      </c>
      <c r="Y56" s="8"/>
      <c r="Z56" s="8"/>
      <c r="AA56" s="8"/>
      <c r="AB56" s="8"/>
      <c r="AC56" s="8"/>
      <c r="AD56" s="8"/>
      <c r="AE56" s="25"/>
      <c r="AF56" s="11"/>
      <c r="AG56" s="25"/>
      <c r="AH56" s="11"/>
      <c r="AI56" s="11">
        <v>94</v>
      </c>
      <c r="AJ56" s="19">
        <v>0</v>
      </c>
      <c r="AK56" s="12">
        <f>(AJ56+AI56)/30*7</f>
        <v>21.933333333333334</v>
      </c>
      <c r="AL56" s="6">
        <f>IF(AK56-C56&lt;0,0,AK56-C56)</f>
        <v>0</v>
      </c>
      <c r="AM56" s="6">
        <f>IF(AL56-R56-S56&lt;0,0,AL56-R56-S56)</f>
        <v>0</v>
      </c>
      <c r="AN56" s="5" t="str">
        <f t="shared" si="1"/>
        <v/>
      </c>
      <c r="AO56" s="5">
        <v>0</v>
      </c>
      <c r="AP56" s="9"/>
      <c r="AQ56" s="5" t="s">
        <v>1210</v>
      </c>
      <c r="AR56" s="5" t="s">
        <v>1210</v>
      </c>
      <c r="AS56" s="8"/>
      <c r="AT56" s="8"/>
      <c r="AU56" s="8"/>
      <c r="AV56" s="8"/>
      <c r="AW56" s="8"/>
      <c r="AX56" s="8"/>
      <c r="AY56" s="8"/>
      <c r="AZ56" s="8"/>
      <c r="BB56" s="28"/>
      <c r="BC56" s="28"/>
    </row>
    <row r="57" spans="1:55">
      <c r="A57" s="5" t="s">
        <v>903</v>
      </c>
      <c r="B57" s="5" t="s">
        <v>1184</v>
      </c>
      <c r="C57" s="19">
        <v>27</v>
      </c>
      <c r="E57" s="14"/>
      <c r="F57" s="11"/>
      <c r="G57" s="11"/>
      <c r="H57" s="11"/>
      <c r="I57" s="11"/>
      <c r="J57" s="25"/>
      <c r="K57" s="11"/>
      <c r="L57" s="11"/>
      <c r="M57" s="19">
        <v>0</v>
      </c>
      <c r="O57" s="6"/>
      <c r="P57" s="16">
        <v>0</v>
      </c>
      <c r="Q57" s="16">
        <v>0</v>
      </c>
      <c r="R57" s="22"/>
      <c r="S57" s="22">
        <f t="shared" si="0"/>
        <v>0</v>
      </c>
      <c r="T57" s="5" t="s">
        <v>1210</v>
      </c>
      <c r="U57" s="5" t="s">
        <v>1210</v>
      </c>
      <c r="Y57" s="8"/>
      <c r="Z57" s="8"/>
      <c r="AA57" s="8"/>
      <c r="AB57" s="8"/>
      <c r="AC57" s="8"/>
      <c r="AD57" s="8"/>
      <c r="AE57" s="25"/>
      <c r="AF57" s="11"/>
      <c r="AG57" s="25"/>
      <c r="AH57" s="11"/>
      <c r="AI57" s="11">
        <v>94</v>
      </c>
      <c r="AJ57" s="19">
        <v>0</v>
      </c>
      <c r="AK57" s="12">
        <f>(AJ57+AI57)/30*7</f>
        <v>21.933333333333334</v>
      </c>
      <c r="AL57" s="6">
        <f>IF(AK57-C57&lt;0,0,AK57-C57)</f>
        <v>0</v>
      </c>
      <c r="AM57" s="6">
        <f>IF(AL57-R57-S57&lt;0,0,AL57-R57-S57)</f>
        <v>0</v>
      </c>
      <c r="AN57" s="5" t="str">
        <f t="shared" si="1"/>
        <v/>
      </c>
      <c r="AO57" s="5">
        <v>0</v>
      </c>
      <c r="AP57" s="9"/>
      <c r="AQ57" s="5" t="s">
        <v>1210</v>
      </c>
      <c r="AR57" s="5" t="s">
        <v>1210</v>
      </c>
      <c r="AS57" s="8"/>
      <c r="AT57" s="8"/>
      <c r="AU57" s="8"/>
      <c r="AV57" s="8"/>
      <c r="AW57" s="8"/>
      <c r="AX57" s="8"/>
      <c r="AY57" s="8"/>
      <c r="AZ57" s="8"/>
      <c r="BB57" s="28"/>
      <c r="BC57" s="28"/>
    </row>
    <row r="58" spans="1:55">
      <c r="A58" s="5" t="s">
        <v>1087</v>
      </c>
      <c r="B58" s="5">
        <v>973</v>
      </c>
      <c r="C58" s="19">
        <v>34</v>
      </c>
      <c r="E58" s="14"/>
      <c r="F58" s="11"/>
      <c r="G58" s="11"/>
      <c r="H58" s="11"/>
      <c r="I58" s="11"/>
      <c r="J58" s="25"/>
      <c r="K58" s="11"/>
      <c r="L58" s="11"/>
      <c r="M58" s="19">
        <v>0</v>
      </c>
      <c r="O58" s="6"/>
      <c r="P58" s="16">
        <v>0</v>
      </c>
      <c r="Q58" s="16">
        <v>0</v>
      </c>
      <c r="R58" s="22"/>
      <c r="S58" s="22">
        <f t="shared" si="0"/>
        <v>0</v>
      </c>
      <c r="T58" s="5">
        <v>1095</v>
      </c>
      <c r="U58" s="5">
        <v>360</v>
      </c>
      <c r="Y58" s="8"/>
      <c r="Z58" s="8"/>
      <c r="AA58" s="8"/>
      <c r="AB58" s="8"/>
      <c r="AC58" s="8"/>
      <c r="AD58" s="8"/>
      <c r="AE58" s="25"/>
      <c r="AF58" s="11"/>
      <c r="AG58" s="25"/>
      <c r="AH58" s="11"/>
      <c r="AI58" s="11">
        <v>93</v>
      </c>
      <c r="AJ58" s="19">
        <v>0</v>
      </c>
      <c r="AK58" s="12">
        <f>(AJ58+AI58)/30*7</f>
        <v>21.7</v>
      </c>
      <c r="AL58" s="6">
        <f>IF(AK58-C58&lt;0,0,AK58-C58)</f>
        <v>0</v>
      </c>
      <c r="AM58" s="6">
        <f>IF(AL58-R58-S58&lt;0,0,AL58-R58-S58)</f>
        <v>0</v>
      </c>
      <c r="AN58" s="5" t="str">
        <f t="shared" si="1"/>
        <v/>
      </c>
      <c r="AO58" s="5">
        <v>0</v>
      </c>
      <c r="AP58" s="9"/>
      <c r="AQ58" s="5" t="s">
        <v>1210</v>
      </c>
      <c r="AR58" s="5" t="s">
        <v>1210</v>
      </c>
      <c r="AS58" s="8"/>
      <c r="AT58" s="8"/>
      <c r="AU58" s="8"/>
      <c r="AV58" s="8"/>
      <c r="AW58" s="8"/>
      <c r="AX58" s="8"/>
      <c r="AY58" s="8"/>
      <c r="AZ58" s="8"/>
      <c r="BB58" s="28"/>
      <c r="BC58" s="28"/>
    </row>
    <row r="59" spans="1:55">
      <c r="A59" s="5" t="s">
        <v>708</v>
      </c>
      <c r="B59" s="5">
        <v>289</v>
      </c>
      <c r="C59" s="19">
        <v>26</v>
      </c>
      <c r="E59" s="14"/>
      <c r="F59" s="11"/>
      <c r="G59" s="11"/>
      <c r="H59" s="11"/>
      <c r="I59" s="11"/>
      <c r="J59" s="25"/>
      <c r="K59" s="11"/>
      <c r="L59" s="11"/>
      <c r="M59" s="19">
        <v>0</v>
      </c>
      <c r="O59" s="6"/>
      <c r="P59" s="16">
        <v>0</v>
      </c>
      <c r="Q59" s="16">
        <v>0</v>
      </c>
      <c r="R59" s="22"/>
      <c r="S59" s="22">
        <f t="shared" si="0"/>
        <v>0</v>
      </c>
      <c r="T59" s="5" t="s">
        <v>1210</v>
      </c>
      <c r="U59" s="5" t="s">
        <v>1210</v>
      </c>
      <c r="Y59" s="8"/>
      <c r="Z59" s="8"/>
      <c r="AA59" s="8"/>
      <c r="AB59" s="8"/>
      <c r="AC59" s="8"/>
      <c r="AD59" s="8"/>
      <c r="AE59" s="25"/>
      <c r="AF59" s="11"/>
      <c r="AG59" s="25"/>
      <c r="AH59" s="11"/>
      <c r="AI59" s="11">
        <v>92</v>
      </c>
      <c r="AJ59" s="19">
        <v>0</v>
      </c>
      <c r="AK59" s="12">
        <f>(AJ59+AI59)/30*7</f>
        <v>21.466666666666669</v>
      </c>
      <c r="AL59" s="6">
        <f>IF(AK59-C59&lt;0,0,AK59-C59)</f>
        <v>0</v>
      </c>
      <c r="AM59" s="6">
        <f>IF(AL59-R59-S59&lt;0,0,AL59-R59-S59)</f>
        <v>0</v>
      </c>
      <c r="AN59" s="5" t="str">
        <f t="shared" si="1"/>
        <v/>
      </c>
      <c r="AO59" s="5">
        <v>0</v>
      </c>
      <c r="AP59" s="9"/>
      <c r="AQ59" s="5" t="s">
        <v>1210</v>
      </c>
      <c r="AR59" s="5" t="s">
        <v>1210</v>
      </c>
      <c r="AS59" s="8"/>
      <c r="AT59" s="8"/>
      <c r="AU59" s="8"/>
      <c r="AV59" s="8"/>
      <c r="AW59" s="8"/>
      <c r="AX59" s="8"/>
      <c r="AY59" s="8"/>
      <c r="AZ59" s="8"/>
      <c r="BB59" s="28"/>
      <c r="BC59" s="28"/>
    </row>
    <row r="60" spans="1:55">
      <c r="A60" s="5" t="s">
        <v>929</v>
      </c>
      <c r="B60" s="5">
        <v>512</v>
      </c>
      <c r="C60" s="19">
        <v>25</v>
      </c>
      <c r="E60" s="14"/>
      <c r="F60" s="11"/>
      <c r="G60" s="11"/>
      <c r="H60" s="11"/>
      <c r="I60" s="11"/>
      <c r="J60" s="25"/>
      <c r="K60" s="11"/>
      <c r="L60" s="11"/>
      <c r="M60" s="19">
        <v>0</v>
      </c>
      <c r="O60" s="6"/>
      <c r="P60" s="16">
        <v>0</v>
      </c>
      <c r="Q60" s="16">
        <v>0</v>
      </c>
      <c r="R60" s="22"/>
      <c r="S60" s="22">
        <f t="shared" si="0"/>
        <v>0</v>
      </c>
      <c r="T60" s="5">
        <v>782</v>
      </c>
      <c r="U60" s="5">
        <v>916</v>
      </c>
      <c r="Y60" s="8"/>
      <c r="Z60" s="8"/>
      <c r="AA60" s="8"/>
      <c r="AB60" s="8"/>
      <c r="AC60" s="8"/>
      <c r="AD60" s="8"/>
      <c r="AE60" s="25"/>
      <c r="AF60" s="11"/>
      <c r="AG60" s="25"/>
      <c r="AH60" s="11"/>
      <c r="AI60" s="11">
        <v>92</v>
      </c>
      <c r="AJ60" s="19">
        <v>0</v>
      </c>
      <c r="AK60" s="12">
        <f>(AJ60+AI60)/30*7</f>
        <v>21.466666666666669</v>
      </c>
      <c r="AL60" s="6">
        <f>IF(AK60-C60&lt;0,0,AK60-C60)</f>
        <v>0</v>
      </c>
      <c r="AM60" s="6">
        <f>IF(AL60-R60-S60&lt;0,0,AL60-R60-S60)</f>
        <v>0</v>
      </c>
      <c r="AN60" s="5" t="str">
        <f t="shared" si="1"/>
        <v/>
      </c>
      <c r="AO60" s="5">
        <v>0</v>
      </c>
      <c r="AP60" s="9"/>
      <c r="AQ60" s="5" t="s">
        <v>1210</v>
      </c>
      <c r="AR60" s="5" t="s">
        <v>1210</v>
      </c>
      <c r="AS60" s="8"/>
      <c r="AT60" s="8"/>
      <c r="AU60" s="8"/>
      <c r="AV60" s="8"/>
      <c r="AW60" s="8"/>
      <c r="AX60" s="8"/>
      <c r="AY60" s="8"/>
      <c r="AZ60" s="8"/>
      <c r="BB60" s="28"/>
      <c r="BC60" s="28"/>
    </row>
    <row r="61" spans="1:55">
      <c r="A61" s="5" t="s">
        <v>951</v>
      </c>
      <c r="B61" s="5">
        <v>658</v>
      </c>
      <c r="C61" s="19">
        <v>37</v>
      </c>
      <c r="E61" s="14"/>
      <c r="F61" s="11"/>
      <c r="G61" s="11"/>
      <c r="H61" s="11"/>
      <c r="I61" s="11"/>
      <c r="J61" s="25"/>
      <c r="K61" s="11"/>
      <c r="L61" s="11"/>
      <c r="M61" s="19">
        <v>0</v>
      </c>
      <c r="O61" s="6"/>
      <c r="P61" s="16">
        <v>577</v>
      </c>
      <c r="Q61" s="16">
        <v>0</v>
      </c>
      <c r="R61" s="22"/>
      <c r="S61" s="22">
        <f t="shared" si="0"/>
        <v>0</v>
      </c>
      <c r="T61" s="5">
        <v>782</v>
      </c>
      <c r="U61" s="5">
        <v>916</v>
      </c>
      <c r="Y61" s="8"/>
      <c r="Z61" s="8"/>
      <c r="AA61" s="8"/>
      <c r="AB61" s="8"/>
      <c r="AC61" s="8"/>
      <c r="AD61" s="8"/>
      <c r="AE61" s="25"/>
      <c r="AF61" s="11"/>
      <c r="AG61" s="25"/>
      <c r="AH61" s="11"/>
      <c r="AI61" s="11">
        <v>92</v>
      </c>
      <c r="AJ61" s="19">
        <v>0</v>
      </c>
      <c r="AK61" s="12">
        <f>(AJ61+AI61)/30*7</f>
        <v>21.466666666666669</v>
      </c>
      <c r="AL61" s="6">
        <f>IF(AK61-C61&lt;0,0,AK61-C61)</f>
        <v>0</v>
      </c>
      <c r="AM61" s="6">
        <f>IF(AL61-R61-S61&lt;0,0,AL61-R61-S61)</f>
        <v>0</v>
      </c>
      <c r="AN61" s="5" t="str">
        <f t="shared" si="1"/>
        <v/>
      </c>
      <c r="AO61" s="5">
        <v>0</v>
      </c>
      <c r="AP61" s="9"/>
      <c r="AQ61" s="5" t="s">
        <v>1210</v>
      </c>
      <c r="AR61" s="5" t="s">
        <v>1230</v>
      </c>
      <c r="AS61" s="8"/>
      <c r="AT61" s="8"/>
      <c r="AU61" s="8"/>
      <c r="AV61" s="8"/>
      <c r="AW61" s="8"/>
      <c r="AX61" s="8"/>
      <c r="AY61" s="8"/>
      <c r="AZ61" s="8"/>
      <c r="BB61" s="28"/>
      <c r="BC61" s="28"/>
    </row>
    <row r="62" spans="1:55">
      <c r="A62" s="5" t="s">
        <v>886</v>
      </c>
      <c r="B62" s="5">
        <v>1433</v>
      </c>
      <c r="C62" s="19">
        <v>36</v>
      </c>
      <c r="E62" s="14"/>
      <c r="F62" s="11"/>
      <c r="G62" s="11"/>
      <c r="H62" s="11"/>
      <c r="I62" s="11"/>
      <c r="J62" s="25"/>
      <c r="K62" s="11"/>
      <c r="L62" s="11"/>
      <c r="M62" s="19">
        <v>0</v>
      </c>
      <c r="O62" s="6"/>
      <c r="P62" s="16">
        <v>0</v>
      </c>
      <c r="Q62" s="16">
        <v>0</v>
      </c>
      <c r="R62" s="22"/>
      <c r="S62" s="22">
        <f t="shared" si="0"/>
        <v>0</v>
      </c>
      <c r="T62" s="5" t="s">
        <v>1210</v>
      </c>
      <c r="U62" s="5" t="s">
        <v>1210</v>
      </c>
      <c r="Y62" s="8"/>
      <c r="Z62" s="8"/>
      <c r="AA62" s="8"/>
      <c r="AB62" s="8"/>
      <c r="AC62" s="8"/>
      <c r="AD62" s="8"/>
      <c r="AE62" s="25"/>
      <c r="AF62" s="11"/>
      <c r="AG62" s="25"/>
      <c r="AH62" s="11"/>
      <c r="AI62" s="11">
        <v>92</v>
      </c>
      <c r="AJ62" s="19">
        <v>0</v>
      </c>
      <c r="AK62" s="12">
        <f>(AJ62+AI62)/30*7</f>
        <v>21.466666666666669</v>
      </c>
      <c r="AL62" s="6">
        <f>IF(AK62-C62&lt;0,0,AK62-C62)</f>
        <v>0</v>
      </c>
      <c r="AM62" s="6">
        <f>IF(AL62-R62-S62&lt;0,0,AL62-R62-S62)</f>
        <v>0</v>
      </c>
      <c r="AN62" s="5" t="str">
        <f t="shared" si="1"/>
        <v/>
      </c>
      <c r="AO62" s="5">
        <v>0</v>
      </c>
      <c r="AP62" s="9"/>
      <c r="AQ62" s="5" t="s">
        <v>1210</v>
      </c>
      <c r="AR62" s="5" t="s">
        <v>1210</v>
      </c>
      <c r="AS62" s="8"/>
      <c r="AT62" s="8"/>
      <c r="AU62" s="8"/>
      <c r="AV62" s="8"/>
      <c r="AW62" s="8"/>
      <c r="AX62" s="8"/>
      <c r="AY62" s="8"/>
      <c r="AZ62" s="8"/>
      <c r="BB62" s="28"/>
      <c r="BC62" s="28"/>
    </row>
    <row r="63" spans="1:55">
      <c r="A63" s="5" t="s">
        <v>1042</v>
      </c>
      <c r="B63" s="5">
        <v>769</v>
      </c>
      <c r="C63" s="19">
        <v>30</v>
      </c>
      <c r="E63" s="14"/>
      <c r="F63" s="11"/>
      <c r="G63" s="11"/>
      <c r="H63" s="11"/>
      <c r="I63" s="11"/>
      <c r="J63" s="25"/>
      <c r="K63" s="11"/>
      <c r="L63" s="11"/>
      <c r="M63" s="19">
        <v>0</v>
      </c>
      <c r="O63" s="6"/>
      <c r="P63" s="16">
        <v>0</v>
      </c>
      <c r="Q63" s="16">
        <v>0</v>
      </c>
      <c r="R63" s="22"/>
      <c r="S63" s="22">
        <f t="shared" si="0"/>
        <v>0</v>
      </c>
      <c r="T63" s="5" t="s">
        <v>1210</v>
      </c>
      <c r="U63" s="5" t="s">
        <v>1210</v>
      </c>
      <c r="Y63" s="8"/>
      <c r="Z63" s="8"/>
      <c r="AA63" s="8"/>
      <c r="AB63" s="8"/>
      <c r="AC63" s="8"/>
      <c r="AD63" s="8"/>
      <c r="AE63" s="25"/>
      <c r="AF63" s="11"/>
      <c r="AG63" s="25"/>
      <c r="AH63" s="11"/>
      <c r="AI63" s="11">
        <v>91</v>
      </c>
      <c r="AJ63" s="19">
        <v>0</v>
      </c>
      <c r="AK63" s="12">
        <f>(AJ63+AI63)/30*7</f>
        <v>21.233333333333334</v>
      </c>
      <c r="AL63" s="6">
        <f>IF(AK63-C63&lt;0,0,AK63-C63)</f>
        <v>0</v>
      </c>
      <c r="AM63" s="6">
        <f>IF(AL63-R63-S63&lt;0,0,AL63-R63-S63)</f>
        <v>0</v>
      </c>
      <c r="AN63" s="5" t="str">
        <f t="shared" si="1"/>
        <v/>
      </c>
      <c r="AO63" s="5">
        <v>0</v>
      </c>
      <c r="AP63" s="9"/>
      <c r="AQ63" s="5" t="s">
        <v>1210</v>
      </c>
      <c r="AR63" s="5" t="s">
        <v>1210</v>
      </c>
      <c r="AS63" s="8"/>
      <c r="AT63" s="8"/>
      <c r="AU63" s="8"/>
      <c r="AV63" s="8"/>
      <c r="AW63" s="8"/>
      <c r="AX63" s="8"/>
      <c r="AY63" s="8"/>
      <c r="AZ63" s="8"/>
      <c r="BB63" s="28"/>
      <c r="BC63" s="28"/>
    </row>
    <row r="64" spans="1:55">
      <c r="A64" s="5" t="s">
        <v>827</v>
      </c>
      <c r="B64" s="5">
        <v>1593</v>
      </c>
      <c r="C64" s="19">
        <v>25</v>
      </c>
      <c r="E64" s="14"/>
      <c r="F64" s="11"/>
      <c r="G64" s="11"/>
      <c r="H64" s="11"/>
      <c r="I64" s="11"/>
      <c r="J64" s="25"/>
      <c r="K64" s="11"/>
      <c r="L64" s="11"/>
      <c r="M64" s="19">
        <v>0</v>
      </c>
      <c r="O64" s="6"/>
      <c r="P64" s="16">
        <v>0</v>
      </c>
      <c r="Q64" s="16">
        <v>0</v>
      </c>
      <c r="R64" s="22"/>
      <c r="S64" s="22">
        <f t="shared" si="0"/>
        <v>0</v>
      </c>
      <c r="T64" s="5">
        <v>1971</v>
      </c>
      <c r="U64" s="5">
        <v>593</v>
      </c>
      <c r="Y64" s="8"/>
      <c r="Z64" s="8"/>
      <c r="AA64" s="8"/>
      <c r="AB64" s="8"/>
      <c r="AC64" s="8"/>
      <c r="AD64" s="8"/>
      <c r="AE64" s="25"/>
      <c r="AF64" s="11"/>
      <c r="AG64" s="25"/>
      <c r="AH64" s="11"/>
      <c r="AI64" s="11">
        <v>91</v>
      </c>
      <c r="AJ64" s="19">
        <v>0</v>
      </c>
      <c r="AK64" s="12">
        <f>(AJ64+AI64)/30*7</f>
        <v>21.233333333333334</v>
      </c>
      <c r="AL64" s="6">
        <f>IF(AK64-C64&lt;0,0,AK64-C64)</f>
        <v>0</v>
      </c>
      <c r="AM64" s="6">
        <f>IF(AL64-R64-S64&lt;0,0,AL64-R64-S64)</f>
        <v>0</v>
      </c>
      <c r="AN64" s="5" t="str">
        <f t="shared" si="1"/>
        <v/>
      </c>
      <c r="AO64" s="5">
        <v>0</v>
      </c>
      <c r="AP64" s="9"/>
      <c r="AQ64" s="5" t="s">
        <v>1210</v>
      </c>
      <c r="AR64" s="5" t="s">
        <v>1210</v>
      </c>
      <c r="AS64" s="8"/>
      <c r="AT64" s="8"/>
      <c r="AU64" s="8"/>
      <c r="AV64" s="8"/>
      <c r="AW64" s="8"/>
      <c r="AX64" s="8"/>
      <c r="AY64" s="8"/>
      <c r="AZ64" s="8"/>
      <c r="BB64" s="28"/>
      <c r="BC64" s="28"/>
    </row>
    <row r="65" spans="1:55">
      <c r="A65" s="5" t="s">
        <v>865</v>
      </c>
      <c r="B65" s="5">
        <v>1631</v>
      </c>
      <c r="C65" s="19">
        <v>36</v>
      </c>
      <c r="E65" s="14"/>
      <c r="F65" s="11"/>
      <c r="G65" s="11"/>
      <c r="H65" s="11"/>
      <c r="I65" s="11"/>
      <c r="J65" s="25"/>
      <c r="K65" s="11"/>
      <c r="L65" s="11"/>
      <c r="M65" s="19">
        <v>0</v>
      </c>
      <c r="O65" s="6"/>
      <c r="P65" s="16">
        <v>789</v>
      </c>
      <c r="Q65" s="16">
        <v>0</v>
      </c>
      <c r="R65" s="22"/>
      <c r="S65" s="22">
        <f t="shared" si="0"/>
        <v>0</v>
      </c>
      <c r="T65" s="5">
        <v>1333</v>
      </c>
      <c r="U65" s="5">
        <v>244</v>
      </c>
      <c r="Y65" s="8"/>
      <c r="Z65" s="8"/>
      <c r="AA65" s="8"/>
      <c r="AB65" s="8"/>
      <c r="AC65" s="8"/>
      <c r="AD65" s="8"/>
      <c r="AE65" s="25"/>
      <c r="AF65" s="11"/>
      <c r="AG65" s="25"/>
      <c r="AH65" s="11"/>
      <c r="AI65" s="11">
        <v>90</v>
      </c>
      <c r="AJ65" s="19">
        <v>0</v>
      </c>
      <c r="AK65" s="12">
        <f>(AJ65+AI65)/30*7</f>
        <v>21</v>
      </c>
      <c r="AL65" s="6">
        <f>IF(AK65-C65&lt;0,0,AK65-C65)</f>
        <v>0</v>
      </c>
      <c r="AM65" s="6">
        <f>IF(AL65-R65-S65&lt;0,0,AL65-R65-S65)</f>
        <v>0</v>
      </c>
      <c r="AN65" s="5" t="str">
        <f t="shared" si="1"/>
        <v/>
      </c>
      <c r="AO65" s="5">
        <v>0</v>
      </c>
      <c r="AP65" s="9"/>
      <c r="AQ65" s="5" t="s">
        <v>1210</v>
      </c>
      <c r="AR65" s="5" t="s">
        <v>1230</v>
      </c>
      <c r="AS65" s="8"/>
      <c r="AT65" s="8"/>
      <c r="AU65" s="8"/>
      <c r="AV65" s="8"/>
      <c r="AW65" s="8"/>
      <c r="AX65" s="8"/>
      <c r="AY65" s="8"/>
      <c r="AZ65" s="8"/>
      <c r="BB65" s="28"/>
      <c r="BC65" s="28"/>
    </row>
    <row r="66" spans="1:55">
      <c r="A66" s="5" t="s">
        <v>1018</v>
      </c>
      <c r="B66" s="5">
        <v>1910</v>
      </c>
      <c r="C66" s="19">
        <v>40</v>
      </c>
      <c r="E66" s="14"/>
      <c r="F66" s="11"/>
      <c r="G66" s="11"/>
      <c r="H66" s="11"/>
      <c r="I66" s="11"/>
      <c r="J66" s="25"/>
      <c r="K66" s="11"/>
      <c r="L66" s="11"/>
      <c r="M66" s="19">
        <v>0</v>
      </c>
      <c r="O66" s="6"/>
      <c r="P66" s="16">
        <v>766</v>
      </c>
      <c r="Q66" s="16">
        <v>0</v>
      </c>
      <c r="R66" s="22"/>
      <c r="S66" s="22">
        <f t="shared" si="0"/>
        <v>0</v>
      </c>
      <c r="T66" s="5" t="s">
        <v>1210</v>
      </c>
      <c r="U66" s="5" t="s">
        <v>1210</v>
      </c>
      <c r="Y66" s="8"/>
      <c r="Z66" s="8"/>
      <c r="AA66" s="8"/>
      <c r="AB66" s="8"/>
      <c r="AC66" s="8"/>
      <c r="AD66" s="8"/>
      <c r="AE66" s="25"/>
      <c r="AF66" s="11"/>
      <c r="AG66" s="25"/>
      <c r="AH66" s="11"/>
      <c r="AI66" s="11">
        <v>90</v>
      </c>
      <c r="AJ66" s="19">
        <v>0</v>
      </c>
      <c r="AK66" s="12">
        <f>(AJ66+AI66)/30*7</f>
        <v>21</v>
      </c>
      <c r="AL66" s="6">
        <f>IF(AK66-C66&lt;0,0,AK66-C66)</f>
        <v>0</v>
      </c>
      <c r="AM66" s="6">
        <f>IF(AL66-R66-S66&lt;0,0,AL66-R66-S66)</f>
        <v>0</v>
      </c>
      <c r="AN66" s="5" t="str">
        <f t="shared" si="1"/>
        <v/>
      </c>
      <c r="AO66" s="5">
        <v>0</v>
      </c>
      <c r="AP66" s="9"/>
      <c r="AQ66" s="5" t="s">
        <v>1210</v>
      </c>
      <c r="AR66" s="5" t="s">
        <v>1210</v>
      </c>
      <c r="AS66" s="8"/>
      <c r="AT66" s="8"/>
      <c r="AU66" s="8"/>
      <c r="AV66" s="8"/>
      <c r="AW66" s="8"/>
      <c r="AX66" s="8"/>
      <c r="AY66" s="8"/>
      <c r="AZ66" s="8"/>
      <c r="BB66" s="28"/>
      <c r="BC66" s="28"/>
    </row>
    <row r="67" spans="1:55">
      <c r="A67" s="5" t="s">
        <v>821</v>
      </c>
      <c r="B67" s="5">
        <v>227</v>
      </c>
      <c r="C67" s="19">
        <v>40</v>
      </c>
      <c r="E67" s="14"/>
      <c r="F67" s="11"/>
      <c r="G67" s="11"/>
      <c r="H67" s="11"/>
      <c r="I67" s="11"/>
      <c r="J67" s="25"/>
      <c r="K67" s="11"/>
      <c r="L67" s="11"/>
      <c r="M67" s="19">
        <v>0</v>
      </c>
      <c r="O67" s="6"/>
      <c r="P67" s="16">
        <v>0</v>
      </c>
      <c r="Q67" s="16">
        <v>0</v>
      </c>
      <c r="R67" s="22"/>
      <c r="S67" s="22">
        <f t="shared" si="0"/>
        <v>0</v>
      </c>
      <c r="T67" s="5">
        <v>696</v>
      </c>
      <c r="U67" s="5">
        <v>296</v>
      </c>
      <c r="Y67" s="8"/>
      <c r="Z67" s="8"/>
      <c r="AA67" s="8"/>
      <c r="AB67" s="8"/>
      <c r="AC67" s="8"/>
      <c r="AD67" s="8"/>
      <c r="AE67" s="25"/>
      <c r="AF67" s="11"/>
      <c r="AG67" s="25"/>
      <c r="AH67" s="11"/>
      <c r="AI67" s="11">
        <v>89</v>
      </c>
      <c r="AJ67" s="19">
        <v>0</v>
      </c>
      <c r="AK67" s="12">
        <f>(AJ67+AI67)/30*7</f>
        <v>20.766666666666666</v>
      </c>
      <c r="AL67" s="6">
        <f>IF(AK67-C67&lt;0,0,AK67-C67)</f>
        <v>0</v>
      </c>
      <c r="AM67" s="6">
        <f>IF(AL67-R67-S67&lt;0,0,AL67-R67-S67)</f>
        <v>0</v>
      </c>
      <c r="AN67" s="5" t="str">
        <f t="shared" si="1"/>
        <v/>
      </c>
      <c r="AO67" s="5">
        <v>0</v>
      </c>
      <c r="AP67" s="9"/>
      <c r="AQ67" s="5" t="s">
        <v>1210</v>
      </c>
      <c r="AR67" s="5" t="s">
        <v>1210</v>
      </c>
      <c r="AS67" s="8"/>
      <c r="AT67" s="8"/>
      <c r="AU67" s="8"/>
      <c r="AV67" s="8"/>
      <c r="AW67" s="8"/>
      <c r="AX67" s="8"/>
      <c r="AY67" s="8"/>
      <c r="AZ67" s="8"/>
      <c r="BB67" s="28"/>
      <c r="BC67" s="28"/>
    </row>
    <row r="68" spans="1:55">
      <c r="A68" s="5" t="s">
        <v>1022</v>
      </c>
      <c r="B68" s="5">
        <v>673</v>
      </c>
      <c r="C68" s="19">
        <v>35</v>
      </c>
      <c r="E68" s="14"/>
      <c r="F68" s="11"/>
      <c r="G68" s="11"/>
      <c r="H68" s="11"/>
      <c r="I68" s="11"/>
      <c r="J68" s="25"/>
      <c r="K68" s="11"/>
      <c r="L68" s="11"/>
      <c r="M68" s="19">
        <v>0</v>
      </c>
      <c r="O68" s="6"/>
      <c r="P68" s="16">
        <v>0</v>
      </c>
      <c r="Q68" s="16">
        <v>0</v>
      </c>
      <c r="R68" s="22"/>
      <c r="S68" s="22">
        <f t="shared" ref="S68:S131" si="2">IF(AL68&gt;0,IF(Q68&gt;=AL68,ROUND(AL68,0),Q68),0)</f>
        <v>0</v>
      </c>
      <c r="T68" s="5">
        <v>506</v>
      </c>
      <c r="U68" s="5">
        <v>918</v>
      </c>
      <c r="Y68" s="8"/>
      <c r="Z68" s="8"/>
      <c r="AA68" s="8"/>
      <c r="AB68" s="8"/>
      <c r="AC68" s="8"/>
      <c r="AD68" s="8"/>
      <c r="AE68" s="25"/>
      <c r="AF68" s="11"/>
      <c r="AG68" s="25"/>
      <c r="AH68" s="11"/>
      <c r="AI68" s="11">
        <v>89</v>
      </c>
      <c r="AJ68" s="19">
        <v>0</v>
      </c>
      <c r="AK68" s="12">
        <f>(AJ68+AI68)/30*7</f>
        <v>20.766666666666666</v>
      </c>
      <c r="AL68" s="6">
        <f>IF(AK68-C68&lt;0,0,AK68-C68)</f>
        <v>0</v>
      </c>
      <c r="AM68" s="6">
        <f>IF(AL68-R68-S68&lt;0,0,AL68-R68-S68)</f>
        <v>0</v>
      </c>
      <c r="AN68" s="5" t="str">
        <f t="shared" ref="AN68:AN131" si="3">IF(AM68&gt;0,IF(LEN(U68)=0,IF(ROUND(AM68-AO68,0)&gt;0,ROUND(AM68-AO68,0),""),IF(U68+AO68&gt;=AM68,"",ROUND(AM68-U68-AO68,0))),"")</f>
        <v/>
      </c>
      <c r="AO68" s="5">
        <v>0</v>
      </c>
      <c r="AP68" s="9"/>
      <c r="AQ68" s="5" t="s">
        <v>1210</v>
      </c>
      <c r="AR68" s="5" t="s">
        <v>1210</v>
      </c>
      <c r="AS68" s="8"/>
      <c r="AT68" s="8"/>
      <c r="AU68" s="8"/>
      <c r="AV68" s="8"/>
      <c r="AW68" s="8"/>
      <c r="AX68" s="8"/>
      <c r="AY68" s="8"/>
      <c r="AZ68" s="8"/>
      <c r="BB68" s="28"/>
      <c r="BC68" s="28"/>
    </row>
    <row r="69" spans="1:55">
      <c r="A69" s="5" t="s">
        <v>545</v>
      </c>
      <c r="B69" s="5">
        <v>695</v>
      </c>
      <c r="C69" s="19">
        <v>37</v>
      </c>
      <c r="E69" s="14"/>
      <c r="F69" s="11"/>
      <c r="G69" s="11"/>
      <c r="H69" s="11"/>
      <c r="I69" s="11"/>
      <c r="J69" s="25"/>
      <c r="K69" s="11"/>
      <c r="L69" s="11"/>
      <c r="M69" s="19">
        <v>0</v>
      </c>
      <c r="O69" s="6"/>
      <c r="P69" s="16">
        <v>0</v>
      </c>
      <c r="Q69" s="16">
        <v>0</v>
      </c>
      <c r="R69" s="22"/>
      <c r="S69" s="22">
        <f t="shared" si="2"/>
        <v>0</v>
      </c>
      <c r="T69" s="5">
        <v>562</v>
      </c>
      <c r="U69" s="5">
        <v>783</v>
      </c>
      <c r="Y69" s="8"/>
      <c r="Z69" s="8"/>
      <c r="AA69" s="8"/>
      <c r="AB69" s="8"/>
      <c r="AC69" s="8"/>
      <c r="AD69" s="8"/>
      <c r="AE69" s="25"/>
      <c r="AF69" s="11"/>
      <c r="AG69" s="25"/>
      <c r="AH69" s="11"/>
      <c r="AI69" s="11">
        <v>89</v>
      </c>
      <c r="AJ69" s="19">
        <v>0</v>
      </c>
      <c r="AK69" s="12">
        <f>(AJ69+AI69)/30*7</f>
        <v>20.766666666666666</v>
      </c>
      <c r="AL69" s="6">
        <f>IF(AK69-C69&lt;0,0,AK69-C69)</f>
        <v>0</v>
      </c>
      <c r="AM69" s="6">
        <f>IF(AL69-R69-S69&lt;0,0,AL69-R69-S69)</f>
        <v>0</v>
      </c>
      <c r="AN69" s="5" t="str">
        <f t="shared" si="3"/>
        <v/>
      </c>
      <c r="AO69" s="5">
        <v>0</v>
      </c>
      <c r="AP69" s="9"/>
      <c r="AQ69" s="5" t="s">
        <v>1210</v>
      </c>
      <c r="AR69" s="5" t="s">
        <v>1210</v>
      </c>
      <c r="AS69" s="8"/>
      <c r="AT69" s="8"/>
      <c r="AU69" s="8"/>
      <c r="AV69" s="8"/>
      <c r="AW69" s="8"/>
      <c r="AX69" s="8"/>
      <c r="AY69" s="8"/>
      <c r="AZ69" s="8"/>
      <c r="BB69" s="28"/>
      <c r="BC69" s="28"/>
    </row>
    <row r="70" spans="1:55">
      <c r="A70" s="5" t="s">
        <v>612</v>
      </c>
      <c r="B70" s="5">
        <v>839</v>
      </c>
      <c r="C70" s="19">
        <v>23</v>
      </c>
      <c r="E70" s="14"/>
      <c r="F70" s="11"/>
      <c r="G70" s="11"/>
      <c r="H70" s="11"/>
      <c r="I70" s="11"/>
      <c r="J70" s="25"/>
      <c r="K70" s="11"/>
      <c r="L70" s="11"/>
      <c r="M70" s="19">
        <v>0</v>
      </c>
      <c r="O70" s="6"/>
      <c r="P70" s="16">
        <v>0</v>
      </c>
      <c r="Q70" s="16">
        <v>0</v>
      </c>
      <c r="R70" s="22"/>
      <c r="S70" s="22">
        <f t="shared" si="2"/>
        <v>0</v>
      </c>
      <c r="T70" s="5">
        <v>912</v>
      </c>
      <c r="U70" s="5">
        <v>40</v>
      </c>
      <c r="Y70" s="8"/>
      <c r="Z70" s="8"/>
      <c r="AA70" s="8"/>
      <c r="AB70" s="8"/>
      <c r="AC70" s="8"/>
      <c r="AD70" s="8"/>
      <c r="AE70" s="25"/>
      <c r="AF70" s="11"/>
      <c r="AG70" s="25"/>
      <c r="AH70" s="11"/>
      <c r="AI70" s="11">
        <v>89</v>
      </c>
      <c r="AJ70" s="19">
        <v>0</v>
      </c>
      <c r="AK70" s="12">
        <f>(AJ70+AI70)/30*7</f>
        <v>20.766666666666666</v>
      </c>
      <c r="AL70" s="6">
        <f>IF(AK70-C70&lt;0,0,AK70-C70)</f>
        <v>0</v>
      </c>
      <c r="AM70" s="6">
        <f>IF(AL70-R70-S70&lt;0,0,AL70-R70-S70)</f>
        <v>0</v>
      </c>
      <c r="AN70" s="5" t="str">
        <f t="shared" si="3"/>
        <v/>
      </c>
      <c r="AO70" s="5">
        <v>0</v>
      </c>
      <c r="AP70" s="9"/>
      <c r="AQ70" s="5" t="s">
        <v>1210</v>
      </c>
      <c r="AR70" s="5" t="s">
        <v>1210</v>
      </c>
      <c r="AS70" s="8"/>
      <c r="AT70" s="8"/>
      <c r="AU70" s="8"/>
      <c r="AV70" s="8"/>
      <c r="AW70" s="8"/>
      <c r="AX70" s="8"/>
      <c r="AY70" s="8"/>
      <c r="AZ70" s="8"/>
      <c r="BB70" s="28"/>
      <c r="BC70" s="28"/>
    </row>
    <row r="71" spans="1:55">
      <c r="A71" s="5" t="s">
        <v>796</v>
      </c>
      <c r="B71" s="5">
        <v>917</v>
      </c>
      <c r="C71" s="19">
        <v>24</v>
      </c>
      <c r="E71" s="14"/>
      <c r="F71" s="11"/>
      <c r="G71" s="11"/>
      <c r="H71" s="11"/>
      <c r="I71" s="11"/>
      <c r="J71" s="25"/>
      <c r="K71" s="11"/>
      <c r="L71" s="11"/>
      <c r="M71" s="19">
        <v>0</v>
      </c>
      <c r="O71" s="6"/>
      <c r="P71" s="16">
        <v>0</v>
      </c>
      <c r="Q71" s="16">
        <v>0</v>
      </c>
      <c r="R71" s="22"/>
      <c r="S71" s="22">
        <f t="shared" si="2"/>
        <v>0</v>
      </c>
      <c r="T71" s="5" t="s">
        <v>1210</v>
      </c>
      <c r="U71" s="5" t="s">
        <v>1210</v>
      </c>
      <c r="Y71" s="8"/>
      <c r="Z71" s="8"/>
      <c r="AA71" s="8"/>
      <c r="AB71" s="8"/>
      <c r="AC71" s="8"/>
      <c r="AD71" s="8"/>
      <c r="AE71" s="25"/>
      <c r="AF71" s="11"/>
      <c r="AG71" s="25"/>
      <c r="AH71" s="11"/>
      <c r="AI71" s="11">
        <v>89</v>
      </c>
      <c r="AJ71" s="19">
        <v>0</v>
      </c>
      <c r="AK71" s="12">
        <f>(AJ71+AI71)/30*7</f>
        <v>20.766666666666666</v>
      </c>
      <c r="AL71" s="6">
        <f>IF(AK71-C71&lt;0,0,AK71-C71)</f>
        <v>0</v>
      </c>
      <c r="AM71" s="6">
        <f>IF(AL71-R71-S71&lt;0,0,AL71-R71-S71)</f>
        <v>0</v>
      </c>
      <c r="AN71" s="5" t="str">
        <f t="shared" si="3"/>
        <v/>
      </c>
      <c r="AO71" s="5">
        <v>0</v>
      </c>
      <c r="AP71" s="9"/>
      <c r="AQ71" s="5" t="s">
        <v>1210</v>
      </c>
      <c r="AR71" s="5" t="s">
        <v>1210</v>
      </c>
      <c r="AS71" s="8"/>
      <c r="AT71" s="8"/>
      <c r="AU71" s="8"/>
      <c r="AV71" s="8"/>
      <c r="AW71" s="8"/>
      <c r="AX71" s="8"/>
      <c r="AY71" s="8"/>
      <c r="AZ71" s="8"/>
      <c r="BB71" s="28"/>
      <c r="BC71" s="28"/>
    </row>
    <row r="72" spans="1:55">
      <c r="A72" s="5" t="s">
        <v>806</v>
      </c>
      <c r="B72" s="5">
        <v>1069</v>
      </c>
      <c r="C72" s="19">
        <v>38</v>
      </c>
      <c r="E72" s="14"/>
      <c r="F72" s="11"/>
      <c r="G72" s="11"/>
      <c r="H72" s="11"/>
      <c r="I72" s="11"/>
      <c r="J72" s="25"/>
      <c r="K72" s="11"/>
      <c r="L72" s="11"/>
      <c r="M72" s="19">
        <v>0</v>
      </c>
      <c r="O72" s="6"/>
      <c r="P72" s="16">
        <v>0</v>
      </c>
      <c r="Q72" s="16">
        <v>0</v>
      </c>
      <c r="R72" s="22"/>
      <c r="S72" s="22">
        <f t="shared" si="2"/>
        <v>0</v>
      </c>
      <c r="T72" s="5">
        <v>1333</v>
      </c>
      <c r="U72" s="5">
        <v>244</v>
      </c>
      <c r="Y72" s="8"/>
      <c r="Z72" s="8"/>
      <c r="AA72" s="8"/>
      <c r="AB72" s="8"/>
      <c r="AC72" s="8"/>
      <c r="AD72" s="8"/>
      <c r="AE72" s="25"/>
      <c r="AF72" s="11"/>
      <c r="AG72" s="25"/>
      <c r="AH72" s="11"/>
      <c r="AI72" s="11">
        <v>89</v>
      </c>
      <c r="AJ72" s="19">
        <v>0</v>
      </c>
      <c r="AK72" s="12">
        <f>(AJ72+AI72)/30*7</f>
        <v>20.766666666666666</v>
      </c>
      <c r="AL72" s="6">
        <f>IF(AK72-C72&lt;0,0,AK72-C72)</f>
        <v>0</v>
      </c>
      <c r="AM72" s="6">
        <f>IF(AL72-R72-S72&lt;0,0,AL72-R72-S72)</f>
        <v>0</v>
      </c>
      <c r="AN72" s="5" t="str">
        <f t="shared" si="3"/>
        <v/>
      </c>
      <c r="AO72" s="5">
        <v>0</v>
      </c>
      <c r="AP72" s="9"/>
      <c r="AQ72" s="5" t="s">
        <v>1210</v>
      </c>
      <c r="AR72" s="5" t="s">
        <v>1210</v>
      </c>
      <c r="AS72" s="8"/>
      <c r="AT72" s="8"/>
      <c r="AU72" s="8"/>
      <c r="AV72" s="8"/>
      <c r="AW72" s="8"/>
      <c r="AX72" s="8"/>
      <c r="AY72" s="8"/>
      <c r="AZ72" s="8"/>
      <c r="BB72" s="28"/>
      <c r="BC72" s="28"/>
    </row>
    <row r="73" spans="1:55">
      <c r="A73" s="5" t="s">
        <v>791</v>
      </c>
      <c r="B73" s="5">
        <v>718</v>
      </c>
      <c r="C73" s="19">
        <v>22</v>
      </c>
      <c r="E73" s="14"/>
      <c r="F73" s="11"/>
      <c r="G73" s="11"/>
      <c r="H73" s="11"/>
      <c r="I73" s="11"/>
      <c r="J73" s="25"/>
      <c r="K73" s="11"/>
      <c r="L73" s="11"/>
      <c r="M73" s="19">
        <v>0</v>
      </c>
      <c r="O73" s="6"/>
      <c r="P73" s="16">
        <v>0</v>
      </c>
      <c r="Q73" s="16">
        <v>0</v>
      </c>
      <c r="R73" s="22"/>
      <c r="S73" s="22">
        <f t="shared" si="2"/>
        <v>0</v>
      </c>
      <c r="T73" s="5">
        <v>476</v>
      </c>
      <c r="U73" s="5">
        <v>555</v>
      </c>
      <c r="Y73" s="8"/>
      <c r="Z73" s="8"/>
      <c r="AA73" s="8"/>
      <c r="AB73" s="8"/>
      <c r="AC73" s="8"/>
      <c r="AD73" s="8"/>
      <c r="AE73" s="25"/>
      <c r="AF73" s="11"/>
      <c r="AG73" s="25"/>
      <c r="AH73" s="11"/>
      <c r="AI73" s="11">
        <v>88</v>
      </c>
      <c r="AJ73" s="19">
        <v>0</v>
      </c>
      <c r="AK73" s="12">
        <f>(AJ73+AI73)/30*7</f>
        <v>20.533333333333331</v>
      </c>
      <c r="AL73" s="6">
        <f>IF(AK73-C73&lt;0,0,AK73-C73)</f>
        <v>0</v>
      </c>
      <c r="AM73" s="6">
        <f>IF(AL73-R73-S73&lt;0,0,AL73-R73-S73)</f>
        <v>0</v>
      </c>
      <c r="AN73" s="5" t="str">
        <f t="shared" si="3"/>
        <v/>
      </c>
      <c r="AO73" s="5">
        <v>0</v>
      </c>
      <c r="AP73" s="9"/>
      <c r="AQ73" s="5" t="s">
        <v>1210</v>
      </c>
      <c r="AR73" s="5" t="s">
        <v>1210</v>
      </c>
      <c r="AS73" s="8"/>
      <c r="AT73" s="8"/>
      <c r="AU73" s="8"/>
      <c r="AV73" s="8"/>
      <c r="AW73" s="8"/>
      <c r="AX73" s="8"/>
      <c r="AY73" s="8"/>
      <c r="AZ73" s="8"/>
      <c r="BB73" s="28"/>
      <c r="BC73" s="28"/>
    </row>
    <row r="74" spans="1:55">
      <c r="A74" s="5" t="s">
        <v>616</v>
      </c>
      <c r="B74" s="5">
        <v>756</v>
      </c>
      <c r="C74" s="19">
        <v>27</v>
      </c>
      <c r="E74" s="14"/>
      <c r="F74" s="11"/>
      <c r="G74" s="11"/>
      <c r="H74" s="11"/>
      <c r="I74" s="11"/>
      <c r="J74" s="25"/>
      <c r="K74" s="11"/>
      <c r="L74" s="11"/>
      <c r="M74" s="19">
        <v>0</v>
      </c>
      <c r="O74" s="6"/>
      <c r="P74" s="16">
        <v>0</v>
      </c>
      <c r="Q74" s="16">
        <v>0</v>
      </c>
      <c r="R74" s="22"/>
      <c r="S74" s="22">
        <f t="shared" si="2"/>
        <v>0</v>
      </c>
      <c r="T74" s="5">
        <v>824</v>
      </c>
      <c r="U74" s="5">
        <v>315</v>
      </c>
      <c r="Y74" s="8"/>
      <c r="Z74" s="8"/>
      <c r="AA74" s="8"/>
      <c r="AB74" s="8"/>
      <c r="AC74" s="8"/>
      <c r="AD74" s="8"/>
      <c r="AE74" s="25"/>
      <c r="AF74" s="11"/>
      <c r="AG74" s="25"/>
      <c r="AH74" s="11"/>
      <c r="AI74" s="11">
        <v>87</v>
      </c>
      <c r="AJ74" s="19">
        <v>0</v>
      </c>
      <c r="AK74" s="12">
        <f>(AJ74+AI74)/30*7</f>
        <v>20.3</v>
      </c>
      <c r="AL74" s="6">
        <f>IF(AK74-C74&lt;0,0,AK74-C74)</f>
        <v>0</v>
      </c>
      <c r="AM74" s="6">
        <f>IF(AL74-R74-S74&lt;0,0,AL74-R74-S74)</f>
        <v>0</v>
      </c>
      <c r="AN74" s="5" t="str">
        <f t="shared" si="3"/>
        <v/>
      </c>
      <c r="AO74" s="5">
        <v>0</v>
      </c>
      <c r="AP74" s="9"/>
      <c r="AQ74" s="5" t="s">
        <v>1210</v>
      </c>
      <c r="AR74" s="5" t="s">
        <v>1210</v>
      </c>
      <c r="AS74" s="8"/>
      <c r="AT74" s="8"/>
      <c r="AU74" s="8"/>
      <c r="AV74" s="8"/>
      <c r="AW74" s="8"/>
      <c r="AX74" s="8"/>
      <c r="AY74" s="8"/>
      <c r="AZ74" s="8"/>
      <c r="BB74" s="28"/>
      <c r="BC74" s="28"/>
    </row>
    <row r="75" spans="1:55">
      <c r="A75" s="5" t="s">
        <v>1081</v>
      </c>
      <c r="B75" s="5" t="s">
        <v>1202</v>
      </c>
      <c r="C75" s="19">
        <v>32</v>
      </c>
      <c r="E75" s="14"/>
      <c r="F75" s="11"/>
      <c r="G75" s="11"/>
      <c r="H75" s="11"/>
      <c r="I75" s="11"/>
      <c r="J75" s="25"/>
      <c r="K75" s="11"/>
      <c r="L75" s="11"/>
      <c r="M75" s="19">
        <v>0</v>
      </c>
      <c r="O75" s="6"/>
      <c r="P75" s="16">
        <v>0</v>
      </c>
      <c r="Q75" s="16">
        <v>0</v>
      </c>
      <c r="R75" s="22"/>
      <c r="S75" s="22">
        <f t="shared" si="2"/>
        <v>0</v>
      </c>
      <c r="T75" s="5" t="s">
        <v>1210</v>
      </c>
      <c r="U75" s="5" t="s">
        <v>1210</v>
      </c>
      <c r="Y75" s="8"/>
      <c r="Z75" s="8"/>
      <c r="AA75" s="8"/>
      <c r="AB75" s="8"/>
      <c r="AC75" s="8"/>
      <c r="AD75" s="8"/>
      <c r="AE75" s="25"/>
      <c r="AF75" s="11"/>
      <c r="AG75" s="25"/>
      <c r="AH75" s="11"/>
      <c r="AI75" s="11">
        <v>87</v>
      </c>
      <c r="AJ75" s="19">
        <v>0</v>
      </c>
      <c r="AK75" s="12">
        <f>(AJ75+AI75)/30*7</f>
        <v>20.3</v>
      </c>
      <c r="AL75" s="6">
        <f>IF(AK75-C75&lt;0,0,AK75-C75)</f>
        <v>0</v>
      </c>
      <c r="AM75" s="6">
        <f>IF(AL75-R75-S75&lt;0,0,AL75-R75-S75)</f>
        <v>0</v>
      </c>
      <c r="AN75" s="5" t="str">
        <f t="shared" si="3"/>
        <v/>
      </c>
      <c r="AO75" s="5">
        <v>0</v>
      </c>
      <c r="AP75" s="9"/>
      <c r="AQ75" s="5" t="s">
        <v>1210</v>
      </c>
      <c r="AR75" s="5" t="s">
        <v>1210</v>
      </c>
      <c r="AS75" s="8"/>
      <c r="AT75" s="8"/>
      <c r="AU75" s="8"/>
      <c r="AV75" s="8"/>
      <c r="AW75" s="8"/>
      <c r="AX75" s="8"/>
      <c r="AY75" s="8"/>
      <c r="AZ75" s="8"/>
      <c r="BB75" s="28"/>
      <c r="BC75" s="28"/>
    </row>
    <row r="76" spans="1:55">
      <c r="A76" s="5" t="s">
        <v>868</v>
      </c>
      <c r="B76" s="5">
        <v>421</v>
      </c>
      <c r="C76" s="19">
        <v>35</v>
      </c>
      <c r="E76" s="14"/>
      <c r="F76" s="11"/>
      <c r="G76" s="11"/>
      <c r="H76" s="11"/>
      <c r="I76" s="11"/>
      <c r="J76" s="25"/>
      <c r="K76" s="11"/>
      <c r="L76" s="11"/>
      <c r="M76" s="19">
        <v>0</v>
      </c>
      <c r="O76" s="6"/>
      <c r="P76" s="16">
        <v>0</v>
      </c>
      <c r="Q76" s="16">
        <v>0</v>
      </c>
      <c r="R76" s="22"/>
      <c r="S76" s="22">
        <f t="shared" si="2"/>
        <v>0</v>
      </c>
      <c r="T76" s="5" t="s">
        <v>1210</v>
      </c>
      <c r="U76" s="5" t="s">
        <v>1210</v>
      </c>
      <c r="Y76" s="8"/>
      <c r="Z76" s="8"/>
      <c r="AA76" s="8"/>
      <c r="AB76" s="8"/>
      <c r="AC76" s="8"/>
      <c r="AD76" s="8"/>
      <c r="AE76" s="25"/>
      <c r="AF76" s="11"/>
      <c r="AG76" s="25"/>
      <c r="AH76" s="11"/>
      <c r="AI76" s="11">
        <v>86</v>
      </c>
      <c r="AJ76" s="19">
        <v>0</v>
      </c>
      <c r="AK76" s="12">
        <f>(AJ76+AI76)/30*7</f>
        <v>20.066666666666666</v>
      </c>
      <c r="AL76" s="6">
        <f>IF(AK76-C76&lt;0,0,AK76-C76)</f>
        <v>0</v>
      </c>
      <c r="AM76" s="6">
        <f>IF(AL76-R76-S76&lt;0,0,AL76-R76-S76)</f>
        <v>0</v>
      </c>
      <c r="AN76" s="5" t="str">
        <f t="shared" si="3"/>
        <v/>
      </c>
      <c r="AO76" s="5">
        <v>0</v>
      </c>
      <c r="AP76" s="9"/>
      <c r="AQ76" s="5" t="s">
        <v>1210</v>
      </c>
      <c r="AR76" s="5" t="s">
        <v>1210</v>
      </c>
      <c r="AS76" s="8"/>
      <c r="AT76" s="8"/>
      <c r="AU76" s="8"/>
      <c r="AV76" s="8"/>
      <c r="AW76" s="8"/>
      <c r="AX76" s="8"/>
      <c r="AY76" s="8"/>
      <c r="AZ76" s="8"/>
      <c r="BB76" s="28"/>
      <c r="BC76" s="28"/>
    </row>
    <row r="77" spans="1:55">
      <c r="A77" s="5" t="s">
        <v>561</v>
      </c>
      <c r="B77" s="5">
        <v>533</v>
      </c>
      <c r="C77" s="19">
        <v>25</v>
      </c>
      <c r="E77" s="14"/>
      <c r="F77" s="11"/>
      <c r="G77" s="11"/>
      <c r="H77" s="11"/>
      <c r="I77" s="11"/>
      <c r="J77" s="25"/>
      <c r="K77" s="11"/>
      <c r="L77" s="11"/>
      <c r="M77" s="19">
        <v>0</v>
      </c>
      <c r="O77" s="6"/>
      <c r="P77" s="16">
        <v>0</v>
      </c>
      <c r="Q77" s="16">
        <v>0</v>
      </c>
      <c r="R77" s="22"/>
      <c r="S77" s="22">
        <f t="shared" si="2"/>
        <v>0</v>
      </c>
      <c r="T77" s="5" t="s">
        <v>1210</v>
      </c>
      <c r="U77" s="5" t="s">
        <v>1210</v>
      </c>
      <c r="Y77" s="8"/>
      <c r="Z77" s="8"/>
      <c r="AA77" s="8"/>
      <c r="AB77" s="8"/>
      <c r="AC77" s="8"/>
      <c r="AD77" s="8"/>
      <c r="AE77" s="25"/>
      <c r="AF77" s="11"/>
      <c r="AG77" s="25"/>
      <c r="AH77" s="11"/>
      <c r="AI77" s="11">
        <v>86</v>
      </c>
      <c r="AJ77" s="19">
        <v>0</v>
      </c>
      <c r="AK77" s="12">
        <f>(AJ77+AI77)/30*7</f>
        <v>20.066666666666666</v>
      </c>
      <c r="AL77" s="6">
        <f>IF(AK77-C77&lt;0,0,AK77-C77)</f>
        <v>0</v>
      </c>
      <c r="AM77" s="6">
        <f>IF(AL77-R77-S77&lt;0,0,AL77-R77-S77)</f>
        <v>0</v>
      </c>
      <c r="AN77" s="5" t="str">
        <f t="shared" si="3"/>
        <v/>
      </c>
      <c r="AO77" s="5">
        <v>0</v>
      </c>
      <c r="AP77" s="9"/>
      <c r="AQ77" s="5" t="s">
        <v>1210</v>
      </c>
      <c r="AR77" s="5" t="s">
        <v>1210</v>
      </c>
      <c r="AS77" s="8"/>
      <c r="AT77" s="8"/>
      <c r="AU77" s="8"/>
      <c r="AV77" s="8"/>
      <c r="AW77" s="8"/>
      <c r="AX77" s="8"/>
      <c r="AY77" s="8"/>
      <c r="AZ77" s="8"/>
      <c r="BB77" s="28"/>
      <c r="BC77" s="28"/>
    </row>
    <row r="78" spans="1:55">
      <c r="A78" s="5" t="s">
        <v>836</v>
      </c>
      <c r="B78" s="5">
        <v>1446</v>
      </c>
      <c r="C78" s="19">
        <v>24</v>
      </c>
      <c r="E78" s="14"/>
      <c r="F78" s="11"/>
      <c r="G78" s="11"/>
      <c r="H78" s="11"/>
      <c r="I78" s="11"/>
      <c r="J78" s="25"/>
      <c r="K78" s="11"/>
      <c r="L78" s="11"/>
      <c r="M78" s="19">
        <v>0</v>
      </c>
      <c r="O78" s="6"/>
      <c r="P78" s="16">
        <v>605</v>
      </c>
      <c r="Q78" s="16">
        <v>0</v>
      </c>
      <c r="R78" s="22"/>
      <c r="S78" s="22">
        <f t="shared" si="2"/>
        <v>0</v>
      </c>
      <c r="T78" s="5">
        <v>1848</v>
      </c>
      <c r="U78" s="5">
        <v>542</v>
      </c>
      <c r="Y78" s="8"/>
      <c r="Z78" s="8"/>
      <c r="AA78" s="8"/>
      <c r="AB78" s="8"/>
      <c r="AC78" s="8"/>
      <c r="AD78" s="8"/>
      <c r="AE78" s="25"/>
      <c r="AF78" s="11"/>
      <c r="AG78" s="25"/>
      <c r="AH78" s="11"/>
      <c r="AI78" s="11">
        <v>86</v>
      </c>
      <c r="AJ78" s="19">
        <v>0</v>
      </c>
      <c r="AK78" s="12">
        <f>(AJ78+AI78)/30*7</f>
        <v>20.066666666666666</v>
      </c>
      <c r="AL78" s="6">
        <f>IF(AK78-C78&lt;0,0,AK78-C78)</f>
        <v>0</v>
      </c>
      <c r="AM78" s="6">
        <f>IF(AL78-R78-S78&lt;0,0,AL78-R78-S78)</f>
        <v>0</v>
      </c>
      <c r="AN78" s="5" t="str">
        <f t="shared" si="3"/>
        <v/>
      </c>
      <c r="AO78" s="5">
        <v>0</v>
      </c>
      <c r="AP78" s="9"/>
      <c r="AQ78" s="5" t="s">
        <v>1210</v>
      </c>
      <c r="AR78" s="5" t="s">
        <v>1230</v>
      </c>
      <c r="AS78" s="8"/>
      <c r="AT78" s="8"/>
      <c r="AU78" s="8"/>
      <c r="AV78" s="8"/>
      <c r="AW78" s="8"/>
      <c r="AX78" s="8"/>
      <c r="AY78" s="8"/>
      <c r="AZ78" s="8"/>
      <c r="BB78" s="28"/>
      <c r="BC78" s="28"/>
    </row>
    <row r="79" spans="1:55">
      <c r="A79" s="5" t="s">
        <v>771</v>
      </c>
      <c r="B79" s="5" t="s">
        <v>1171</v>
      </c>
      <c r="C79" s="19">
        <v>37</v>
      </c>
      <c r="E79" s="14"/>
      <c r="F79" s="11"/>
      <c r="G79" s="11"/>
      <c r="H79" s="11"/>
      <c r="I79" s="11"/>
      <c r="J79" s="25"/>
      <c r="K79" s="11"/>
      <c r="L79" s="11"/>
      <c r="M79" s="19">
        <v>0</v>
      </c>
      <c r="O79" s="6"/>
      <c r="P79" s="16">
        <v>0</v>
      </c>
      <c r="Q79" s="16">
        <v>0</v>
      </c>
      <c r="R79" s="22"/>
      <c r="S79" s="22">
        <f t="shared" si="2"/>
        <v>0</v>
      </c>
      <c r="T79" s="5" t="s">
        <v>1210</v>
      </c>
      <c r="U79" s="5" t="s">
        <v>1210</v>
      </c>
      <c r="Y79" s="8"/>
      <c r="Z79" s="8"/>
      <c r="AA79" s="8"/>
      <c r="AB79" s="8"/>
      <c r="AC79" s="8"/>
      <c r="AD79" s="8"/>
      <c r="AE79" s="25"/>
      <c r="AF79" s="11"/>
      <c r="AG79" s="25"/>
      <c r="AH79" s="11"/>
      <c r="AI79" s="11">
        <v>86</v>
      </c>
      <c r="AJ79" s="19">
        <v>0</v>
      </c>
      <c r="AK79" s="12">
        <f>(AJ79+AI79)/30*7</f>
        <v>20.066666666666666</v>
      </c>
      <c r="AL79" s="6">
        <f>IF(AK79-C79&lt;0,0,AK79-C79)</f>
        <v>0</v>
      </c>
      <c r="AM79" s="6">
        <f>IF(AL79-R79-S79&lt;0,0,AL79-R79-S79)</f>
        <v>0</v>
      </c>
      <c r="AN79" s="5" t="str">
        <f t="shared" si="3"/>
        <v/>
      </c>
      <c r="AO79" s="5">
        <v>0</v>
      </c>
      <c r="AP79" s="9"/>
      <c r="AQ79" s="5" t="s">
        <v>1210</v>
      </c>
      <c r="AR79" s="5" t="s">
        <v>1210</v>
      </c>
      <c r="AS79" s="8"/>
      <c r="AT79" s="8"/>
      <c r="AU79" s="8"/>
      <c r="AV79" s="8"/>
      <c r="AW79" s="8"/>
      <c r="AX79" s="8"/>
      <c r="AY79" s="8"/>
      <c r="AZ79" s="8"/>
      <c r="BB79" s="28"/>
      <c r="BC79" s="28"/>
    </row>
    <row r="80" spans="1:55">
      <c r="A80" s="5" t="s">
        <v>1038</v>
      </c>
      <c r="B80" s="5">
        <v>1783</v>
      </c>
      <c r="C80" s="19">
        <v>25</v>
      </c>
      <c r="E80" s="14"/>
      <c r="F80" s="11"/>
      <c r="G80" s="11"/>
      <c r="H80" s="11"/>
      <c r="I80" s="11"/>
      <c r="J80" s="25"/>
      <c r="K80" s="11"/>
      <c r="L80" s="11"/>
      <c r="M80" s="19">
        <v>0</v>
      </c>
      <c r="O80" s="6"/>
      <c r="P80" s="16">
        <v>574</v>
      </c>
      <c r="Q80" s="16">
        <v>0</v>
      </c>
      <c r="R80" s="22"/>
      <c r="S80" s="22">
        <f t="shared" si="2"/>
        <v>0</v>
      </c>
      <c r="T80" s="5">
        <v>1394</v>
      </c>
      <c r="U80" s="5">
        <v>515</v>
      </c>
      <c r="Y80" s="8"/>
      <c r="Z80" s="8"/>
      <c r="AA80" s="8"/>
      <c r="AB80" s="8"/>
      <c r="AC80" s="8"/>
      <c r="AD80" s="8"/>
      <c r="AE80" s="25"/>
      <c r="AF80" s="11"/>
      <c r="AG80" s="25"/>
      <c r="AH80" s="11"/>
      <c r="AI80" s="11">
        <v>32</v>
      </c>
      <c r="AJ80" s="19">
        <v>53</v>
      </c>
      <c r="AK80" s="12">
        <f>(AJ80+AI80)/30*7</f>
        <v>19.833333333333336</v>
      </c>
      <c r="AL80" s="6">
        <f>IF(AK80-C80&lt;0,0,AK80-C80)</f>
        <v>0</v>
      </c>
      <c r="AM80" s="6">
        <f>IF(AL80-R80-S80&lt;0,0,AL80-R80-S80)</f>
        <v>0</v>
      </c>
      <c r="AN80" s="5" t="str">
        <f t="shared" si="3"/>
        <v/>
      </c>
      <c r="AO80" s="5">
        <v>0</v>
      </c>
      <c r="AP80" s="9"/>
      <c r="AQ80" s="5" t="s">
        <v>1210</v>
      </c>
      <c r="AR80" s="5" t="s">
        <v>1230</v>
      </c>
      <c r="AS80" s="8"/>
      <c r="AT80" s="8"/>
      <c r="AU80" s="8"/>
      <c r="AV80" s="8"/>
      <c r="AW80" s="8"/>
      <c r="AX80" s="8"/>
      <c r="AY80" s="8"/>
      <c r="AZ80" s="8"/>
      <c r="BB80" s="28"/>
      <c r="BC80" s="28"/>
    </row>
    <row r="81" spans="1:55">
      <c r="A81" s="5" t="s">
        <v>615</v>
      </c>
      <c r="B81" s="5">
        <v>538</v>
      </c>
      <c r="C81" s="19">
        <v>39</v>
      </c>
      <c r="E81" s="14"/>
      <c r="F81" s="11"/>
      <c r="G81" s="11"/>
      <c r="H81" s="11"/>
      <c r="I81" s="11"/>
      <c r="J81" s="25"/>
      <c r="K81" s="11"/>
      <c r="L81" s="11"/>
      <c r="M81" s="19">
        <v>0</v>
      </c>
      <c r="O81" s="6"/>
      <c r="P81" s="16">
        <v>0</v>
      </c>
      <c r="Q81" s="16">
        <v>0</v>
      </c>
      <c r="R81" s="22"/>
      <c r="S81" s="22">
        <f t="shared" si="2"/>
        <v>0</v>
      </c>
      <c r="T81" s="5" t="s">
        <v>1210</v>
      </c>
      <c r="U81" s="5" t="s">
        <v>1210</v>
      </c>
      <c r="Y81" s="8"/>
      <c r="Z81" s="8"/>
      <c r="AA81" s="8"/>
      <c r="AB81" s="8"/>
      <c r="AC81" s="8"/>
      <c r="AD81" s="8"/>
      <c r="AE81" s="25"/>
      <c r="AF81" s="11"/>
      <c r="AG81" s="25"/>
      <c r="AH81" s="11"/>
      <c r="AI81" s="11">
        <v>85</v>
      </c>
      <c r="AJ81" s="19">
        <v>0</v>
      </c>
      <c r="AK81" s="12">
        <f>(AJ81+AI81)/30*7</f>
        <v>19.833333333333336</v>
      </c>
      <c r="AL81" s="6">
        <f>IF(AK81-C81&lt;0,0,AK81-C81)</f>
        <v>0</v>
      </c>
      <c r="AM81" s="6">
        <f>IF(AL81-R81-S81&lt;0,0,AL81-R81-S81)</f>
        <v>0</v>
      </c>
      <c r="AN81" s="5" t="str">
        <f t="shared" si="3"/>
        <v/>
      </c>
      <c r="AO81" s="5">
        <v>0</v>
      </c>
      <c r="AP81" s="9"/>
      <c r="AQ81" s="5" t="s">
        <v>1210</v>
      </c>
      <c r="AR81" s="5" t="s">
        <v>1210</v>
      </c>
      <c r="AS81" s="8"/>
      <c r="AT81" s="8"/>
      <c r="AU81" s="8"/>
      <c r="AV81" s="8"/>
      <c r="AW81" s="8"/>
      <c r="AX81" s="8"/>
      <c r="AY81" s="8"/>
      <c r="AZ81" s="8"/>
      <c r="BB81" s="28"/>
      <c r="BC81" s="28"/>
    </row>
    <row r="82" spans="1:55">
      <c r="A82" s="5" t="s">
        <v>829</v>
      </c>
      <c r="B82" s="5">
        <v>1291</v>
      </c>
      <c r="C82" s="19">
        <v>40</v>
      </c>
      <c r="E82" s="14"/>
      <c r="F82" s="11"/>
      <c r="G82" s="11"/>
      <c r="H82" s="11"/>
      <c r="I82" s="11"/>
      <c r="J82" s="25"/>
      <c r="K82" s="11"/>
      <c r="L82" s="11"/>
      <c r="M82" s="19">
        <v>0</v>
      </c>
      <c r="O82" s="6"/>
      <c r="P82" s="16">
        <v>0</v>
      </c>
      <c r="Q82" s="16">
        <v>0</v>
      </c>
      <c r="R82" s="22"/>
      <c r="S82" s="22">
        <f t="shared" si="2"/>
        <v>0</v>
      </c>
      <c r="T82" s="5" t="s">
        <v>1210</v>
      </c>
      <c r="U82" s="5" t="s">
        <v>1210</v>
      </c>
      <c r="Y82" s="8"/>
      <c r="Z82" s="8"/>
      <c r="AA82" s="8"/>
      <c r="AB82" s="8"/>
      <c r="AC82" s="8"/>
      <c r="AD82" s="8"/>
      <c r="AE82" s="25"/>
      <c r="AF82" s="11"/>
      <c r="AG82" s="25"/>
      <c r="AH82" s="11"/>
      <c r="AI82" s="11">
        <v>85</v>
      </c>
      <c r="AJ82" s="19">
        <v>0</v>
      </c>
      <c r="AK82" s="12">
        <f>(AJ82+AI82)/30*7</f>
        <v>19.833333333333336</v>
      </c>
      <c r="AL82" s="6">
        <f>IF(AK82-C82&lt;0,0,AK82-C82)</f>
        <v>0</v>
      </c>
      <c r="AM82" s="6">
        <f>IF(AL82-R82-S82&lt;0,0,AL82-R82-S82)</f>
        <v>0</v>
      </c>
      <c r="AN82" s="5" t="str">
        <f t="shared" si="3"/>
        <v/>
      </c>
      <c r="AO82" s="5">
        <v>0</v>
      </c>
      <c r="AP82" s="9"/>
      <c r="AQ82" s="5" t="s">
        <v>1210</v>
      </c>
      <c r="AR82" s="5" t="s">
        <v>1210</v>
      </c>
      <c r="AS82" s="8"/>
      <c r="AT82" s="8"/>
      <c r="AU82" s="8"/>
      <c r="AV82" s="8"/>
      <c r="AW82" s="8"/>
      <c r="AX82" s="8"/>
      <c r="AY82" s="8"/>
      <c r="AZ82" s="8"/>
      <c r="BB82" s="28"/>
      <c r="BC82" s="28"/>
    </row>
    <row r="83" spans="1:55">
      <c r="A83" s="5" t="s">
        <v>589</v>
      </c>
      <c r="B83" s="5">
        <v>1343</v>
      </c>
      <c r="C83" s="19">
        <v>38</v>
      </c>
      <c r="E83" s="14"/>
      <c r="F83" s="11"/>
      <c r="G83" s="11"/>
      <c r="H83" s="11"/>
      <c r="I83" s="11"/>
      <c r="J83" s="25"/>
      <c r="K83" s="11"/>
      <c r="L83" s="11"/>
      <c r="M83" s="19">
        <v>0</v>
      </c>
      <c r="O83" s="6"/>
      <c r="P83" s="16">
        <v>0</v>
      </c>
      <c r="Q83" s="16">
        <v>0</v>
      </c>
      <c r="R83" s="22"/>
      <c r="S83" s="22">
        <f t="shared" si="2"/>
        <v>0</v>
      </c>
      <c r="T83" s="5" t="s">
        <v>1210</v>
      </c>
      <c r="U83" s="5" t="s">
        <v>1210</v>
      </c>
      <c r="Y83" s="8"/>
      <c r="Z83" s="8"/>
      <c r="AA83" s="8"/>
      <c r="AB83" s="8"/>
      <c r="AC83" s="8"/>
      <c r="AD83" s="8"/>
      <c r="AE83" s="25"/>
      <c r="AF83" s="11"/>
      <c r="AG83" s="25"/>
      <c r="AH83" s="11"/>
      <c r="AI83" s="11">
        <v>85</v>
      </c>
      <c r="AJ83" s="19">
        <v>0</v>
      </c>
      <c r="AK83" s="12">
        <f>(AJ83+AI83)/30*7</f>
        <v>19.833333333333336</v>
      </c>
      <c r="AL83" s="6">
        <f>IF(AK83-C83&lt;0,0,AK83-C83)</f>
        <v>0</v>
      </c>
      <c r="AM83" s="6">
        <f>IF(AL83-R83-S83&lt;0,0,AL83-R83-S83)</f>
        <v>0</v>
      </c>
      <c r="AN83" s="5" t="str">
        <f t="shared" si="3"/>
        <v/>
      </c>
      <c r="AO83" s="5">
        <v>0</v>
      </c>
      <c r="AP83" s="9"/>
      <c r="AQ83" s="5" t="s">
        <v>1210</v>
      </c>
      <c r="AR83" s="5" t="s">
        <v>1210</v>
      </c>
      <c r="AS83" s="8"/>
      <c r="AT83" s="8"/>
      <c r="AU83" s="8"/>
      <c r="AV83" s="8"/>
      <c r="AW83" s="8"/>
      <c r="AX83" s="8"/>
      <c r="AY83" s="8"/>
      <c r="AZ83" s="8"/>
      <c r="BB83" s="28"/>
      <c r="BC83" s="28"/>
    </row>
    <row r="84" spans="1:55">
      <c r="A84" s="5" t="s">
        <v>58</v>
      </c>
      <c r="B84" s="5">
        <v>1397</v>
      </c>
      <c r="C84" s="19">
        <v>35</v>
      </c>
      <c r="E84" s="14"/>
      <c r="F84" s="11"/>
      <c r="G84" s="11"/>
      <c r="H84" s="11"/>
      <c r="I84" s="11"/>
      <c r="J84" s="25"/>
      <c r="K84" s="11"/>
      <c r="L84" s="11"/>
      <c r="M84" s="19">
        <v>0</v>
      </c>
      <c r="O84" s="6"/>
      <c r="P84" s="16">
        <v>0</v>
      </c>
      <c r="Q84" s="16">
        <v>0</v>
      </c>
      <c r="R84" s="22"/>
      <c r="S84" s="22">
        <f t="shared" si="2"/>
        <v>0</v>
      </c>
      <c r="T84" s="5">
        <v>2094</v>
      </c>
      <c r="U84" s="5">
        <v>577</v>
      </c>
      <c r="Y84" s="8"/>
      <c r="Z84" s="8"/>
      <c r="AA84" s="8"/>
      <c r="AB84" s="8"/>
      <c r="AC84" s="8"/>
      <c r="AD84" s="8"/>
      <c r="AE84" s="25"/>
      <c r="AF84" s="11"/>
      <c r="AG84" s="25"/>
      <c r="AH84" s="11"/>
      <c r="AI84" s="11">
        <v>85</v>
      </c>
      <c r="AJ84" s="19">
        <v>0</v>
      </c>
      <c r="AK84" s="12">
        <f>(AJ84+AI84)/30*7</f>
        <v>19.833333333333336</v>
      </c>
      <c r="AL84" s="6">
        <f>IF(AK84-C84&lt;0,0,AK84-C84)</f>
        <v>0</v>
      </c>
      <c r="AM84" s="6">
        <f>IF(AL84-R84-S84&lt;0,0,AL84-R84-S84)</f>
        <v>0</v>
      </c>
      <c r="AN84" s="5" t="str">
        <f t="shared" si="3"/>
        <v/>
      </c>
      <c r="AO84" s="5">
        <v>0</v>
      </c>
      <c r="AP84" s="9"/>
      <c r="AQ84" s="5" t="s">
        <v>1210</v>
      </c>
      <c r="AR84" s="5" t="s">
        <v>1230</v>
      </c>
      <c r="AS84" s="8"/>
      <c r="AT84" s="8"/>
      <c r="AU84" s="8"/>
      <c r="AV84" s="8"/>
      <c r="AW84" s="8"/>
      <c r="AX84" s="8"/>
      <c r="AY84" s="8"/>
      <c r="AZ84" s="8"/>
      <c r="BB84" s="28"/>
      <c r="BC84" s="28"/>
    </row>
    <row r="85" spans="1:55">
      <c r="A85" s="5" t="s">
        <v>683</v>
      </c>
      <c r="B85" s="5" t="s">
        <v>1164</v>
      </c>
      <c r="C85" s="19">
        <v>36</v>
      </c>
      <c r="E85" s="14"/>
      <c r="F85" s="11"/>
      <c r="G85" s="11"/>
      <c r="H85" s="11"/>
      <c r="I85" s="11"/>
      <c r="J85" s="25"/>
      <c r="K85" s="11"/>
      <c r="L85" s="11"/>
      <c r="M85" s="19">
        <v>0</v>
      </c>
      <c r="O85" s="6"/>
      <c r="P85" s="16">
        <v>0</v>
      </c>
      <c r="Q85" s="16">
        <v>0</v>
      </c>
      <c r="R85" s="22"/>
      <c r="S85" s="22">
        <f t="shared" si="2"/>
        <v>0</v>
      </c>
      <c r="T85" s="5" t="s">
        <v>1210</v>
      </c>
      <c r="U85" s="5" t="s">
        <v>1210</v>
      </c>
      <c r="Y85" s="8"/>
      <c r="Z85" s="8"/>
      <c r="AA85" s="8"/>
      <c r="AB85" s="8"/>
      <c r="AC85" s="8"/>
      <c r="AD85" s="8"/>
      <c r="AE85" s="25"/>
      <c r="AF85" s="11"/>
      <c r="AG85" s="25"/>
      <c r="AH85" s="11"/>
      <c r="AI85" s="11">
        <v>84</v>
      </c>
      <c r="AJ85" s="19">
        <v>0</v>
      </c>
      <c r="AK85" s="12">
        <f>(AJ85+AI85)/30*7</f>
        <v>19.599999999999998</v>
      </c>
      <c r="AL85" s="6">
        <f>IF(AK85-C85&lt;0,0,AK85-C85)</f>
        <v>0</v>
      </c>
      <c r="AM85" s="6">
        <f>IF(AL85-R85-S85&lt;0,0,AL85-R85-S85)</f>
        <v>0</v>
      </c>
      <c r="AN85" s="5" t="str">
        <f t="shared" si="3"/>
        <v/>
      </c>
      <c r="AO85" s="5">
        <v>0</v>
      </c>
      <c r="AP85" s="9"/>
      <c r="AQ85" s="5" t="s">
        <v>1210</v>
      </c>
      <c r="AR85" s="5" t="s">
        <v>1210</v>
      </c>
      <c r="AS85" s="8"/>
      <c r="AT85" s="8"/>
      <c r="AU85" s="8"/>
      <c r="AV85" s="8"/>
      <c r="AW85" s="8"/>
      <c r="AX85" s="8"/>
      <c r="AY85" s="8"/>
      <c r="AZ85" s="8"/>
      <c r="BB85" s="28"/>
      <c r="BC85" s="28"/>
    </row>
    <row r="86" spans="1:55">
      <c r="A86" s="5" t="s">
        <v>1047</v>
      </c>
      <c r="B86" s="5">
        <v>716</v>
      </c>
      <c r="C86" s="19">
        <v>33</v>
      </c>
      <c r="E86" s="14"/>
      <c r="F86" s="11"/>
      <c r="G86" s="11"/>
      <c r="H86" s="11"/>
      <c r="I86" s="11"/>
      <c r="J86" s="25"/>
      <c r="K86" s="11"/>
      <c r="L86" s="11"/>
      <c r="M86" s="19">
        <v>0</v>
      </c>
      <c r="O86" s="6"/>
      <c r="P86" s="16">
        <v>0</v>
      </c>
      <c r="Q86" s="16">
        <v>0</v>
      </c>
      <c r="R86" s="22"/>
      <c r="S86" s="22">
        <f t="shared" si="2"/>
        <v>0</v>
      </c>
      <c r="U86" s="5" t="s">
        <v>1210</v>
      </c>
      <c r="Y86" s="8"/>
      <c r="Z86" s="8"/>
      <c r="AA86" s="8"/>
      <c r="AB86" s="8"/>
      <c r="AC86" s="8"/>
      <c r="AD86" s="8"/>
      <c r="AE86" s="25"/>
      <c r="AF86" s="11"/>
      <c r="AG86" s="25"/>
      <c r="AH86" s="11"/>
      <c r="AI86" s="11">
        <v>83</v>
      </c>
      <c r="AJ86" s="19">
        <v>0</v>
      </c>
      <c r="AK86" s="12">
        <f>(AJ86+AI86)/30*7</f>
        <v>19.366666666666667</v>
      </c>
      <c r="AL86" s="6">
        <f>IF(AK86-C86&lt;0,0,AK86-C86)</f>
        <v>0</v>
      </c>
      <c r="AM86" s="6">
        <f>IF(AL86-R86-S86&lt;0,0,AL86-R86-S86)</f>
        <v>0</v>
      </c>
      <c r="AN86" s="5" t="str">
        <f t="shared" si="3"/>
        <v/>
      </c>
      <c r="AO86" s="5">
        <v>0</v>
      </c>
      <c r="AP86" s="9"/>
      <c r="AS86" s="8"/>
      <c r="AT86" s="8"/>
      <c r="AU86" s="8"/>
      <c r="AV86" s="8"/>
      <c r="AW86" s="8"/>
      <c r="AX86" s="8"/>
      <c r="AY86" s="8"/>
      <c r="AZ86" s="8"/>
      <c r="BB86" s="28"/>
      <c r="BC86" s="28"/>
    </row>
    <row r="87" spans="1:55">
      <c r="A87" s="5" t="s">
        <v>398</v>
      </c>
      <c r="B87" s="5">
        <v>1414</v>
      </c>
      <c r="C87" s="19">
        <v>37</v>
      </c>
      <c r="E87" s="14"/>
      <c r="F87" s="11"/>
      <c r="G87" s="11"/>
      <c r="H87" s="11"/>
      <c r="I87" s="11"/>
      <c r="J87" s="25"/>
      <c r="K87" s="11"/>
      <c r="L87" s="11"/>
      <c r="M87" s="19">
        <v>0</v>
      </c>
      <c r="O87" s="6"/>
      <c r="P87" s="16">
        <v>0</v>
      </c>
      <c r="Q87" s="16">
        <v>0</v>
      </c>
      <c r="R87" s="22"/>
      <c r="S87" s="22">
        <f t="shared" si="2"/>
        <v>0</v>
      </c>
      <c r="T87" s="5">
        <v>2087</v>
      </c>
      <c r="U87" s="5">
        <v>699</v>
      </c>
      <c r="Y87" s="8"/>
      <c r="Z87" s="8"/>
      <c r="AA87" s="8"/>
      <c r="AB87" s="8"/>
      <c r="AC87" s="8"/>
      <c r="AD87" s="8"/>
      <c r="AE87" s="25"/>
      <c r="AF87" s="11"/>
      <c r="AG87" s="25"/>
      <c r="AH87" s="11"/>
      <c r="AI87" s="11">
        <v>83</v>
      </c>
      <c r="AJ87" s="19">
        <v>0</v>
      </c>
      <c r="AK87" s="12">
        <f>(AJ87+AI87)/30*7</f>
        <v>19.366666666666667</v>
      </c>
      <c r="AL87" s="6">
        <f>IF(AK87-C87&lt;0,0,AK87-C87)</f>
        <v>0</v>
      </c>
      <c r="AM87" s="6">
        <f>IF(AL87-R87-S87&lt;0,0,AL87-R87-S87)</f>
        <v>0</v>
      </c>
      <c r="AN87" s="5" t="str">
        <f t="shared" si="3"/>
        <v/>
      </c>
      <c r="AO87" s="5">
        <v>0</v>
      </c>
      <c r="AP87" s="9"/>
      <c r="AQ87" s="5" t="s">
        <v>1210</v>
      </c>
      <c r="AR87" s="5" t="s">
        <v>1230</v>
      </c>
      <c r="AS87" s="8"/>
      <c r="AT87" s="8"/>
      <c r="AU87" s="8"/>
      <c r="AV87" s="8"/>
      <c r="AW87" s="8"/>
      <c r="AX87" s="8"/>
      <c r="AY87" s="8"/>
      <c r="AZ87" s="8"/>
      <c r="BB87" s="28"/>
      <c r="BC87" s="28"/>
    </row>
    <row r="88" spans="1:55">
      <c r="A88" s="5" t="s">
        <v>628</v>
      </c>
      <c r="B88" s="5">
        <v>1543</v>
      </c>
      <c r="C88" s="19">
        <v>22</v>
      </c>
      <c r="E88" s="14"/>
      <c r="F88" s="11"/>
      <c r="G88" s="11"/>
      <c r="H88" s="11"/>
      <c r="I88" s="11"/>
      <c r="J88" s="25"/>
      <c r="K88" s="11"/>
      <c r="L88" s="11"/>
      <c r="M88" s="19">
        <v>0</v>
      </c>
      <c r="O88" s="6"/>
      <c r="P88" s="16">
        <v>0</v>
      </c>
      <c r="Q88" s="16">
        <v>0</v>
      </c>
      <c r="R88" s="22"/>
      <c r="S88" s="22">
        <f t="shared" si="2"/>
        <v>0</v>
      </c>
      <c r="T88" s="5">
        <v>1971</v>
      </c>
      <c r="U88" s="5">
        <v>593</v>
      </c>
      <c r="Y88" s="8"/>
      <c r="Z88" s="8"/>
      <c r="AA88" s="8"/>
      <c r="AB88" s="8"/>
      <c r="AC88" s="8"/>
      <c r="AD88" s="8"/>
      <c r="AE88" s="25"/>
      <c r="AF88" s="11"/>
      <c r="AG88" s="25"/>
      <c r="AH88" s="11"/>
      <c r="AI88" s="11">
        <v>83</v>
      </c>
      <c r="AJ88" s="19">
        <v>0</v>
      </c>
      <c r="AK88" s="12">
        <f>(AJ88+AI88)/30*7</f>
        <v>19.366666666666667</v>
      </c>
      <c r="AL88" s="6">
        <f>IF(AK88-C88&lt;0,0,AK88-C88)</f>
        <v>0</v>
      </c>
      <c r="AM88" s="6">
        <f>IF(AL88-R88-S88&lt;0,0,AL88-R88-S88)</f>
        <v>0</v>
      </c>
      <c r="AN88" s="5" t="str">
        <f t="shared" si="3"/>
        <v/>
      </c>
      <c r="AO88" s="5">
        <v>0</v>
      </c>
      <c r="AP88" s="9"/>
      <c r="AQ88" s="5" t="s">
        <v>1210</v>
      </c>
      <c r="AR88" s="5" t="s">
        <v>1210</v>
      </c>
      <c r="AS88" s="8"/>
      <c r="AT88" s="8"/>
      <c r="AU88" s="8"/>
      <c r="AV88" s="8"/>
      <c r="AW88" s="8"/>
      <c r="AX88" s="8"/>
      <c r="AY88" s="8"/>
      <c r="AZ88" s="8"/>
      <c r="BB88" s="28"/>
      <c r="BC88" s="28"/>
    </row>
    <row r="89" spans="1:55">
      <c r="A89" s="5" t="s">
        <v>660</v>
      </c>
      <c r="B89" s="5">
        <v>215</v>
      </c>
      <c r="C89" s="19">
        <v>39</v>
      </c>
      <c r="E89" s="14"/>
      <c r="F89" s="11"/>
      <c r="G89" s="11"/>
      <c r="H89" s="11"/>
      <c r="I89" s="11"/>
      <c r="J89" s="25"/>
      <c r="K89" s="11"/>
      <c r="L89" s="11"/>
      <c r="M89" s="19">
        <v>0</v>
      </c>
      <c r="O89" s="6"/>
      <c r="P89" s="16">
        <v>0</v>
      </c>
      <c r="Q89" s="16">
        <v>0</v>
      </c>
      <c r="R89" s="22"/>
      <c r="S89" s="22">
        <f t="shared" si="2"/>
        <v>0</v>
      </c>
      <c r="T89" s="5" t="s">
        <v>1210</v>
      </c>
      <c r="U89" s="5" t="s">
        <v>1210</v>
      </c>
      <c r="Y89" s="8"/>
      <c r="Z89" s="8"/>
      <c r="AA89" s="8"/>
      <c r="AB89" s="8"/>
      <c r="AC89" s="8"/>
      <c r="AD89" s="8"/>
      <c r="AE89" s="25"/>
      <c r="AF89" s="11"/>
      <c r="AG89" s="25"/>
      <c r="AH89" s="11"/>
      <c r="AI89" s="11">
        <v>82</v>
      </c>
      <c r="AJ89" s="19">
        <v>0</v>
      </c>
      <c r="AK89" s="12">
        <f>(AJ89+AI89)/30*7</f>
        <v>19.133333333333333</v>
      </c>
      <c r="AL89" s="6">
        <f>IF(AK89-C89&lt;0,0,AK89-C89)</f>
        <v>0</v>
      </c>
      <c r="AM89" s="6">
        <f>IF(AL89-R89-S89&lt;0,0,AL89-R89-S89)</f>
        <v>0</v>
      </c>
      <c r="AN89" s="5" t="str">
        <f t="shared" si="3"/>
        <v/>
      </c>
      <c r="AO89" s="5">
        <v>0</v>
      </c>
      <c r="AP89" s="9"/>
      <c r="AQ89" s="5" t="s">
        <v>1210</v>
      </c>
      <c r="AR89" s="5" t="s">
        <v>1210</v>
      </c>
      <c r="AS89" s="8"/>
      <c r="AT89" s="8"/>
      <c r="AU89" s="8"/>
      <c r="AV89" s="8"/>
      <c r="AW89" s="8"/>
      <c r="AX89" s="8"/>
      <c r="AY89" s="8"/>
      <c r="AZ89" s="8"/>
      <c r="BB89" s="28"/>
      <c r="BC89" s="28"/>
    </row>
    <row r="90" spans="1:55">
      <c r="A90" s="5" t="s">
        <v>993</v>
      </c>
      <c r="B90" s="5">
        <v>418</v>
      </c>
      <c r="C90" s="19">
        <v>28</v>
      </c>
      <c r="E90" s="14"/>
      <c r="F90" s="11"/>
      <c r="G90" s="11"/>
      <c r="H90" s="11"/>
      <c r="I90" s="11"/>
      <c r="J90" s="25"/>
      <c r="K90" s="11"/>
      <c r="L90" s="11"/>
      <c r="M90" s="19">
        <v>0</v>
      </c>
      <c r="O90" s="6"/>
      <c r="P90" s="16">
        <v>0</v>
      </c>
      <c r="Q90" s="16">
        <v>0</v>
      </c>
      <c r="R90" s="22"/>
      <c r="S90" s="22">
        <f t="shared" si="2"/>
        <v>0</v>
      </c>
      <c r="T90" s="5" t="s">
        <v>1210</v>
      </c>
      <c r="U90" s="5" t="s">
        <v>1210</v>
      </c>
      <c r="Y90" s="8"/>
      <c r="Z90" s="8"/>
      <c r="AA90" s="8"/>
      <c r="AB90" s="8"/>
      <c r="AC90" s="8"/>
      <c r="AD90" s="8"/>
      <c r="AE90" s="25"/>
      <c r="AF90" s="11"/>
      <c r="AG90" s="25"/>
      <c r="AH90" s="11"/>
      <c r="AI90" s="11">
        <v>82</v>
      </c>
      <c r="AJ90" s="19">
        <v>0</v>
      </c>
      <c r="AK90" s="12">
        <f>(AJ90+AI90)/30*7</f>
        <v>19.133333333333333</v>
      </c>
      <c r="AL90" s="6">
        <f>IF(AK90-C90&lt;0,0,AK90-C90)</f>
        <v>0</v>
      </c>
      <c r="AM90" s="6">
        <f>IF(AL90-R90-S90&lt;0,0,AL90-R90-S90)</f>
        <v>0</v>
      </c>
      <c r="AN90" s="5" t="str">
        <f t="shared" si="3"/>
        <v/>
      </c>
      <c r="AO90" s="5">
        <v>0</v>
      </c>
      <c r="AP90" s="9"/>
      <c r="AQ90" s="5" t="s">
        <v>1210</v>
      </c>
      <c r="AR90" s="5" t="s">
        <v>1210</v>
      </c>
      <c r="AS90" s="8"/>
      <c r="AT90" s="8"/>
      <c r="AU90" s="8"/>
      <c r="AV90" s="8"/>
      <c r="AW90" s="8"/>
      <c r="AX90" s="8"/>
      <c r="AY90" s="8"/>
      <c r="AZ90" s="8"/>
      <c r="BB90" s="28"/>
      <c r="BC90" s="28"/>
    </row>
    <row r="91" spans="1:55">
      <c r="A91" s="5" t="s">
        <v>1039</v>
      </c>
      <c r="B91" s="5">
        <v>942</v>
      </c>
      <c r="C91" s="19">
        <v>36</v>
      </c>
      <c r="E91" s="14"/>
      <c r="F91" s="11"/>
      <c r="G91" s="11"/>
      <c r="H91" s="11"/>
      <c r="I91" s="11"/>
      <c r="J91" s="25"/>
      <c r="K91" s="11"/>
      <c r="L91" s="11"/>
      <c r="M91" s="19">
        <v>0</v>
      </c>
      <c r="O91" s="6"/>
      <c r="P91" s="16">
        <v>0</v>
      </c>
      <c r="Q91" s="16">
        <v>0</v>
      </c>
      <c r="R91" s="22"/>
      <c r="S91" s="22">
        <f t="shared" si="2"/>
        <v>0</v>
      </c>
      <c r="T91" s="5">
        <v>790</v>
      </c>
      <c r="U91" s="5">
        <v>903</v>
      </c>
      <c r="Y91" s="8"/>
      <c r="Z91" s="8"/>
      <c r="AA91" s="8"/>
      <c r="AB91" s="8"/>
      <c r="AC91" s="8"/>
      <c r="AD91" s="8"/>
      <c r="AE91" s="25"/>
      <c r="AF91" s="11"/>
      <c r="AG91" s="25"/>
      <c r="AH91" s="11"/>
      <c r="AI91" s="11">
        <v>82</v>
      </c>
      <c r="AJ91" s="19">
        <v>0</v>
      </c>
      <c r="AK91" s="12">
        <f>(AJ91+AI91)/30*7</f>
        <v>19.133333333333333</v>
      </c>
      <c r="AL91" s="6">
        <f>IF(AK91-C91&lt;0,0,AK91-C91)</f>
        <v>0</v>
      </c>
      <c r="AM91" s="6">
        <f>IF(AL91-R91-S91&lt;0,0,AL91-R91-S91)</f>
        <v>0</v>
      </c>
      <c r="AN91" s="5" t="str">
        <f t="shared" si="3"/>
        <v/>
      </c>
      <c r="AO91" s="5">
        <v>0</v>
      </c>
      <c r="AP91" s="9"/>
      <c r="AQ91" s="5" t="s">
        <v>1210</v>
      </c>
      <c r="AR91" s="5" t="s">
        <v>1210</v>
      </c>
      <c r="AS91" s="8"/>
      <c r="AT91" s="8"/>
      <c r="AU91" s="8"/>
      <c r="AV91" s="8"/>
      <c r="AW91" s="8"/>
      <c r="AX91" s="8"/>
      <c r="AY91" s="8"/>
      <c r="AZ91" s="8"/>
      <c r="BB91" s="28"/>
      <c r="BC91" s="28"/>
    </row>
    <row r="92" spans="1:55">
      <c r="A92" s="5" t="s">
        <v>795</v>
      </c>
      <c r="B92" s="5">
        <v>1212</v>
      </c>
      <c r="C92" s="19">
        <v>36</v>
      </c>
      <c r="E92" s="14"/>
      <c r="F92" s="11"/>
      <c r="G92" s="11"/>
      <c r="H92" s="11"/>
      <c r="I92" s="11"/>
      <c r="J92" s="25"/>
      <c r="K92" s="11"/>
      <c r="L92" s="11"/>
      <c r="M92" s="19">
        <v>0</v>
      </c>
      <c r="O92" s="6"/>
      <c r="P92" s="16">
        <v>0</v>
      </c>
      <c r="Q92" s="16">
        <v>0</v>
      </c>
      <c r="R92" s="22"/>
      <c r="S92" s="22">
        <f t="shared" si="2"/>
        <v>0</v>
      </c>
      <c r="T92" s="5">
        <v>1632</v>
      </c>
      <c r="U92" s="5">
        <v>942</v>
      </c>
      <c r="Y92" s="8"/>
      <c r="Z92" s="8"/>
      <c r="AA92" s="8"/>
      <c r="AB92" s="8"/>
      <c r="AC92" s="8"/>
      <c r="AD92" s="8"/>
      <c r="AE92" s="25"/>
      <c r="AF92" s="11"/>
      <c r="AG92" s="25"/>
      <c r="AH92" s="11"/>
      <c r="AI92" s="11">
        <v>82</v>
      </c>
      <c r="AJ92" s="19">
        <v>0</v>
      </c>
      <c r="AK92" s="12">
        <f>(AJ92+AI92)/30*7</f>
        <v>19.133333333333333</v>
      </c>
      <c r="AL92" s="6">
        <f>IF(AK92-C92&lt;0,0,AK92-C92)</f>
        <v>0</v>
      </c>
      <c r="AM92" s="6">
        <f>IF(AL92-R92-S92&lt;0,0,AL92-R92-S92)</f>
        <v>0</v>
      </c>
      <c r="AN92" s="5" t="str">
        <f t="shared" si="3"/>
        <v/>
      </c>
      <c r="AO92" s="5">
        <v>0</v>
      </c>
      <c r="AP92" s="9"/>
      <c r="AQ92" s="5" t="s">
        <v>1210</v>
      </c>
      <c r="AR92" s="5" t="s">
        <v>1210</v>
      </c>
      <c r="AS92" s="8"/>
      <c r="AT92" s="8"/>
      <c r="AU92" s="8"/>
      <c r="AV92" s="8"/>
      <c r="AW92" s="8"/>
      <c r="AX92" s="8"/>
      <c r="AY92" s="8"/>
      <c r="AZ92" s="8"/>
      <c r="BB92" s="28"/>
      <c r="BC92" s="28"/>
    </row>
    <row r="93" spans="1:55">
      <c r="A93" s="5" t="s">
        <v>1111</v>
      </c>
      <c r="B93" s="5">
        <v>2102</v>
      </c>
      <c r="C93" s="19">
        <v>27</v>
      </c>
      <c r="E93" s="14"/>
      <c r="F93" s="11"/>
      <c r="G93" s="11"/>
      <c r="H93" s="11"/>
      <c r="I93" s="11"/>
      <c r="J93" s="25"/>
      <c r="K93" s="11"/>
      <c r="L93" s="11"/>
      <c r="M93" s="19">
        <v>0</v>
      </c>
      <c r="O93" s="6"/>
      <c r="P93" s="16">
        <v>0</v>
      </c>
      <c r="Q93" s="16">
        <v>0</v>
      </c>
      <c r="R93" s="22"/>
      <c r="S93" s="22">
        <f t="shared" si="2"/>
        <v>0</v>
      </c>
      <c r="T93" s="5">
        <v>1878</v>
      </c>
      <c r="U93" s="5">
        <v>328</v>
      </c>
      <c r="Y93" s="8"/>
      <c r="Z93" s="8"/>
      <c r="AA93" s="8"/>
      <c r="AB93" s="8"/>
      <c r="AC93" s="8"/>
      <c r="AD93" s="8"/>
      <c r="AE93" s="25"/>
      <c r="AF93" s="11"/>
      <c r="AG93" s="25"/>
      <c r="AH93" s="11"/>
      <c r="AI93" s="11">
        <v>82</v>
      </c>
      <c r="AJ93" s="19">
        <v>0</v>
      </c>
      <c r="AK93" s="12">
        <f>(AJ93+AI93)/30*7</f>
        <v>19.133333333333333</v>
      </c>
      <c r="AL93" s="6">
        <f>IF(AK93-C93&lt;0,0,AK93-C93)</f>
        <v>0</v>
      </c>
      <c r="AM93" s="6">
        <f>IF(AL93-R93-S93&lt;0,0,AL93-R93-S93)</f>
        <v>0</v>
      </c>
      <c r="AN93" s="5" t="str">
        <f t="shared" si="3"/>
        <v/>
      </c>
      <c r="AO93" s="5">
        <v>0</v>
      </c>
      <c r="AP93" s="9"/>
      <c r="AQ93" s="5" t="s">
        <v>1210</v>
      </c>
      <c r="AR93" s="5" t="s">
        <v>1230</v>
      </c>
      <c r="AS93" s="8"/>
      <c r="AT93" s="8"/>
      <c r="AU93" s="8"/>
      <c r="AV93" s="8"/>
      <c r="AW93" s="8"/>
      <c r="AX93" s="8"/>
      <c r="AY93" s="8"/>
      <c r="AZ93" s="8"/>
      <c r="BB93" s="28"/>
      <c r="BC93" s="28"/>
    </row>
    <row r="94" spans="1:55">
      <c r="A94" s="5" t="s">
        <v>704</v>
      </c>
      <c r="B94" s="5">
        <v>625</v>
      </c>
      <c r="C94" s="19">
        <v>25</v>
      </c>
      <c r="E94" s="14"/>
      <c r="F94" s="11"/>
      <c r="G94" s="11"/>
      <c r="H94" s="11"/>
      <c r="I94" s="11"/>
      <c r="J94" s="25"/>
      <c r="K94" s="11"/>
      <c r="L94" s="11"/>
      <c r="M94" s="19">
        <v>0</v>
      </c>
      <c r="O94" s="6"/>
      <c r="P94" s="16">
        <v>0</v>
      </c>
      <c r="Q94" s="16">
        <v>0</v>
      </c>
      <c r="R94" s="22"/>
      <c r="S94" s="22">
        <f t="shared" si="2"/>
        <v>0</v>
      </c>
      <c r="T94" s="5" t="s">
        <v>1210</v>
      </c>
      <c r="U94" s="5" t="s">
        <v>1210</v>
      </c>
      <c r="Y94" s="8"/>
      <c r="Z94" s="8"/>
      <c r="AA94" s="8"/>
      <c r="AB94" s="8"/>
      <c r="AC94" s="8"/>
      <c r="AD94" s="8"/>
      <c r="AE94" s="25"/>
      <c r="AF94" s="11"/>
      <c r="AG94" s="25"/>
      <c r="AH94" s="11"/>
      <c r="AI94" s="11">
        <v>81</v>
      </c>
      <c r="AJ94" s="19">
        <v>0</v>
      </c>
      <c r="AK94" s="12">
        <f>(AJ94+AI94)/30*7</f>
        <v>18.900000000000002</v>
      </c>
      <c r="AL94" s="6">
        <f>IF(AK94-C94&lt;0,0,AK94-C94)</f>
        <v>0</v>
      </c>
      <c r="AM94" s="6">
        <f>IF(AL94-R94-S94&lt;0,0,AL94-R94-S94)</f>
        <v>0</v>
      </c>
      <c r="AN94" s="5" t="str">
        <f t="shared" si="3"/>
        <v/>
      </c>
      <c r="AO94" s="5">
        <v>0</v>
      </c>
      <c r="AP94" s="9"/>
      <c r="AQ94" s="5" t="s">
        <v>1210</v>
      </c>
      <c r="AR94" s="5" t="s">
        <v>1210</v>
      </c>
      <c r="AS94" s="8"/>
      <c r="AT94" s="8"/>
      <c r="AU94" s="8"/>
      <c r="AV94" s="8"/>
      <c r="AW94" s="8"/>
      <c r="AX94" s="8"/>
      <c r="AY94" s="8"/>
      <c r="AZ94" s="8"/>
      <c r="BB94" s="28"/>
      <c r="BC94" s="28"/>
    </row>
    <row r="95" spans="1:55">
      <c r="A95" s="5" t="s">
        <v>812</v>
      </c>
      <c r="B95" s="5">
        <v>873</v>
      </c>
      <c r="C95" s="19">
        <v>21</v>
      </c>
      <c r="E95" s="14"/>
      <c r="F95" s="11"/>
      <c r="G95" s="11"/>
      <c r="H95" s="11"/>
      <c r="I95" s="11"/>
      <c r="J95" s="25"/>
      <c r="K95" s="11"/>
      <c r="L95" s="11"/>
      <c r="M95" s="19">
        <v>0</v>
      </c>
      <c r="O95" s="6"/>
      <c r="P95" s="16">
        <v>348</v>
      </c>
      <c r="Q95" s="16">
        <v>475</v>
      </c>
      <c r="R95" s="22"/>
      <c r="S95" s="22">
        <f t="shared" si="2"/>
        <v>0</v>
      </c>
      <c r="T95" s="5">
        <v>876</v>
      </c>
      <c r="U95" s="5">
        <v>959</v>
      </c>
      <c r="Y95" s="8"/>
      <c r="Z95" s="8"/>
      <c r="AA95" s="8"/>
      <c r="AB95" s="8"/>
      <c r="AC95" s="8"/>
      <c r="AD95" s="8"/>
      <c r="AE95" s="25"/>
      <c r="AF95" s="11"/>
      <c r="AG95" s="25"/>
      <c r="AH95" s="11"/>
      <c r="AI95" s="11">
        <v>81</v>
      </c>
      <c r="AJ95" s="19">
        <v>0</v>
      </c>
      <c r="AK95" s="12">
        <f>(AJ95+AI95)/30*7</f>
        <v>18.900000000000002</v>
      </c>
      <c r="AL95" s="6">
        <f>IF(AK95-C95&lt;0,0,AK95-C95)</f>
        <v>0</v>
      </c>
      <c r="AM95" s="6">
        <f>IF(AL95-R95-S95&lt;0,0,AL95-R95-S95)</f>
        <v>0</v>
      </c>
      <c r="AN95" s="5" t="str">
        <f t="shared" si="3"/>
        <v/>
      </c>
      <c r="AO95" s="5">
        <v>0</v>
      </c>
      <c r="AP95" s="9"/>
      <c r="AQ95" s="5" t="s">
        <v>1210</v>
      </c>
      <c r="AR95" s="5" t="s">
        <v>1230</v>
      </c>
      <c r="AS95" s="8"/>
      <c r="AT95" s="8"/>
      <c r="AU95" s="8"/>
      <c r="AV95" s="8"/>
      <c r="AW95" s="8"/>
      <c r="AX95" s="8"/>
      <c r="AY95" s="8"/>
      <c r="AZ95" s="8"/>
      <c r="BB95" s="28"/>
      <c r="BC95" s="28"/>
    </row>
    <row r="96" spans="1:55">
      <c r="A96" s="5" t="s">
        <v>918</v>
      </c>
      <c r="B96" s="5">
        <v>1625</v>
      </c>
      <c r="C96" s="19">
        <v>27</v>
      </c>
      <c r="E96" s="14"/>
      <c r="F96" s="11"/>
      <c r="G96" s="11"/>
      <c r="H96" s="11"/>
      <c r="I96" s="11"/>
      <c r="J96" s="25"/>
      <c r="K96" s="11"/>
      <c r="L96" s="11"/>
      <c r="M96" s="19">
        <v>0</v>
      </c>
      <c r="O96" s="6"/>
      <c r="P96" s="16">
        <v>0</v>
      </c>
      <c r="Q96" s="16">
        <v>0</v>
      </c>
      <c r="R96" s="22"/>
      <c r="S96" s="22">
        <f t="shared" si="2"/>
        <v>0</v>
      </c>
      <c r="T96" s="5">
        <v>1697</v>
      </c>
      <c r="U96" s="5">
        <v>739</v>
      </c>
      <c r="Y96" s="8"/>
      <c r="Z96" s="8"/>
      <c r="AA96" s="8"/>
      <c r="AB96" s="8"/>
      <c r="AC96" s="8"/>
      <c r="AD96" s="8"/>
      <c r="AE96" s="25"/>
      <c r="AF96" s="11"/>
      <c r="AG96" s="25"/>
      <c r="AH96" s="11"/>
      <c r="AI96" s="11">
        <v>81</v>
      </c>
      <c r="AJ96" s="19">
        <v>0</v>
      </c>
      <c r="AK96" s="12">
        <f>(AJ96+AI96)/30*7</f>
        <v>18.900000000000002</v>
      </c>
      <c r="AL96" s="6">
        <f>IF(AK96-C96&lt;0,0,AK96-C96)</f>
        <v>0</v>
      </c>
      <c r="AM96" s="6">
        <f>IF(AL96-R96-S96&lt;0,0,AL96-R96-S96)</f>
        <v>0</v>
      </c>
      <c r="AN96" s="5" t="str">
        <f t="shared" si="3"/>
        <v/>
      </c>
      <c r="AO96" s="5">
        <v>0</v>
      </c>
      <c r="AP96" s="9"/>
      <c r="AQ96" s="5" t="s">
        <v>1210</v>
      </c>
      <c r="AR96" s="5" t="s">
        <v>1210</v>
      </c>
      <c r="AS96" s="8"/>
      <c r="AT96" s="8"/>
      <c r="AU96" s="8"/>
      <c r="AV96" s="8"/>
      <c r="AW96" s="8"/>
      <c r="AX96" s="8"/>
      <c r="AY96" s="8"/>
      <c r="AZ96" s="8"/>
      <c r="BB96" s="28"/>
      <c r="BC96" s="28"/>
    </row>
    <row r="97" spans="1:55">
      <c r="A97" s="5" t="s">
        <v>869</v>
      </c>
      <c r="B97" s="5" t="s">
        <v>1178</v>
      </c>
      <c r="C97" s="19">
        <v>23</v>
      </c>
      <c r="E97" s="14"/>
      <c r="F97" s="11"/>
      <c r="G97" s="11"/>
      <c r="H97" s="11"/>
      <c r="I97" s="11"/>
      <c r="J97" s="25"/>
      <c r="K97" s="11"/>
      <c r="L97" s="11"/>
      <c r="M97" s="19">
        <v>0</v>
      </c>
      <c r="O97" s="6"/>
      <c r="P97" s="16">
        <v>0</v>
      </c>
      <c r="Q97" s="16">
        <v>0</v>
      </c>
      <c r="R97" s="22"/>
      <c r="S97" s="22">
        <f t="shared" si="2"/>
        <v>0</v>
      </c>
      <c r="T97" s="5" t="s">
        <v>1210</v>
      </c>
      <c r="U97" s="5" t="s">
        <v>1210</v>
      </c>
      <c r="Y97" s="8"/>
      <c r="Z97" s="8"/>
      <c r="AA97" s="8"/>
      <c r="AB97" s="8"/>
      <c r="AC97" s="8"/>
      <c r="AD97" s="8"/>
      <c r="AE97" s="25"/>
      <c r="AF97" s="11"/>
      <c r="AG97" s="25"/>
      <c r="AH97" s="11"/>
      <c r="AI97" s="11">
        <v>81</v>
      </c>
      <c r="AJ97" s="19">
        <v>0</v>
      </c>
      <c r="AK97" s="12">
        <f>(AJ97+AI97)/30*7</f>
        <v>18.900000000000002</v>
      </c>
      <c r="AL97" s="6">
        <f>IF(AK97-C97&lt;0,0,AK97-C97)</f>
        <v>0</v>
      </c>
      <c r="AM97" s="6">
        <f>IF(AL97-R97-S97&lt;0,0,AL97-R97-S97)</f>
        <v>0</v>
      </c>
      <c r="AN97" s="5" t="str">
        <f t="shared" si="3"/>
        <v/>
      </c>
      <c r="AO97" s="5">
        <v>0</v>
      </c>
      <c r="AP97" s="9"/>
      <c r="AQ97" s="5" t="s">
        <v>1210</v>
      </c>
      <c r="AR97" s="5" t="s">
        <v>1210</v>
      </c>
      <c r="AS97" s="8"/>
      <c r="AT97" s="8"/>
      <c r="AU97" s="8"/>
      <c r="AV97" s="8"/>
      <c r="AW97" s="8"/>
      <c r="AX97" s="8"/>
      <c r="AY97" s="8"/>
      <c r="AZ97" s="8"/>
      <c r="BB97" s="28"/>
      <c r="BC97" s="28"/>
    </row>
    <row r="98" spans="1:55">
      <c r="A98" s="5" t="s">
        <v>838</v>
      </c>
      <c r="B98" s="5">
        <v>595</v>
      </c>
      <c r="C98" s="19">
        <v>29</v>
      </c>
      <c r="E98" s="14"/>
      <c r="F98" s="11"/>
      <c r="G98" s="11"/>
      <c r="H98" s="11"/>
      <c r="I98" s="11"/>
      <c r="J98" s="25"/>
      <c r="K98" s="11"/>
      <c r="L98" s="11"/>
      <c r="M98" s="19">
        <v>0</v>
      </c>
      <c r="O98" s="6"/>
      <c r="P98" s="16">
        <v>0</v>
      </c>
      <c r="Q98" s="16">
        <v>215</v>
      </c>
      <c r="R98" s="22"/>
      <c r="S98" s="22">
        <f t="shared" si="2"/>
        <v>0</v>
      </c>
      <c r="T98" s="5">
        <v>540</v>
      </c>
      <c r="U98" s="5">
        <v>524</v>
      </c>
      <c r="Y98" s="8"/>
      <c r="Z98" s="8"/>
      <c r="AA98" s="8"/>
      <c r="AB98" s="8"/>
      <c r="AC98" s="8"/>
      <c r="AD98" s="8"/>
      <c r="AE98" s="25"/>
      <c r="AF98" s="11"/>
      <c r="AG98" s="25"/>
      <c r="AH98" s="11"/>
      <c r="AI98" s="11">
        <v>80</v>
      </c>
      <c r="AJ98" s="19">
        <v>0</v>
      </c>
      <c r="AK98" s="12">
        <f>(AJ98+AI98)/30*7</f>
        <v>18.666666666666664</v>
      </c>
      <c r="AL98" s="6">
        <f>IF(AK98-C98&lt;0,0,AK98-C98)</f>
        <v>0</v>
      </c>
      <c r="AM98" s="6">
        <f>IF(AL98-R98-S98&lt;0,0,AL98-R98-S98)</f>
        <v>0</v>
      </c>
      <c r="AN98" s="5" t="str">
        <f t="shared" si="3"/>
        <v/>
      </c>
      <c r="AO98" s="5">
        <v>0</v>
      </c>
      <c r="AP98" s="9"/>
      <c r="AQ98" s="5" t="s">
        <v>1210</v>
      </c>
      <c r="AR98" s="5" t="s">
        <v>1210</v>
      </c>
      <c r="AS98" s="8"/>
      <c r="AT98" s="8"/>
      <c r="AU98" s="8"/>
      <c r="AV98" s="8"/>
      <c r="AW98" s="8"/>
      <c r="AX98" s="8"/>
      <c r="AY98" s="8"/>
      <c r="AZ98" s="8"/>
      <c r="BB98" s="28"/>
      <c r="BC98" s="28"/>
    </row>
    <row r="99" spans="1:55">
      <c r="A99" s="5" t="s">
        <v>757</v>
      </c>
      <c r="B99" s="5">
        <v>1011</v>
      </c>
      <c r="C99" s="19">
        <v>21</v>
      </c>
      <c r="E99" s="14"/>
      <c r="F99" s="11"/>
      <c r="G99" s="11"/>
      <c r="H99" s="11"/>
      <c r="I99" s="11"/>
      <c r="J99" s="25"/>
      <c r="K99" s="11"/>
      <c r="L99" s="11"/>
      <c r="M99" s="19">
        <v>0</v>
      </c>
      <c r="O99" s="6"/>
      <c r="P99" s="16">
        <v>0</v>
      </c>
      <c r="Q99" s="16">
        <v>0</v>
      </c>
      <c r="R99" s="22"/>
      <c r="S99" s="22">
        <f t="shared" si="2"/>
        <v>0</v>
      </c>
      <c r="T99" s="5">
        <v>1083</v>
      </c>
      <c r="U99" s="5">
        <v>580</v>
      </c>
      <c r="Y99" s="8"/>
      <c r="Z99" s="8"/>
      <c r="AA99" s="8"/>
      <c r="AB99" s="8"/>
      <c r="AC99" s="8"/>
      <c r="AD99" s="8"/>
      <c r="AE99" s="25"/>
      <c r="AF99" s="11"/>
      <c r="AG99" s="25"/>
      <c r="AH99" s="11"/>
      <c r="AI99" s="11">
        <v>80</v>
      </c>
      <c r="AJ99" s="19">
        <v>0</v>
      </c>
      <c r="AK99" s="12">
        <f>(AJ99+AI99)/30*7</f>
        <v>18.666666666666664</v>
      </c>
      <c r="AL99" s="6">
        <f>IF(AK99-C99&lt;0,0,AK99-C99)</f>
        <v>0</v>
      </c>
      <c r="AM99" s="6">
        <f>IF(AL99-R99-S99&lt;0,0,AL99-R99-S99)</f>
        <v>0</v>
      </c>
      <c r="AN99" s="5" t="str">
        <f t="shared" si="3"/>
        <v/>
      </c>
      <c r="AO99" s="5">
        <v>0</v>
      </c>
      <c r="AP99" s="9"/>
      <c r="AQ99" s="5" t="s">
        <v>1210</v>
      </c>
      <c r="AR99" s="5" t="s">
        <v>1210</v>
      </c>
      <c r="AS99" s="8"/>
      <c r="AT99" s="8"/>
      <c r="AU99" s="8"/>
      <c r="AV99" s="8"/>
      <c r="AW99" s="8"/>
      <c r="AX99" s="8"/>
      <c r="AY99" s="8"/>
      <c r="AZ99" s="8"/>
      <c r="BB99" s="28"/>
      <c r="BC99" s="28"/>
    </row>
    <row r="100" spans="1:55">
      <c r="A100" s="5" t="s">
        <v>1059</v>
      </c>
      <c r="B100" s="5">
        <v>1809</v>
      </c>
      <c r="C100" s="19">
        <v>35</v>
      </c>
      <c r="E100" s="14"/>
      <c r="F100" s="11"/>
      <c r="G100" s="11"/>
      <c r="H100" s="11"/>
      <c r="I100" s="11"/>
      <c r="J100" s="25"/>
      <c r="K100" s="11"/>
      <c r="L100" s="11"/>
      <c r="M100" s="19">
        <v>0</v>
      </c>
      <c r="O100" s="6"/>
      <c r="P100" s="16">
        <v>513</v>
      </c>
      <c r="Q100" s="16">
        <v>0</v>
      </c>
      <c r="R100" s="22"/>
      <c r="S100" s="22">
        <f t="shared" si="2"/>
        <v>0</v>
      </c>
      <c r="T100" s="5">
        <v>1734</v>
      </c>
      <c r="U100" s="5">
        <v>521</v>
      </c>
      <c r="Y100" s="8"/>
      <c r="Z100" s="8"/>
      <c r="AA100" s="8"/>
      <c r="AB100" s="8"/>
      <c r="AC100" s="8"/>
      <c r="AD100" s="8"/>
      <c r="AE100" s="25"/>
      <c r="AF100" s="11"/>
      <c r="AG100" s="25"/>
      <c r="AH100" s="11"/>
      <c r="AI100" s="11">
        <v>80</v>
      </c>
      <c r="AJ100" s="19">
        <v>0</v>
      </c>
      <c r="AK100" s="12">
        <f>(AJ100+AI100)/30*7</f>
        <v>18.666666666666664</v>
      </c>
      <c r="AL100" s="6">
        <f>IF(AK100-C100&lt;0,0,AK100-C100)</f>
        <v>0</v>
      </c>
      <c r="AM100" s="6">
        <f>IF(AL100-R100-S100&lt;0,0,AL100-R100-S100)</f>
        <v>0</v>
      </c>
      <c r="AN100" s="5" t="str">
        <f t="shared" si="3"/>
        <v/>
      </c>
      <c r="AO100" s="5">
        <v>0</v>
      </c>
      <c r="AP100" s="9"/>
      <c r="AQ100" s="5" t="s">
        <v>1210</v>
      </c>
      <c r="AR100" s="5" t="s">
        <v>1230</v>
      </c>
      <c r="AS100" s="8"/>
      <c r="AT100" s="8"/>
      <c r="AU100" s="8"/>
      <c r="AV100" s="8"/>
      <c r="AW100" s="8"/>
      <c r="AX100" s="8"/>
      <c r="AY100" s="8"/>
      <c r="AZ100" s="8"/>
      <c r="BB100" s="28"/>
      <c r="BC100" s="28"/>
    </row>
    <row r="101" spans="1:55">
      <c r="A101" s="5" t="s">
        <v>565</v>
      </c>
      <c r="B101" s="5">
        <v>392</v>
      </c>
      <c r="C101" s="19">
        <v>24</v>
      </c>
      <c r="E101" s="14"/>
      <c r="F101" s="11"/>
      <c r="G101" s="11"/>
      <c r="H101" s="11"/>
      <c r="I101" s="11"/>
      <c r="J101" s="25"/>
      <c r="K101" s="11"/>
      <c r="L101" s="11"/>
      <c r="M101" s="19">
        <v>0</v>
      </c>
      <c r="O101" s="6"/>
      <c r="P101" s="16">
        <v>0</v>
      </c>
      <c r="Q101" s="16">
        <v>0</v>
      </c>
      <c r="R101" s="22"/>
      <c r="S101" s="22">
        <f t="shared" si="2"/>
        <v>0</v>
      </c>
      <c r="T101" s="5" t="s">
        <v>1210</v>
      </c>
      <c r="U101" s="5" t="s">
        <v>1210</v>
      </c>
      <c r="Y101" s="8"/>
      <c r="Z101" s="8"/>
      <c r="AA101" s="8"/>
      <c r="AB101" s="8"/>
      <c r="AC101" s="8"/>
      <c r="AD101" s="8"/>
      <c r="AE101" s="25"/>
      <c r="AF101" s="11"/>
      <c r="AG101" s="25"/>
      <c r="AH101" s="11"/>
      <c r="AI101" s="11">
        <v>79</v>
      </c>
      <c r="AJ101" s="19">
        <v>0</v>
      </c>
      <c r="AK101" s="12">
        <f>(AJ101+AI101)/30*7</f>
        <v>18.433333333333334</v>
      </c>
      <c r="AL101" s="6">
        <f>IF(AK101-C101&lt;0,0,AK101-C101)</f>
        <v>0</v>
      </c>
      <c r="AM101" s="6">
        <f>IF(AL101-R101-S101&lt;0,0,AL101-R101-S101)</f>
        <v>0</v>
      </c>
      <c r="AN101" s="5" t="str">
        <f t="shared" si="3"/>
        <v/>
      </c>
      <c r="AO101" s="5">
        <v>0</v>
      </c>
      <c r="AP101" s="9"/>
      <c r="AQ101" s="5" t="s">
        <v>1210</v>
      </c>
      <c r="AR101" s="5" t="s">
        <v>1210</v>
      </c>
      <c r="AS101" s="8"/>
      <c r="AT101" s="8"/>
      <c r="AU101" s="8"/>
      <c r="AV101" s="8"/>
      <c r="AW101" s="8"/>
      <c r="AX101" s="8"/>
      <c r="AY101" s="8"/>
      <c r="AZ101" s="8"/>
    </row>
    <row r="102" spans="1:55">
      <c r="A102" s="5" t="s">
        <v>682</v>
      </c>
      <c r="B102" s="5">
        <v>433</v>
      </c>
      <c r="C102" s="19">
        <v>35</v>
      </c>
      <c r="E102" s="14"/>
      <c r="F102" s="11"/>
      <c r="G102" s="11"/>
      <c r="H102" s="11"/>
      <c r="I102" s="11"/>
      <c r="J102" s="25"/>
      <c r="K102" s="11"/>
      <c r="L102" s="11"/>
      <c r="M102" s="19">
        <v>0</v>
      </c>
      <c r="O102" s="6"/>
      <c r="P102" s="16">
        <v>0</v>
      </c>
      <c r="Q102" s="16">
        <v>0</v>
      </c>
      <c r="R102" s="22"/>
      <c r="S102" s="22">
        <f t="shared" si="2"/>
        <v>0</v>
      </c>
      <c r="T102" s="5">
        <v>389</v>
      </c>
      <c r="U102" s="5">
        <v>19</v>
      </c>
      <c r="Y102" s="8"/>
      <c r="Z102" s="8"/>
      <c r="AA102" s="8"/>
      <c r="AB102" s="8"/>
      <c r="AC102" s="8"/>
      <c r="AD102" s="8"/>
      <c r="AE102" s="25"/>
      <c r="AF102" s="11"/>
      <c r="AG102" s="25"/>
      <c r="AH102" s="11"/>
      <c r="AI102" s="11">
        <v>79</v>
      </c>
      <c r="AJ102" s="19">
        <v>0</v>
      </c>
      <c r="AK102" s="12">
        <f>(AJ102+AI102)/30*7</f>
        <v>18.433333333333334</v>
      </c>
      <c r="AL102" s="6">
        <f>IF(AK102-C102&lt;0,0,AK102-C102)</f>
        <v>0</v>
      </c>
      <c r="AM102" s="6">
        <f>IF(AL102-R102-S102&lt;0,0,AL102-R102-S102)</f>
        <v>0</v>
      </c>
      <c r="AN102" s="5" t="str">
        <f t="shared" si="3"/>
        <v/>
      </c>
      <c r="AO102" s="5">
        <v>0</v>
      </c>
      <c r="AP102" s="9"/>
      <c r="AQ102" s="5" t="s">
        <v>1210</v>
      </c>
      <c r="AR102" s="5" t="s">
        <v>1210</v>
      </c>
      <c r="AS102" s="8"/>
      <c r="AT102" s="8"/>
      <c r="AU102" s="8"/>
      <c r="AV102" s="8"/>
      <c r="AW102" s="8"/>
      <c r="AX102" s="8"/>
      <c r="AY102" s="8"/>
      <c r="AZ102" s="8"/>
    </row>
    <row r="103" spans="1:55">
      <c r="A103" s="5" t="s">
        <v>555</v>
      </c>
      <c r="B103" s="5">
        <v>909</v>
      </c>
      <c r="C103" s="19">
        <v>39</v>
      </c>
      <c r="E103" s="14"/>
      <c r="F103" s="11"/>
      <c r="G103" s="11"/>
      <c r="H103" s="11"/>
      <c r="I103" s="11"/>
      <c r="J103" s="25"/>
      <c r="K103" s="11"/>
      <c r="L103" s="11"/>
      <c r="M103" s="19">
        <v>0</v>
      </c>
      <c r="O103" s="6"/>
      <c r="P103" s="16">
        <v>209</v>
      </c>
      <c r="Q103" s="16">
        <v>0</v>
      </c>
      <c r="R103" s="22"/>
      <c r="S103" s="22">
        <f t="shared" si="2"/>
        <v>0</v>
      </c>
      <c r="T103" s="5">
        <v>784</v>
      </c>
      <c r="U103" s="5">
        <v>601</v>
      </c>
      <c r="Y103" s="8"/>
      <c r="Z103" s="8"/>
      <c r="AA103" s="8"/>
      <c r="AB103" s="8"/>
      <c r="AC103" s="8"/>
      <c r="AD103" s="8"/>
      <c r="AE103" s="25"/>
      <c r="AF103" s="11"/>
      <c r="AG103" s="25"/>
      <c r="AH103" s="11"/>
      <c r="AI103" s="11">
        <v>79</v>
      </c>
      <c r="AJ103" s="19">
        <v>0</v>
      </c>
      <c r="AK103" s="12">
        <f>(AJ103+AI103)/30*7</f>
        <v>18.433333333333334</v>
      </c>
      <c r="AL103" s="6">
        <f>IF(AK103-C103&lt;0,0,AK103-C103)</f>
        <v>0</v>
      </c>
      <c r="AM103" s="6">
        <f>IF(AL103-R103-S103&lt;0,0,AL103-R103-S103)</f>
        <v>0</v>
      </c>
      <c r="AN103" s="5" t="str">
        <f t="shared" si="3"/>
        <v/>
      </c>
      <c r="AO103" s="5">
        <v>0</v>
      </c>
      <c r="AP103" s="9"/>
      <c r="AQ103" s="5" t="s">
        <v>1210</v>
      </c>
      <c r="AR103" s="5" t="s">
        <v>1230</v>
      </c>
      <c r="AS103" s="8"/>
      <c r="AT103" s="8"/>
      <c r="AU103" s="8"/>
      <c r="AV103" s="8"/>
      <c r="AW103" s="8"/>
      <c r="AX103" s="8"/>
      <c r="AY103" s="8"/>
      <c r="AZ103" s="8"/>
    </row>
    <row r="104" spans="1:55">
      <c r="A104" s="5" t="s">
        <v>712</v>
      </c>
      <c r="B104" s="5">
        <v>951</v>
      </c>
      <c r="C104" s="19">
        <v>25</v>
      </c>
      <c r="E104" s="14"/>
      <c r="F104" s="11"/>
      <c r="G104" s="11"/>
      <c r="H104" s="11"/>
      <c r="I104" s="11"/>
      <c r="J104" s="25"/>
      <c r="K104" s="11"/>
      <c r="L104" s="11"/>
      <c r="M104" s="19">
        <v>0</v>
      </c>
      <c r="O104" s="6"/>
      <c r="P104" s="16">
        <v>0</v>
      </c>
      <c r="Q104" s="16">
        <v>0</v>
      </c>
      <c r="R104" s="22"/>
      <c r="S104" s="22">
        <f t="shared" si="2"/>
        <v>0</v>
      </c>
      <c r="T104" s="5" t="s">
        <v>1210</v>
      </c>
      <c r="U104" s="5" t="s">
        <v>1210</v>
      </c>
      <c r="Y104" s="8"/>
      <c r="Z104" s="8"/>
      <c r="AA104" s="8"/>
      <c r="AB104" s="8"/>
      <c r="AC104" s="8"/>
      <c r="AD104" s="8"/>
      <c r="AE104" s="25"/>
      <c r="AF104" s="11"/>
      <c r="AG104" s="25"/>
      <c r="AH104" s="11"/>
      <c r="AI104" s="11">
        <v>79</v>
      </c>
      <c r="AJ104" s="19">
        <v>0</v>
      </c>
      <c r="AK104" s="12">
        <f>(AJ104+AI104)/30*7</f>
        <v>18.433333333333334</v>
      </c>
      <c r="AL104" s="6">
        <f>IF(AK104-C104&lt;0,0,AK104-C104)</f>
        <v>0</v>
      </c>
      <c r="AM104" s="6">
        <f>IF(AL104-R104-S104&lt;0,0,AL104-R104-S104)</f>
        <v>0</v>
      </c>
      <c r="AN104" s="5" t="str">
        <f t="shared" si="3"/>
        <v/>
      </c>
      <c r="AO104" s="5">
        <v>0</v>
      </c>
      <c r="AP104" s="9"/>
      <c r="AQ104" s="5" t="s">
        <v>1210</v>
      </c>
      <c r="AR104" s="5" t="s">
        <v>1210</v>
      </c>
      <c r="AS104" s="8"/>
      <c r="AT104" s="8"/>
      <c r="AU104" s="8"/>
      <c r="AV104" s="8"/>
      <c r="AW104" s="8"/>
      <c r="AX104" s="8"/>
      <c r="AY104" s="8"/>
      <c r="AZ104" s="8"/>
    </row>
    <row r="105" spans="1:55">
      <c r="A105" s="5" t="s">
        <v>983</v>
      </c>
      <c r="B105" s="5">
        <v>1023</v>
      </c>
      <c r="C105" s="19">
        <v>34</v>
      </c>
      <c r="E105" s="14"/>
      <c r="F105" s="11"/>
      <c r="G105" s="11"/>
      <c r="H105" s="11"/>
      <c r="I105" s="11"/>
      <c r="J105" s="25"/>
      <c r="K105" s="11"/>
      <c r="L105" s="11"/>
      <c r="M105" s="19">
        <v>0</v>
      </c>
      <c r="O105" s="6"/>
      <c r="P105" s="16">
        <v>0</v>
      </c>
      <c r="Q105" s="16">
        <v>0</v>
      </c>
      <c r="R105" s="22"/>
      <c r="S105" s="22">
        <f t="shared" si="2"/>
        <v>0</v>
      </c>
      <c r="T105" s="5">
        <v>340</v>
      </c>
      <c r="U105" s="5">
        <v>902</v>
      </c>
      <c r="Y105" s="8"/>
      <c r="Z105" s="8"/>
      <c r="AA105" s="8"/>
      <c r="AB105" s="8"/>
      <c r="AC105" s="8"/>
      <c r="AD105" s="8"/>
      <c r="AE105" s="25"/>
      <c r="AF105" s="11"/>
      <c r="AG105" s="25"/>
      <c r="AH105" s="11"/>
      <c r="AI105" s="11">
        <v>79</v>
      </c>
      <c r="AJ105" s="19">
        <v>0</v>
      </c>
      <c r="AK105" s="12">
        <f>(AJ105+AI105)/30*7</f>
        <v>18.433333333333334</v>
      </c>
      <c r="AL105" s="6">
        <f>IF(AK105-C105&lt;0,0,AK105-C105)</f>
        <v>0</v>
      </c>
      <c r="AM105" s="6">
        <f>IF(AL105-R105-S105&lt;0,0,AL105-R105-S105)</f>
        <v>0</v>
      </c>
      <c r="AN105" s="5" t="str">
        <f t="shared" si="3"/>
        <v/>
      </c>
      <c r="AO105" s="5">
        <v>0</v>
      </c>
      <c r="AP105" s="9"/>
      <c r="AQ105" s="5" t="s">
        <v>1210</v>
      </c>
      <c r="AR105" s="5" t="s">
        <v>1210</v>
      </c>
      <c r="AS105" s="8"/>
      <c r="AT105" s="8"/>
      <c r="AU105" s="8"/>
      <c r="AV105" s="8"/>
      <c r="AW105" s="8"/>
      <c r="AX105" s="8"/>
      <c r="AY105" s="8"/>
      <c r="AZ105" s="8"/>
    </row>
    <row r="106" spans="1:55">
      <c r="A106" s="5" t="s">
        <v>724</v>
      </c>
      <c r="B106" s="5">
        <v>1028</v>
      </c>
      <c r="C106" s="19">
        <v>23</v>
      </c>
      <c r="E106" s="14"/>
      <c r="F106" s="11"/>
      <c r="G106" s="11"/>
      <c r="H106" s="11"/>
      <c r="I106" s="11"/>
      <c r="J106" s="25"/>
      <c r="K106" s="11"/>
      <c r="L106" s="11"/>
      <c r="M106" s="19">
        <v>0</v>
      </c>
      <c r="O106" s="6"/>
      <c r="P106" s="16">
        <v>0</v>
      </c>
      <c r="Q106" s="16">
        <v>501</v>
      </c>
      <c r="R106" s="22"/>
      <c r="S106" s="22">
        <f t="shared" si="2"/>
        <v>0</v>
      </c>
      <c r="T106" s="5">
        <v>1160</v>
      </c>
      <c r="U106" s="5">
        <v>661</v>
      </c>
      <c r="Y106" s="8"/>
      <c r="Z106" s="8"/>
      <c r="AA106" s="8"/>
      <c r="AB106" s="8"/>
      <c r="AC106" s="8"/>
      <c r="AD106" s="8"/>
      <c r="AE106" s="25"/>
      <c r="AF106" s="11"/>
      <c r="AG106" s="25"/>
      <c r="AH106" s="11"/>
      <c r="AI106" s="11">
        <v>79</v>
      </c>
      <c r="AJ106" s="19">
        <v>0</v>
      </c>
      <c r="AK106" s="12">
        <f>(AJ106+AI106)/30*7</f>
        <v>18.433333333333334</v>
      </c>
      <c r="AL106" s="6">
        <f>IF(AK106-C106&lt;0,0,AK106-C106)</f>
        <v>0</v>
      </c>
      <c r="AM106" s="6">
        <f>IF(AL106-R106-S106&lt;0,0,AL106-R106-S106)</f>
        <v>0</v>
      </c>
      <c r="AN106" s="5" t="str">
        <f t="shared" si="3"/>
        <v/>
      </c>
      <c r="AO106" s="5">
        <v>0</v>
      </c>
      <c r="AP106" s="9"/>
      <c r="AQ106" s="5" t="s">
        <v>1210</v>
      </c>
      <c r="AR106" s="5" t="s">
        <v>1210</v>
      </c>
      <c r="AS106" s="8"/>
      <c r="AT106" s="8"/>
      <c r="AU106" s="8"/>
      <c r="AV106" s="8"/>
      <c r="AW106" s="8"/>
      <c r="AX106" s="8"/>
      <c r="AY106" s="8"/>
      <c r="AZ106" s="8"/>
    </row>
    <row r="107" spans="1:55">
      <c r="A107" s="5" t="s">
        <v>1073</v>
      </c>
      <c r="B107" s="5">
        <v>1241</v>
      </c>
      <c r="C107" s="19">
        <v>25</v>
      </c>
      <c r="E107" s="14"/>
      <c r="F107" s="11"/>
      <c r="G107" s="11"/>
      <c r="H107" s="11"/>
      <c r="I107" s="11"/>
      <c r="J107" s="25"/>
      <c r="K107" s="11"/>
      <c r="L107" s="11"/>
      <c r="M107" s="19">
        <v>0</v>
      </c>
      <c r="O107" s="6"/>
      <c r="P107" s="16">
        <v>0</v>
      </c>
      <c r="Q107" s="16">
        <v>0</v>
      </c>
      <c r="R107" s="22"/>
      <c r="S107" s="22">
        <f t="shared" si="2"/>
        <v>0</v>
      </c>
      <c r="T107" s="5" t="s">
        <v>1210</v>
      </c>
      <c r="U107" s="5" t="s">
        <v>1210</v>
      </c>
      <c r="Y107" s="8"/>
      <c r="Z107" s="8"/>
      <c r="AA107" s="8"/>
      <c r="AB107" s="8"/>
      <c r="AC107" s="8"/>
      <c r="AD107" s="8"/>
      <c r="AE107" s="25"/>
      <c r="AF107" s="11"/>
      <c r="AG107" s="25"/>
      <c r="AH107" s="11"/>
      <c r="AI107" s="11">
        <v>79</v>
      </c>
      <c r="AJ107" s="19">
        <v>0</v>
      </c>
      <c r="AK107" s="12">
        <f>(AJ107+AI107)/30*7</f>
        <v>18.433333333333334</v>
      </c>
      <c r="AL107" s="6">
        <f>IF(AK107-C107&lt;0,0,AK107-C107)</f>
        <v>0</v>
      </c>
      <c r="AM107" s="6">
        <f>IF(AL107-R107-S107&lt;0,0,AL107-R107-S107)</f>
        <v>0</v>
      </c>
      <c r="AN107" s="5" t="str">
        <f t="shared" si="3"/>
        <v/>
      </c>
      <c r="AO107" s="5">
        <v>0</v>
      </c>
      <c r="AP107" s="9"/>
      <c r="AQ107" s="5" t="s">
        <v>1210</v>
      </c>
      <c r="AR107" s="5" t="s">
        <v>1210</v>
      </c>
      <c r="AS107" s="8"/>
      <c r="AT107" s="8"/>
      <c r="AU107" s="8"/>
      <c r="AV107" s="8"/>
      <c r="AW107" s="8"/>
      <c r="AX107" s="8"/>
      <c r="AY107" s="8"/>
      <c r="AZ107" s="8"/>
    </row>
    <row r="108" spans="1:55">
      <c r="A108" s="5" t="s">
        <v>760</v>
      </c>
      <c r="B108" s="5">
        <v>482</v>
      </c>
      <c r="C108" s="19">
        <v>30</v>
      </c>
      <c r="E108" s="14"/>
      <c r="F108" s="11"/>
      <c r="G108" s="11"/>
      <c r="H108" s="11"/>
      <c r="I108" s="11"/>
      <c r="J108" s="25"/>
      <c r="K108" s="11"/>
      <c r="L108" s="11"/>
      <c r="M108" s="19">
        <v>0</v>
      </c>
      <c r="O108" s="6"/>
      <c r="P108" s="16">
        <v>408</v>
      </c>
      <c r="Q108" s="16">
        <v>0</v>
      </c>
      <c r="R108" s="22"/>
      <c r="S108" s="22">
        <f t="shared" si="2"/>
        <v>0</v>
      </c>
      <c r="T108" s="5">
        <v>332</v>
      </c>
      <c r="U108" s="5">
        <v>414</v>
      </c>
      <c r="Y108" s="8"/>
      <c r="Z108" s="8"/>
      <c r="AA108" s="8"/>
      <c r="AB108" s="8"/>
      <c r="AC108" s="8"/>
      <c r="AD108" s="8"/>
      <c r="AE108" s="25"/>
      <c r="AF108" s="11"/>
      <c r="AG108" s="25"/>
      <c r="AH108" s="11"/>
      <c r="AI108" s="11">
        <v>78</v>
      </c>
      <c r="AJ108" s="19">
        <v>0</v>
      </c>
      <c r="AK108" s="12">
        <f>(AJ108+AI108)/30*7</f>
        <v>18.2</v>
      </c>
      <c r="AL108" s="6">
        <f>IF(AK108-C108&lt;0,0,AK108-C108)</f>
        <v>0</v>
      </c>
      <c r="AM108" s="6">
        <f>IF(AL108-R108-S108&lt;0,0,AL108-R108-S108)</f>
        <v>0</v>
      </c>
      <c r="AN108" s="5" t="str">
        <f t="shared" si="3"/>
        <v/>
      </c>
      <c r="AO108" s="5">
        <v>0</v>
      </c>
      <c r="AP108" s="9"/>
      <c r="AQ108" s="5" t="s">
        <v>1210</v>
      </c>
      <c r="AR108" s="5" t="s">
        <v>1230</v>
      </c>
      <c r="AS108" s="8"/>
      <c r="AT108" s="8"/>
      <c r="AU108" s="8"/>
      <c r="AV108" s="8"/>
      <c r="AW108" s="8"/>
      <c r="AX108" s="8"/>
      <c r="AY108" s="8"/>
      <c r="AZ108" s="8"/>
    </row>
    <row r="109" spans="1:55">
      <c r="A109" s="5" t="s">
        <v>750</v>
      </c>
      <c r="B109" s="5">
        <v>1110</v>
      </c>
      <c r="C109" s="19">
        <v>28</v>
      </c>
      <c r="E109" s="14"/>
      <c r="F109" s="11"/>
      <c r="G109" s="11"/>
      <c r="H109" s="11"/>
      <c r="I109" s="11"/>
      <c r="J109" s="25"/>
      <c r="K109" s="11"/>
      <c r="L109" s="11"/>
      <c r="M109" s="19">
        <v>0</v>
      </c>
      <c r="O109" s="6"/>
      <c r="P109" s="16">
        <v>0</v>
      </c>
      <c r="Q109" s="16">
        <v>0</v>
      </c>
      <c r="R109" s="22"/>
      <c r="S109" s="22">
        <f t="shared" si="2"/>
        <v>0</v>
      </c>
      <c r="T109" s="5">
        <v>921</v>
      </c>
      <c r="U109" s="5">
        <v>632</v>
      </c>
      <c r="Y109" s="8"/>
      <c r="Z109" s="8"/>
      <c r="AA109" s="8"/>
      <c r="AB109" s="8"/>
      <c r="AC109" s="8"/>
      <c r="AD109" s="8"/>
      <c r="AE109" s="25"/>
      <c r="AF109" s="11"/>
      <c r="AG109" s="25"/>
      <c r="AH109" s="11"/>
      <c r="AI109" s="11">
        <v>78</v>
      </c>
      <c r="AJ109" s="19">
        <v>0</v>
      </c>
      <c r="AK109" s="12">
        <f>(AJ109+AI109)/30*7</f>
        <v>18.2</v>
      </c>
      <c r="AL109" s="6">
        <f>IF(AK109-C109&lt;0,0,AK109-C109)</f>
        <v>0</v>
      </c>
      <c r="AM109" s="6">
        <f>IF(AL109-R109-S109&lt;0,0,AL109-R109-S109)</f>
        <v>0</v>
      </c>
      <c r="AN109" s="5" t="str">
        <f t="shared" si="3"/>
        <v/>
      </c>
      <c r="AO109" s="5">
        <v>0</v>
      </c>
      <c r="AP109" s="9"/>
      <c r="AQ109" s="5" t="s">
        <v>1210</v>
      </c>
      <c r="AR109" s="5" t="s">
        <v>1210</v>
      </c>
      <c r="AS109" s="8"/>
      <c r="AT109" s="8"/>
      <c r="AU109" s="8"/>
      <c r="AV109" s="8"/>
      <c r="AW109" s="8"/>
      <c r="AX109" s="8"/>
      <c r="AY109" s="8"/>
      <c r="AZ109" s="8"/>
    </row>
    <row r="110" spans="1:55">
      <c r="A110" s="5" t="s">
        <v>872</v>
      </c>
      <c r="B110" s="5">
        <v>149</v>
      </c>
      <c r="C110" s="19">
        <v>24</v>
      </c>
      <c r="E110" s="14"/>
      <c r="F110" s="11"/>
      <c r="G110" s="11"/>
      <c r="H110" s="11"/>
      <c r="I110" s="11"/>
      <c r="J110" s="25"/>
      <c r="K110" s="11"/>
      <c r="L110" s="11"/>
      <c r="M110" s="19">
        <v>0</v>
      </c>
      <c r="O110" s="6"/>
      <c r="P110" s="16">
        <v>0</v>
      </c>
      <c r="Q110" s="16">
        <v>0</v>
      </c>
      <c r="R110" s="22"/>
      <c r="S110" s="22">
        <f t="shared" si="2"/>
        <v>0</v>
      </c>
      <c r="T110" s="5" t="s">
        <v>1210</v>
      </c>
      <c r="U110" s="5" t="s">
        <v>1210</v>
      </c>
      <c r="Y110" s="8"/>
      <c r="Z110" s="8"/>
      <c r="AA110" s="8"/>
      <c r="AB110" s="8"/>
      <c r="AC110" s="8"/>
      <c r="AD110" s="8"/>
      <c r="AE110" s="25"/>
      <c r="AF110" s="11"/>
      <c r="AG110" s="25"/>
      <c r="AH110" s="11"/>
      <c r="AI110" s="11">
        <v>77</v>
      </c>
      <c r="AJ110" s="19">
        <v>0</v>
      </c>
      <c r="AK110" s="12">
        <f>(AJ110+AI110)/30*7</f>
        <v>17.966666666666669</v>
      </c>
      <c r="AL110" s="6">
        <f>IF(AK110-C110&lt;0,0,AK110-C110)</f>
        <v>0</v>
      </c>
      <c r="AM110" s="6">
        <f>IF(AL110-R110-S110&lt;0,0,AL110-R110-S110)</f>
        <v>0</v>
      </c>
      <c r="AN110" s="5" t="str">
        <f t="shared" si="3"/>
        <v/>
      </c>
      <c r="AO110" s="5">
        <v>0</v>
      </c>
      <c r="AP110" s="9"/>
      <c r="AQ110" s="5" t="s">
        <v>1210</v>
      </c>
      <c r="AR110" s="5" t="s">
        <v>1210</v>
      </c>
      <c r="AS110" s="8"/>
      <c r="AT110" s="8"/>
      <c r="AU110" s="8"/>
      <c r="AV110" s="8"/>
      <c r="AW110" s="8"/>
      <c r="AX110" s="8"/>
      <c r="AY110" s="8"/>
      <c r="AZ110" s="8"/>
    </row>
    <row r="111" spans="1:55">
      <c r="A111" s="5" t="s">
        <v>1079</v>
      </c>
      <c r="B111" s="5">
        <v>657</v>
      </c>
      <c r="C111" s="19">
        <v>24</v>
      </c>
      <c r="E111" s="14"/>
      <c r="F111" s="11"/>
      <c r="G111" s="11"/>
      <c r="H111" s="11"/>
      <c r="I111" s="11"/>
      <c r="J111" s="25"/>
      <c r="K111" s="11"/>
      <c r="L111" s="11"/>
      <c r="M111" s="19">
        <v>0</v>
      </c>
      <c r="O111" s="6"/>
      <c r="P111" s="16">
        <v>0</v>
      </c>
      <c r="Q111" s="16">
        <v>0</v>
      </c>
      <c r="R111" s="22"/>
      <c r="S111" s="22">
        <f t="shared" si="2"/>
        <v>0</v>
      </c>
      <c r="T111" s="5" t="s">
        <v>1210</v>
      </c>
      <c r="U111" s="5" t="s">
        <v>1210</v>
      </c>
      <c r="Y111" s="8"/>
      <c r="Z111" s="8"/>
      <c r="AA111" s="8"/>
      <c r="AB111" s="8"/>
      <c r="AC111" s="8"/>
      <c r="AD111" s="8"/>
      <c r="AE111" s="25"/>
      <c r="AF111" s="11"/>
      <c r="AG111" s="25"/>
      <c r="AH111" s="11"/>
      <c r="AI111" s="11">
        <v>77</v>
      </c>
      <c r="AJ111" s="19">
        <v>0</v>
      </c>
      <c r="AK111" s="12">
        <f>(AJ111+AI111)/30*7</f>
        <v>17.966666666666669</v>
      </c>
      <c r="AL111" s="6">
        <f>IF(AK111-C111&lt;0,0,AK111-C111)</f>
        <v>0</v>
      </c>
      <c r="AM111" s="6">
        <f>IF(AL111-R111-S111&lt;0,0,AL111-R111-S111)</f>
        <v>0</v>
      </c>
      <c r="AN111" s="5" t="str">
        <f t="shared" si="3"/>
        <v/>
      </c>
      <c r="AO111" s="5">
        <v>0</v>
      </c>
      <c r="AP111" s="9"/>
      <c r="AQ111" s="5" t="s">
        <v>1210</v>
      </c>
      <c r="AR111" s="5" t="s">
        <v>1210</v>
      </c>
      <c r="AS111" s="8"/>
      <c r="AT111" s="8"/>
      <c r="AU111" s="8"/>
      <c r="AV111" s="8"/>
      <c r="AW111" s="8"/>
      <c r="AX111" s="8"/>
      <c r="AY111" s="8"/>
      <c r="AZ111" s="8"/>
    </row>
    <row r="112" spans="1:55">
      <c r="A112" s="5" t="s">
        <v>591</v>
      </c>
      <c r="B112" s="5">
        <v>807</v>
      </c>
      <c r="C112" s="19">
        <v>28</v>
      </c>
      <c r="E112" s="14"/>
      <c r="F112" s="11"/>
      <c r="G112" s="11"/>
      <c r="H112" s="11"/>
      <c r="I112" s="11"/>
      <c r="J112" s="25"/>
      <c r="K112" s="11"/>
      <c r="L112" s="11"/>
      <c r="M112" s="19">
        <v>0</v>
      </c>
      <c r="O112" s="6"/>
      <c r="P112" s="16">
        <v>0</v>
      </c>
      <c r="Q112" s="16">
        <v>0</v>
      </c>
      <c r="R112" s="22"/>
      <c r="S112" s="22">
        <f t="shared" si="2"/>
        <v>0</v>
      </c>
      <c r="T112" s="5">
        <v>556</v>
      </c>
      <c r="U112" s="5">
        <v>731</v>
      </c>
      <c r="Y112" s="8"/>
      <c r="Z112" s="8"/>
      <c r="AA112" s="8"/>
      <c r="AB112" s="8"/>
      <c r="AC112" s="8"/>
      <c r="AD112" s="8"/>
      <c r="AE112" s="25"/>
      <c r="AF112" s="11"/>
      <c r="AG112" s="25"/>
      <c r="AH112" s="11"/>
      <c r="AI112" s="11">
        <v>77</v>
      </c>
      <c r="AJ112" s="19">
        <v>0</v>
      </c>
      <c r="AK112" s="12">
        <f>(AJ112+AI112)/30*7</f>
        <v>17.966666666666669</v>
      </c>
      <c r="AL112" s="6">
        <f>IF(AK112-C112&lt;0,0,AK112-C112)</f>
        <v>0</v>
      </c>
      <c r="AM112" s="6">
        <f>IF(AL112-R112-S112&lt;0,0,AL112-R112-S112)</f>
        <v>0</v>
      </c>
      <c r="AN112" s="5" t="str">
        <f t="shared" si="3"/>
        <v/>
      </c>
      <c r="AO112" s="5">
        <v>0</v>
      </c>
      <c r="AP112" s="9"/>
      <c r="AQ112" s="5" t="s">
        <v>1210</v>
      </c>
      <c r="AR112" s="5" t="s">
        <v>1210</v>
      </c>
      <c r="AS112" s="8"/>
      <c r="AT112" s="8"/>
      <c r="AU112" s="8"/>
      <c r="AV112" s="8"/>
      <c r="AW112" s="8"/>
      <c r="AX112" s="8"/>
      <c r="AY112" s="8"/>
      <c r="AZ112" s="8"/>
    </row>
    <row r="113" spans="1:52">
      <c r="A113" s="5" t="s">
        <v>997</v>
      </c>
      <c r="B113" s="5">
        <v>900</v>
      </c>
      <c r="C113" s="19">
        <v>28</v>
      </c>
      <c r="E113" s="14"/>
      <c r="F113" s="11"/>
      <c r="G113" s="11"/>
      <c r="H113" s="11"/>
      <c r="I113" s="11"/>
      <c r="J113" s="25"/>
      <c r="K113" s="11"/>
      <c r="L113" s="11"/>
      <c r="M113" s="19">
        <v>0</v>
      </c>
      <c r="O113" s="6"/>
      <c r="P113" s="16">
        <v>0</v>
      </c>
      <c r="Q113" s="16">
        <v>591</v>
      </c>
      <c r="R113" s="22"/>
      <c r="S113" s="22">
        <f t="shared" si="2"/>
        <v>0</v>
      </c>
      <c r="T113" s="5">
        <v>1008</v>
      </c>
      <c r="U113" s="5">
        <v>682</v>
      </c>
      <c r="Y113" s="8"/>
      <c r="Z113" s="8"/>
      <c r="AA113" s="8"/>
      <c r="AB113" s="8"/>
      <c r="AC113" s="8"/>
      <c r="AD113" s="8"/>
      <c r="AE113" s="25"/>
      <c r="AF113" s="11"/>
      <c r="AG113" s="25"/>
      <c r="AH113" s="11"/>
      <c r="AI113" s="11">
        <v>77</v>
      </c>
      <c r="AJ113" s="19">
        <v>0</v>
      </c>
      <c r="AK113" s="12">
        <f>(AJ113+AI113)/30*7</f>
        <v>17.966666666666669</v>
      </c>
      <c r="AL113" s="6">
        <f>IF(AK113-C113&lt;0,0,AK113-C113)</f>
        <v>0</v>
      </c>
      <c r="AM113" s="6">
        <f>IF(AL113-R113-S113&lt;0,0,AL113-R113-S113)</f>
        <v>0</v>
      </c>
      <c r="AN113" s="5" t="str">
        <f t="shared" si="3"/>
        <v/>
      </c>
      <c r="AO113" s="5">
        <v>0</v>
      </c>
      <c r="AP113" s="9"/>
      <c r="AQ113" s="5" t="s">
        <v>1210</v>
      </c>
      <c r="AR113" s="5" t="s">
        <v>1210</v>
      </c>
      <c r="AS113" s="8"/>
      <c r="AT113" s="8"/>
      <c r="AU113" s="8"/>
      <c r="AV113" s="8"/>
      <c r="AW113" s="8"/>
      <c r="AX113" s="8"/>
      <c r="AY113" s="8"/>
      <c r="AZ113" s="8"/>
    </row>
    <row r="114" spans="1:52">
      <c r="A114" s="5" t="s">
        <v>729</v>
      </c>
      <c r="B114" s="5">
        <v>1092</v>
      </c>
      <c r="C114" s="19">
        <v>31</v>
      </c>
      <c r="E114" s="14"/>
      <c r="F114" s="11"/>
      <c r="G114" s="11"/>
      <c r="H114" s="11"/>
      <c r="I114" s="11"/>
      <c r="J114" s="25"/>
      <c r="K114" s="11"/>
      <c r="L114" s="11"/>
      <c r="M114" s="19">
        <v>0</v>
      </c>
      <c r="O114" s="6"/>
      <c r="P114" s="16">
        <v>0</v>
      </c>
      <c r="Q114" s="16">
        <v>0</v>
      </c>
      <c r="R114" s="22"/>
      <c r="S114" s="22">
        <f t="shared" si="2"/>
        <v>0</v>
      </c>
      <c r="T114" s="5">
        <v>1363</v>
      </c>
      <c r="U114" s="5">
        <v>208</v>
      </c>
      <c r="Y114" s="8"/>
      <c r="Z114" s="8"/>
      <c r="AA114" s="8"/>
      <c r="AB114" s="8"/>
      <c r="AC114" s="8"/>
      <c r="AD114" s="8"/>
      <c r="AE114" s="25"/>
      <c r="AF114" s="11"/>
      <c r="AG114" s="25"/>
      <c r="AH114" s="11"/>
      <c r="AI114" s="11">
        <v>77</v>
      </c>
      <c r="AJ114" s="19">
        <v>0</v>
      </c>
      <c r="AK114" s="12">
        <f>(AJ114+AI114)/30*7</f>
        <v>17.966666666666669</v>
      </c>
      <c r="AL114" s="6">
        <f>IF(AK114-C114&lt;0,0,AK114-C114)</f>
        <v>0</v>
      </c>
      <c r="AM114" s="6">
        <f>IF(AL114-R114-S114&lt;0,0,AL114-R114-S114)</f>
        <v>0</v>
      </c>
      <c r="AN114" s="5" t="str">
        <f t="shared" si="3"/>
        <v/>
      </c>
      <c r="AO114" s="5">
        <v>0</v>
      </c>
      <c r="AP114" s="9"/>
      <c r="AQ114" s="5" t="s">
        <v>1210</v>
      </c>
      <c r="AR114" s="5" t="s">
        <v>1210</v>
      </c>
      <c r="AS114" s="8"/>
      <c r="AT114" s="8"/>
      <c r="AU114" s="8"/>
      <c r="AV114" s="8"/>
      <c r="AW114" s="8"/>
      <c r="AX114" s="8"/>
      <c r="AY114" s="8"/>
      <c r="AZ114" s="8"/>
    </row>
    <row r="115" spans="1:52">
      <c r="A115" s="5" t="s">
        <v>798</v>
      </c>
      <c r="B115" s="5">
        <v>1552</v>
      </c>
      <c r="C115" s="19">
        <v>22</v>
      </c>
      <c r="E115" s="14"/>
      <c r="F115" s="11"/>
      <c r="G115" s="11"/>
      <c r="H115" s="11"/>
      <c r="I115" s="11"/>
      <c r="J115" s="25"/>
      <c r="K115" s="11"/>
      <c r="L115" s="11"/>
      <c r="M115" s="19">
        <v>0</v>
      </c>
      <c r="O115" s="6"/>
      <c r="P115" s="16">
        <v>0</v>
      </c>
      <c r="Q115" s="16">
        <v>0</v>
      </c>
      <c r="R115" s="22"/>
      <c r="S115" s="22">
        <f t="shared" si="2"/>
        <v>0</v>
      </c>
      <c r="T115" s="5">
        <v>855</v>
      </c>
      <c r="U115" s="5">
        <v>417</v>
      </c>
      <c r="Y115" s="8"/>
      <c r="Z115" s="8"/>
      <c r="AA115" s="8"/>
      <c r="AB115" s="8"/>
      <c r="AC115" s="8"/>
      <c r="AD115" s="8"/>
      <c r="AE115" s="25"/>
      <c r="AF115" s="11"/>
      <c r="AG115" s="25"/>
      <c r="AH115" s="11"/>
      <c r="AI115" s="11">
        <v>77</v>
      </c>
      <c r="AJ115" s="19">
        <v>0</v>
      </c>
      <c r="AK115" s="12">
        <f>(AJ115+AI115)/30*7</f>
        <v>17.966666666666669</v>
      </c>
      <c r="AL115" s="6">
        <f>IF(AK115-C115&lt;0,0,AK115-C115)</f>
        <v>0</v>
      </c>
      <c r="AM115" s="6">
        <f>IF(AL115-R115-S115&lt;0,0,AL115-R115-S115)</f>
        <v>0</v>
      </c>
      <c r="AN115" s="5" t="str">
        <f t="shared" si="3"/>
        <v/>
      </c>
      <c r="AO115" s="5">
        <v>0</v>
      </c>
      <c r="AP115" s="9"/>
      <c r="AQ115" s="5" t="s">
        <v>1210</v>
      </c>
      <c r="AR115" s="5" t="s">
        <v>1210</v>
      </c>
      <c r="AS115" s="8"/>
      <c r="AT115" s="8"/>
      <c r="AU115" s="8"/>
      <c r="AV115" s="8"/>
      <c r="AW115" s="8"/>
      <c r="AX115" s="8"/>
      <c r="AY115" s="8"/>
      <c r="AZ115" s="8"/>
    </row>
    <row r="116" spans="1:52">
      <c r="A116" s="5" t="s">
        <v>715</v>
      </c>
      <c r="B116" s="5">
        <v>558</v>
      </c>
      <c r="C116" s="19">
        <v>39</v>
      </c>
      <c r="E116" s="14"/>
      <c r="F116" s="11"/>
      <c r="G116" s="11"/>
      <c r="H116" s="11"/>
      <c r="I116" s="11"/>
      <c r="J116" s="25"/>
      <c r="K116" s="11"/>
      <c r="L116" s="11"/>
      <c r="M116" s="19">
        <v>0</v>
      </c>
      <c r="O116" s="6"/>
      <c r="P116" s="16">
        <v>520</v>
      </c>
      <c r="Q116" s="16">
        <v>0</v>
      </c>
      <c r="R116" s="22"/>
      <c r="S116" s="22">
        <f t="shared" si="2"/>
        <v>0</v>
      </c>
      <c r="T116" s="5">
        <v>781</v>
      </c>
      <c r="U116" s="5">
        <v>860</v>
      </c>
      <c r="Y116" s="8"/>
      <c r="Z116" s="8"/>
      <c r="AA116" s="8"/>
      <c r="AB116" s="8"/>
      <c r="AC116" s="8"/>
      <c r="AD116" s="8"/>
      <c r="AE116" s="25"/>
      <c r="AF116" s="11"/>
      <c r="AG116" s="25"/>
      <c r="AH116" s="11"/>
      <c r="AI116" s="11">
        <v>76</v>
      </c>
      <c r="AJ116" s="19">
        <v>0</v>
      </c>
      <c r="AK116" s="12">
        <f>(AJ116+AI116)/30*7</f>
        <v>17.733333333333334</v>
      </c>
      <c r="AL116" s="6">
        <f>IF(AK116-C116&lt;0,0,AK116-C116)</f>
        <v>0</v>
      </c>
      <c r="AM116" s="6">
        <f>IF(AL116-R116-S116&lt;0,0,AL116-R116-S116)</f>
        <v>0</v>
      </c>
      <c r="AN116" s="5" t="str">
        <f t="shared" si="3"/>
        <v/>
      </c>
      <c r="AO116" s="5">
        <v>0</v>
      </c>
      <c r="AP116" s="9"/>
      <c r="AQ116" s="5" t="s">
        <v>1210</v>
      </c>
      <c r="AR116" s="5" t="s">
        <v>1230</v>
      </c>
      <c r="AS116" s="8"/>
      <c r="AT116" s="8"/>
      <c r="AU116" s="8"/>
      <c r="AV116" s="8"/>
      <c r="AW116" s="8"/>
      <c r="AX116" s="8"/>
      <c r="AY116" s="8"/>
      <c r="AZ116" s="8"/>
    </row>
    <row r="117" spans="1:52">
      <c r="A117" s="5" t="s">
        <v>681</v>
      </c>
      <c r="B117" s="5">
        <v>583</v>
      </c>
      <c r="C117" s="19">
        <v>36</v>
      </c>
      <c r="E117" s="14"/>
      <c r="F117" s="11"/>
      <c r="G117" s="11"/>
      <c r="H117" s="11"/>
      <c r="I117" s="11"/>
      <c r="J117" s="25"/>
      <c r="K117" s="11"/>
      <c r="L117" s="11"/>
      <c r="M117" s="19">
        <v>0</v>
      </c>
      <c r="O117" s="6"/>
      <c r="P117" s="16">
        <v>0</v>
      </c>
      <c r="Q117" s="16">
        <v>0</v>
      </c>
      <c r="R117" s="22"/>
      <c r="S117" s="22">
        <f t="shared" si="2"/>
        <v>0</v>
      </c>
      <c r="T117" s="5">
        <v>893</v>
      </c>
      <c r="U117" s="5">
        <v>202</v>
      </c>
      <c r="Y117" s="8"/>
      <c r="Z117" s="8"/>
      <c r="AA117" s="8"/>
      <c r="AB117" s="8"/>
      <c r="AC117" s="8"/>
      <c r="AD117" s="8"/>
      <c r="AE117" s="25"/>
      <c r="AF117" s="11"/>
      <c r="AG117" s="25"/>
      <c r="AH117" s="11"/>
      <c r="AI117" s="11">
        <v>76</v>
      </c>
      <c r="AJ117" s="19">
        <v>0</v>
      </c>
      <c r="AK117" s="12">
        <f>(AJ117+AI117)/30*7</f>
        <v>17.733333333333334</v>
      </c>
      <c r="AL117" s="6">
        <f>IF(AK117-C117&lt;0,0,AK117-C117)</f>
        <v>0</v>
      </c>
      <c r="AM117" s="6">
        <f>IF(AL117-R117-S117&lt;0,0,AL117-R117-S117)</f>
        <v>0</v>
      </c>
      <c r="AN117" s="5" t="str">
        <f t="shared" si="3"/>
        <v/>
      </c>
      <c r="AO117" s="5">
        <v>0</v>
      </c>
      <c r="AP117" s="9"/>
      <c r="AQ117" s="5" t="s">
        <v>1210</v>
      </c>
      <c r="AR117" s="5" t="s">
        <v>1210</v>
      </c>
      <c r="AS117" s="8"/>
      <c r="AT117" s="8"/>
      <c r="AU117" s="8"/>
      <c r="AV117" s="8"/>
      <c r="AW117" s="8"/>
      <c r="AX117" s="8"/>
      <c r="AY117" s="8"/>
      <c r="AZ117" s="8"/>
    </row>
    <row r="118" spans="1:52">
      <c r="A118" s="5" t="s">
        <v>579</v>
      </c>
      <c r="B118" s="5">
        <v>1047</v>
      </c>
      <c r="C118" s="19">
        <v>38</v>
      </c>
      <c r="E118" s="14"/>
      <c r="F118" s="11"/>
      <c r="G118" s="11"/>
      <c r="H118" s="11"/>
      <c r="I118" s="11"/>
      <c r="J118" s="25"/>
      <c r="K118" s="11"/>
      <c r="L118" s="11"/>
      <c r="M118" s="19">
        <v>0</v>
      </c>
      <c r="O118" s="6"/>
      <c r="P118" s="16">
        <v>0</v>
      </c>
      <c r="Q118" s="16">
        <v>0</v>
      </c>
      <c r="R118" s="22"/>
      <c r="S118" s="22">
        <f t="shared" si="2"/>
        <v>0</v>
      </c>
      <c r="U118" s="5" t="s">
        <v>1210</v>
      </c>
      <c r="Y118" s="8"/>
      <c r="Z118" s="8"/>
      <c r="AA118" s="8"/>
      <c r="AB118" s="8"/>
      <c r="AC118" s="8"/>
      <c r="AD118" s="8"/>
      <c r="AE118" s="25"/>
      <c r="AF118" s="11"/>
      <c r="AG118" s="25"/>
      <c r="AH118" s="11"/>
      <c r="AI118" s="11">
        <v>76</v>
      </c>
      <c r="AJ118" s="19">
        <v>0</v>
      </c>
      <c r="AK118" s="12">
        <f>(AJ118+AI118)/30*7</f>
        <v>17.733333333333334</v>
      </c>
      <c r="AL118" s="6">
        <f>IF(AK118-C118&lt;0,0,AK118-C118)</f>
        <v>0</v>
      </c>
      <c r="AM118" s="6">
        <f>IF(AL118-R118-S118&lt;0,0,AL118-R118-S118)</f>
        <v>0</v>
      </c>
      <c r="AN118" s="5" t="str">
        <f t="shared" si="3"/>
        <v/>
      </c>
      <c r="AO118" s="5">
        <v>0</v>
      </c>
      <c r="AP118" s="9"/>
      <c r="AQ118" s="5" t="s">
        <v>1210</v>
      </c>
      <c r="AR118" s="5" t="s">
        <v>1210</v>
      </c>
      <c r="AS118" s="8"/>
      <c r="AT118" s="8"/>
      <c r="AU118" s="8"/>
      <c r="AV118" s="8"/>
      <c r="AW118" s="8"/>
      <c r="AX118" s="8"/>
      <c r="AY118" s="8"/>
      <c r="AZ118" s="8"/>
    </row>
    <row r="119" spans="1:52">
      <c r="A119" s="5" t="s">
        <v>630</v>
      </c>
      <c r="B119" s="5">
        <v>1366</v>
      </c>
      <c r="C119" s="19">
        <v>18</v>
      </c>
      <c r="E119" s="14"/>
      <c r="F119" s="11"/>
      <c r="G119" s="11"/>
      <c r="H119" s="11"/>
      <c r="I119" s="11"/>
      <c r="J119" s="25"/>
      <c r="K119" s="11"/>
      <c r="L119" s="11"/>
      <c r="M119" s="19">
        <v>0</v>
      </c>
      <c r="O119" s="6"/>
      <c r="P119" s="16">
        <v>0</v>
      </c>
      <c r="Q119" s="16">
        <v>0</v>
      </c>
      <c r="R119" s="22"/>
      <c r="S119" s="22">
        <f t="shared" si="2"/>
        <v>0</v>
      </c>
      <c r="T119" s="5" t="s">
        <v>1210</v>
      </c>
      <c r="U119" s="5" t="s">
        <v>1210</v>
      </c>
      <c r="Y119" s="8"/>
      <c r="Z119" s="8"/>
      <c r="AA119" s="8"/>
      <c r="AB119" s="8"/>
      <c r="AC119" s="8"/>
      <c r="AD119" s="8"/>
      <c r="AE119" s="25"/>
      <c r="AF119" s="11"/>
      <c r="AG119" s="25"/>
      <c r="AH119" s="11"/>
      <c r="AI119" s="11">
        <v>76</v>
      </c>
      <c r="AJ119" s="19">
        <v>0</v>
      </c>
      <c r="AK119" s="12">
        <f>(AJ119+AI119)/30*7</f>
        <v>17.733333333333334</v>
      </c>
      <c r="AL119" s="6">
        <f>IF(AK119-C119&lt;0,0,AK119-C119)</f>
        <v>0</v>
      </c>
      <c r="AM119" s="6">
        <f>IF(AL119-R119-S119&lt;0,0,AL119-R119-S119)</f>
        <v>0</v>
      </c>
      <c r="AN119" s="5" t="str">
        <f t="shared" si="3"/>
        <v/>
      </c>
      <c r="AO119" s="5">
        <v>0</v>
      </c>
      <c r="AP119" s="9"/>
      <c r="AQ119" s="5" t="s">
        <v>1210</v>
      </c>
      <c r="AR119" s="5" t="s">
        <v>1210</v>
      </c>
      <c r="AS119" s="8"/>
      <c r="AT119" s="8"/>
      <c r="AU119" s="8"/>
      <c r="AV119" s="8"/>
      <c r="AW119" s="8"/>
      <c r="AX119" s="8"/>
      <c r="AY119" s="8"/>
      <c r="AZ119" s="8"/>
    </row>
    <row r="120" spans="1:52">
      <c r="A120" s="5" t="s">
        <v>949</v>
      </c>
      <c r="B120" s="5">
        <v>1743</v>
      </c>
      <c r="C120" s="19">
        <v>27</v>
      </c>
      <c r="E120" s="14"/>
      <c r="F120" s="11"/>
      <c r="G120" s="11"/>
      <c r="H120" s="11"/>
      <c r="I120" s="11"/>
      <c r="J120" s="25"/>
      <c r="K120" s="11"/>
      <c r="L120" s="11"/>
      <c r="M120" s="19">
        <v>0</v>
      </c>
      <c r="O120" s="6"/>
      <c r="P120" s="16">
        <v>532</v>
      </c>
      <c r="Q120" s="16">
        <v>0</v>
      </c>
      <c r="R120" s="22"/>
      <c r="S120" s="22">
        <f t="shared" si="2"/>
        <v>0</v>
      </c>
      <c r="T120" s="5">
        <v>1001</v>
      </c>
      <c r="U120" s="5">
        <v>812</v>
      </c>
      <c r="Y120" s="8"/>
      <c r="Z120" s="8"/>
      <c r="AA120" s="8"/>
      <c r="AB120" s="8"/>
      <c r="AC120" s="8"/>
      <c r="AD120" s="8"/>
      <c r="AE120" s="25"/>
      <c r="AF120" s="11"/>
      <c r="AG120" s="25"/>
      <c r="AH120" s="11"/>
      <c r="AI120" s="11">
        <v>76</v>
      </c>
      <c r="AJ120" s="19">
        <v>0</v>
      </c>
      <c r="AK120" s="12">
        <f>(AJ120+AI120)/30*7</f>
        <v>17.733333333333334</v>
      </c>
      <c r="AL120" s="6">
        <f>IF(AK120-C120&lt;0,0,AK120-C120)</f>
        <v>0</v>
      </c>
      <c r="AM120" s="6">
        <f>IF(AL120-R120-S120&lt;0,0,AL120-R120-S120)</f>
        <v>0</v>
      </c>
      <c r="AN120" s="5" t="str">
        <f t="shared" si="3"/>
        <v/>
      </c>
      <c r="AO120" s="5">
        <v>0</v>
      </c>
      <c r="AP120" s="9"/>
      <c r="AQ120" s="5" t="s">
        <v>1210</v>
      </c>
      <c r="AR120" s="5" t="s">
        <v>1230</v>
      </c>
      <c r="AS120" s="8"/>
      <c r="AT120" s="8"/>
      <c r="AU120" s="8"/>
      <c r="AV120" s="8"/>
      <c r="AW120" s="8"/>
      <c r="AX120" s="8"/>
      <c r="AY120" s="8"/>
      <c r="AZ120" s="8"/>
    </row>
    <row r="121" spans="1:52">
      <c r="A121" s="5" t="s">
        <v>560</v>
      </c>
      <c r="B121" s="5">
        <v>1282</v>
      </c>
      <c r="C121" s="19">
        <v>19</v>
      </c>
      <c r="E121" s="14"/>
      <c r="F121" s="11"/>
      <c r="G121" s="11"/>
      <c r="H121" s="11"/>
      <c r="I121" s="11"/>
      <c r="J121" s="25"/>
      <c r="K121" s="11"/>
      <c r="L121" s="11"/>
      <c r="M121" s="19">
        <v>0</v>
      </c>
      <c r="O121" s="6"/>
      <c r="P121" s="16">
        <v>0</v>
      </c>
      <c r="Q121" s="16">
        <v>0</v>
      </c>
      <c r="R121" s="22"/>
      <c r="S121" s="22">
        <f t="shared" si="2"/>
        <v>0</v>
      </c>
      <c r="T121" s="5" t="s">
        <v>1210</v>
      </c>
      <c r="U121" s="5" t="s">
        <v>1210</v>
      </c>
      <c r="Y121" s="8"/>
      <c r="Z121" s="8"/>
      <c r="AA121" s="8"/>
      <c r="AB121" s="8"/>
      <c r="AC121" s="8"/>
      <c r="AD121" s="8"/>
      <c r="AE121" s="25"/>
      <c r="AF121" s="11"/>
      <c r="AG121" s="25"/>
      <c r="AH121" s="11"/>
      <c r="AI121" s="11">
        <v>75</v>
      </c>
      <c r="AJ121" s="19">
        <v>0</v>
      </c>
      <c r="AK121" s="12">
        <f>(AJ121+AI121)/30*7</f>
        <v>17.5</v>
      </c>
      <c r="AL121" s="6">
        <f>IF(AK121-C121&lt;0,0,AK121-C121)</f>
        <v>0</v>
      </c>
      <c r="AM121" s="6">
        <f>IF(AL121-R121-S121&lt;0,0,AL121-R121-S121)</f>
        <v>0</v>
      </c>
      <c r="AN121" s="5" t="str">
        <f t="shared" si="3"/>
        <v/>
      </c>
      <c r="AO121" s="5">
        <v>0</v>
      </c>
      <c r="AP121" s="9"/>
      <c r="AQ121" s="5" t="s">
        <v>1210</v>
      </c>
      <c r="AR121" s="5" t="s">
        <v>1210</v>
      </c>
      <c r="AS121" s="8"/>
      <c r="AT121" s="8"/>
      <c r="AU121" s="8"/>
      <c r="AV121" s="8"/>
      <c r="AW121" s="8"/>
      <c r="AX121" s="8"/>
      <c r="AY121" s="8"/>
      <c r="AZ121" s="8"/>
    </row>
    <row r="122" spans="1:52">
      <c r="A122" s="5" t="s">
        <v>680</v>
      </c>
      <c r="B122" s="5" t="s">
        <v>1163</v>
      </c>
      <c r="C122" s="19">
        <v>37</v>
      </c>
      <c r="E122" s="14"/>
      <c r="F122" s="11"/>
      <c r="G122" s="11"/>
      <c r="H122" s="11"/>
      <c r="I122" s="11"/>
      <c r="J122" s="25"/>
      <c r="K122" s="11"/>
      <c r="L122" s="11"/>
      <c r="M122" s="19">
        <v>0</v>
      </c>
      <c r="O122" s="6"/>
      <c r="P122" s="16">
        <v>0</v>
      </c>
      <c r="Q122" s="16">
        <v>0</v>
      </c>
      <c r="R122" s="22"/>
      <c r="S122" s="22">
        <f t="shared" si="2"/>
        <v>0</v>
      </c>
      <c r="T122" s="5" t="s">
        <v>1210</v>
      </c>
      <c r="U122" s="5" t="s">
        <v>1210</v>
      </c>
      <c r="Y122" s="8"/>
      <c r="Z122" s="8"/>
      <c r="AA122" s="8"/>
      <c r="AB122" s="8"/>
      <c r="AC122" s="8"/>
      <c r="AD122" s="8"/>
      <c r="AE122" s="25"/>
      <c r="AF122" s="11"/>
      <c r="AG122" s="25"/>
      <c r="AH122" s="11"/>
      <c r="AI122" s="11">
        <v>75</v>
      </c>
      <c r="AJ122" s="19">
        <v>0</v>
      </c>
      <c r="AK122" s="12">
        <f>(AJ122+AI122)/30*7</f>
        <v>17.5</v>
      </c>
      <c r="AL122" s="6">
        <f>IF(AK122-C122&lt;0,0,AK122-C122)</f>
        <v>0</v>
      </c>
      <c r="AM122" s="6">
        <f>IF(AL122-R122-S122&lt;0,0,AL122-R122-S122)</f>
        <v>0</v>
      </c>
      <c r="AN122" s="5" t="str">
        <f t="shared" si="3"/>
        <v/>
      </c>
      <c r="AO122" s="5">
        <v>0</v>
      </c>
      <c r="AP122" s="9"/>
      <c r="AQ122" s="5" t="s">
        <v>1210</v>
      </c>
      <c r="AR122" s="5" t="s">
        <v>1210</v>
      </c>
      <c r="AS122" s="8"/>
      <c r="AT122" s="8"/>
      <c r="AU122" s="8"/>
      <c r="AV122" s="8"/>
      <c r="AW122" s="8"/>
      <c r="AX122" s="8"/>
      <c r="AY122" s="8"/>
      <c r="AZ122" s="8"/>
    </row>
    <row r="123" spans="1:52">
      <c r="A123" s="5" t="s">
        <v>559</v>
      </c>
      <c r="B123" s="5">
        <v>138</v>
      </c>
      <c r="C123" s="19">
        <v>25</v>
      </c>
      <c r="E123" s="14"/>
      <c r="F123" s="11"/>
      <c r="G123" s="11"/>
      <c r="H123" s="11"/>
      <c r="I123" s="11"/>
      <c r="J123" s="25"/>
      <c r="K123" s="11"/>
      <c r="L123" s="11"/>
      <c r="M123" s="19">
        <v>0</v>
      </c>
      <c r="O123" s="6"/>
      <c r="P123" s="16">
        <v>0</v>
      </c>
      <c r="Q123" s="16">
        <v>0</v>
      </c>
      <c r="R123" s="22"/>
      <c r="S123" s="22">
        <f t="shared" si="2"/>
        <v>0</v>
      </c>
      <c r="T123" s="5">
        <v>154</v>
      </c>
      <c r="U123" s="5">
        <v>661</v>
      </c>
      <c r="Y123" s="8"/>
      <c r="Z123" s="8"/>
      <c r="AA123" s="8"/>
      <c r="AB123" s="8"/>
      <c r="AC123" s="8"/>
      <c r="AD123" s="8"/>
      <c r="AE123" s="25"/>
      <c r="AF123" s="11"/>
      <c r="AG123" s="25"/>
      <c r="AH123" s="11"/>
      <c r="AI123" s="11">
        <v>74</v>
      </c>
      <c r="AJ123" s="19">
        <v>0</v>
      </c>
      <c r="AK123" s="12">
        <f>(AJ123+AI123)/30*7</f>
        <v>17.266666666666666</v>
      </c>
      <c r="AL123" s="6">
        <f>IF(AK123-C123&lt;0,0,AK123-C123)</f>
        <v>0</v>
      </c>
      <c r="AM123" s="6">
        <f>IF(AL123-R123-S123&lt;0,0,AL123-R123-S123)</f>
        <v>0</v>
      </c>
      <c r="AN123" s="5" t="str">
        <f t="shared" si="3"/>
        <v/>
      </c>
      <c r="AO123" s="5">
        <v>0</v>
      </c>
      <c r="AP123" s="9"/>
      <c r="AQ123" s="5" t="s">
        <v>1210</v>
      </c>
      <c r="AR123" s="5" t="s">
        <v>1210</v>
      </c>
      <c r="AS123" s="8"/>
      <c r="AT123" s="8"/>
      <c r="AU123" s="8"/>
      <c r="AV123" s="8"/>
      <c r="AW123" s="8"/>
      <c r="AX123" s="8"/>
      <c r="AY123" s="8"/>
      <c r="AZ123" s="8"/>
    </row>
    <row r="124" spans="1:52">
      <c r="A124" s="5" t="s">
        <v>1101</v>
      </c>
      <c r="B124" s="5">
        <v>279</v>
      </c>
      <c r="C124" s="19">
        <v>27</v>
      </c>
      <c r="E124" s="14"/>
      <c r="F124" s="11"/>
      <c r="G124" s="11"/>
      <c r="H124" s="11"/>
      <c r="I124" s="11"/>
      <c r="J124" s="25"/>
      <c r="K124" s="11"/>
      <c r="L124" s="11"/>
      <c r="M124" s="19">
        <v>0</v>
      </c>
      <c r="O124" s="6"/>
      <c r="P124" s="16">
        <v>0</v>
      </c>
      <c r="Q124" s="16">
        <v>0</v>
      </c>
      <c r="R124" s="22"/>
      <c r="S124" s="22">
        <f t="shared" si="2"/>
        <v>0</v>
      </c>
      <c r="T124" s="5" t="s">
        <v>1210</v>
      </c>
      <c r="U124" s="5" t="s">
        <v>1210</v>
      </c>
      <c r="Y124" s="8"/>
      <c r="Z124" s="8"/>
      <c r="AA124" s="8"/>
      <c r="AB124" s="8"/>
      <c r="AC124" s="8"/>
      <c r="AD124" s="8"/>
      <c r="AE124" s="25"/>
      <c r="AF124" s="11"/>
      <c r="AG124" s="25"/>
      <c r="AH124" s="11"/>
      <c r="AI124" s="11">
        <v>74</v>
      </c>
      <c r="AJ124" s="19">
        <v>0</v>
      </c>
      <c r="AK124" s="12">
        <f>(AJ124+AI124)/30*7</f>
        <v>17.266666666666666</v>
      </c>
      <c r="AL124" s="6">
        <f>IF(AK124-C124&lt;0,0,AK124-C124)</f>
        <v>0</v>
      </c>
      <c r="AM124" s="6">
        <f>IF(AL124-R124-S124&lt;0,0,AL124-R124-S124)</f>
        <v>0</v>
      </c>
      <c r="AN124" s="5" t="str">
        <f t="shared" si="3"/>
        <v/>
      </c>
      <c r="AO124" s="5">
        <v>0</v>
      </c>
      <c r="AP124" s="9"/>
      <c r="AQ124" s="5" t="s">
        <v>1210</v>
      </c>
      <c r="AR124" s="5" t="s">
        <v>1210</v>
      </c>
      <c r="AS124" s="8"/>
      <c r="AT124" s="8"/>
      <c r="AU124" s="8"/>
      <c r="AV124" s="8"/>
      <c r="AW124" s="8"/>
      <c r="AX124" s="8"/>
      <c r="AY124" s="8"/>
      <c r="AZ124" s="8"/>
    </row>
    <row r="125" spans="1:52">
      <c r="A125" s="5" t="s">
        <v>1091</v>
      </c>
      <c r="B125" s="5">
        <v>450</v>
      </c>
      <c r="C125" s="19">
        <v>38</v>
      </c>
      <c r="E125" s="14"/>
      <c r="F125" s="11"/>
      <c r="G125" s="11"/>
      <c r="H125" s="11"/>
      <c r="I125" s="11"/>
      <c r="J125" s="25"/>
      <c r="K125" s="11"/>
      <c r="L125" s="11"/>
      <c r="M125" s="19">
        <v>0</v>
      </c>
      <c r="O125" s="6"/>
      <c r="P125" s="16">
        <v>0</v>
      </c>
      <c r="Q125" s="16">
        <v>0</v>
      </c>
      <c r="R125" s="22"/>
      <c r="S125" s="22">
        <f t="shared" si="2"/>
        <v>0</v>
      </c>
      <c r="T125" s="5" t="s">
        <v>1210</v>
      </c>
      <c r="U125" s="5" t="s">
        <v>1210</v>
      </c>
      <c r="Y125" s="8"/>
      <c r="Z125" s="8"/>
      <c r="AA125" s="8"/>
      <c r="AB125" s="8"/>
      <c r="AC125" s="8"/>
      <c r="AD125" s="8"/>
      <c r="AE125" s="25"/>
      <c r="AF125" s="11"/>
      <c r="AG125" s="25"/>
      <c r="AH125" s="11"/>
      <c r="AI125" s="11">
        <v>74</v>
      </c>
      <c r="AJ125" s="19">
        <v>0</v>
      </c>
      <c r="AK125" s="12">
        <f>(AJ125+AI125)/30*7</f>
        <v>17.266666666666666</v>
      </c>
      <c r="AL125" s="6">
        <f>IF(AK125-C125&lt;0,0,AK125-C125)</f>
        <v>0</v>
      </c>
      <c r="AM125" s="6">
        <f>IF(AL125-R125-S125&lt;0,0,AL125-R125-S125)</f>
        <v>0</v>
      </c>
      <c r="AN125" s="5" t="str">
        <f t="shared" si="3"/>
        <v/>
      </c>
      <c r="AO125" s="5">
        <v>0</v>
      </c>
      <c r="AP125" s="9"/>
      <c r="AQ125" s="5" t="s">
        <v>1210</v>
      </c>
      <c r="AR125" s="5" t="s">
        <v>1210</v>
      </c>
      <c r="AS125" s="8"/>
      <c r="AT125" s="8"/>
      <c r="AU125" s="8"/>
      <c r="AV125" s="8"/>
      <c r="AW125" s="8"/>
      <c r="AX125" s="8"/>
      <c r="AY125" s="8"/>
      <c r="AZ125" s="8"/>
    </row>
    <row r="126" spans="1:52">
      <c r="A126" s="5" t="s">
        <v>672</v>
      </c>
      <c r="B126" s="5">
        <v>1097</v>
      </c>
      <c r="C126" s="19">
        <v>22</v>
      </c>
      <c r="E126" s="14"/>
      <c r="F126" s="11"/>
      <c r="G126" s="11"/>
      <c r="H126" s="11"/>
      <c r="I126" s="11"/>
      <c r="J126" s="25"/>
      <c r="K126" s="11"/>
      <c r="L126" s="11"/>
      <c r="M126" s="19">
        <v>0</v>
      </c>
      <c r="O126" s="6"/>
      <c r="P126" s="16">
        <v>0</v>
      </c>
      <c r="Q126" s="16">
        <v>0</v>
      </c>
      <c r="R126" s="22"/>
      <c r="S126" s="22">
        <f t="shared" si="2"/>
        <v>0</v>
      </c>
      <c r="T126" s="5">
        <v>864</v>
      </c>
      <c r="U126" s="5">
        <v>232</v>
      </c>
      <c r="Y126" s="8"/>
      <c r="Z126" s="8"/>
      <c r="AA126" s="8"/>
      <c r="AB126" s="8"/>
      <c r="AC126" s="8"/>
      <c r="AD126" s="8"/>
      <c r="AE126" s="25"/>
      <c r="AF126" s="11"/>
      <c r="AG126" s="25"/>
      <c r="AH126" s="11"/>
      <c r="AI126" s="11">
        <v>74</v>
      </c>
      <c r="AJ126" s="19">
        <v>0</v>
      </c>
      <c r="AK126" s="12">
        <f>(AJ126+AI126)/30*7</f>
        <v>17.266666666666666</v>
      </c>
      <c r="AL126" s="6">
        <f>IF(AK126-C126&lt;0,0,AK126-C126)</f>
        <v>0</v>
      </c>
      <c r="AM126" s="6">
        <f>IF(AL126-R126-S126&lt;0,0,AL126-R126-S126)</f>
        <v>0</v>
      </c>
      <c r="AN126" s="5" t="str">
        <f t="shared" si="3"/>
        <v/>
      </c>
      <c r="AO126" s="5">
        <v>0</v>
      </c>
      <c r="AP126" s="9"/>
      <c r="AQ126" s="5" t="s">
        <v>1210</v>
      </c>
      <c r="AR126" s="5" t="s">
        <v>1210</v>
      </c>
      <c r="AS126" s="8"/>
      <c r="AT126" s="8"/>
      <c r="AU126" s="8"/>
      <c r="AV126" s="8"/>
      <c r="AW126" s="8"/>
      <c r="AX126" s="8"/>
      <c r="AY126" s="8"/>
      <c r="AZ126" s="8"/>
    </row>
    <row r="127" spans="1:52">
      <c r="A127" s="5" t="s">
        <v>926</v>
      </c>
      <c r="B127" s="5">
        <v>1551</v>
      </c>
      <c r="C127" s="19">
        <v>29</v>
      </c>
      <c r="E127" s="14"/>
      <c r="F127" s="11"/>
      <c r="G127" s="11"/>
      <c r="H127" s="11"/>
      <c r="I127" s="11"/>
      <c r="J127" s="25"/>
      <c r="K127" s="11"/>
      <c r="L127" s="11"/>
      <c r="M127" s="19">
        <v>0</v>
      </c>
      <c r="O127" s="6"/>
      <c r="P127" s="16">
        <v>0</v>
      </c>
      <c r="Q127" s="16">
        <v>0</v>
      </c>
      <c r="R127" s="22"/>
      <c r="S127" s="22">
        <f t="shared" si="2"/>
        <v>0</v>
      </c>
      <c r="T127" s="5">
        <v>2100</v>
      </c>
      <c r="U127" s="5">
        <v>999</v>
      </c>
      <c r="Y127" s="8"/>
      <c r="Z127" s="8"/>
      <c r="AA127" s="8"/>
      <c r="AB127" s="8"/>
      <c r="AC127" s="8"/>
      <c r="AD127" s="8"/>
      <c r="AE127" s="25"/>
      <c r="AF127" s="11"/>
      <c r="AG127" s="25"/>
      <c r="AH127" s="11"/>
      <c r="AI127" s="11">
        <v>74</v>
      </c>
      <c r="AJ127" s="19">
        <v>0</v>
      </c>
      <c r="AK127" s="12">
        <f>(AJ127+AI127)/30*7</f>
        <v>17.266666666666666</v>
      </c>
      <c r="AL127" s="6">
        <f>IF(AK127-C127&lt;0,0,AK127-C127)</f>
        <v>0</v>
      </c>
      <c r="AM127" s="6">
        <f>IF(AL127-R127-S127&lt;0,0,AL127-R127-S127)</f>
        <v>0</v>
      </c>
      <c r="AN127" s="5" t="str">
        <f t="shared" si="3"/>
        <v/>
      </c>
      <c r="AO127" s="5">
        <v>0</v>
      </c>
      <c r="AP127" s="9"/>
      <c r="AQ127" s="5" t="s">
        <v>1210</v>
      </c>
      <c r="AR127" s="5" t="s">
        <v>1210</v>
      </c>
      <c r="AS127" s="8"/>
      <c r="AT127" s="8"/>
      <c r="AU127" s="8"/>
      <c r="AV127" s="8"/>
      <c r="AW127" s="8"/>
      <c r="AX127" s="8"/>
      <c r="AY127" s="8"/>
      <c r="AZ127" s="8"/>
    </row>
    <row r="128" spans="1:52">
      <c r="A128" s="5" t="s">
        <v>1007</v>
      </c>
      <c r="B128" s="5">
        <v>353</v>
      </c>
      <c r="C128" s="19">
        <v>22</v>
      </c>
      <c r="E128" s="14"/>
      <c r="F128" s="11"/>
      <c r="G128" s="11"/>
      <c r="H128" s="11"/>
      <c r="I128" s="11"/>
      <c r="J128" s="25"/>
      <c r="K128" s="11"/>
      <c r="L128" s="11"/>
      <c r="M128" s="19">
        <v>0</v>
      </c>
      <c r="O128" s="6"/>
      <c r="P128" s="16">
        <v>0</v>
      </c>
      <c r="Q128" s="16">
        <v>0</v>
      </c>
      <c r="R128" s="22"/>
      <c r="S128" s="22">
        <f t="shared" si="2"/>
        <v>0</v>
      </c>
      <c r="T128" s="5" t="s">
        <v>1210</v>
      </c>
      <c r="U128" s="5" t="s">
        <v>1210</v>
      </c>
      <c r="Y128" s="8"/>
      <c r="Z128" s="8"/>
      <c r="AA128" s="8"/>
      <c r="AB128" s="8"/>
      <c r="AC128" s="8"/>
      <c r="AD128" s="8"/>
      <c r="AE128" s="25"/>
      <c r="AF128" s="11"/>
      <c r="AG128" s="25"/>
      <c r="AH128" s="11"/>
      <c r="AI128" s="11">
        <v>73</v>
      </c>
      <c r="AJ128" s="19">
        <v>0</v>
      </c>
      <c r="AK128" s="12">
        <f>(AJ128+AI128)/30*7</f>
        <v>17.033333333333331</v>
      </c>
      <c r="AL128" s="6">
        <f>IF(AK128-C128&lt;0,0,AK128-C128)</f>
        <v>0</v>
      </c>
      <c r="AM128" s="6">
        <f>IF(AL128-R128-S128&lt;0,0,AL128-R128-S128)</f>
        <v>0</v>
      </c>
      <c r="AN128" s="5" t="str">
        <f t="shared" si="3"/>
        <v/>
      </c>
      <c r="AO128" s="5">
        <v>0</v>
      </c>
      <c r="AP128" s="9"/>
      <c r="AQ128" s="5" t="s">
        <v>1210</v>
      </c>
      <c r="AR128" s="5" t="s">
        <v>1210</v>
      </c>
      <c r="AS128" s="8"/>
      <c r="AT128" s="8"/>
      <c r="AU128" s="8"/>
      <c r="AV128" s="8"/>
      <c r="AW128" s="8"/>
      <c r="AX128" s="8"/>
      <c r="AY128" s="8"/>
      <c r="AZ128" s="8"/>
    </row>
    <row r="129" spans="1:52">
      <c r="A129" s="5" t="s">
        <v>883</v>
      </c>
      <c r="B129" s="5">
        <v>375</v>
      </c>
      <c r="C129" s="19">
        <v>29</v>
      </c>
      <c r="E129" s="14"/>
      <c r="F129" s="11"/>
      <c r="G129" s="11"/>
      <c r="H129" s="11"/>
      <c r="I129" s="11"/>
      <c r="J129" s="25"/>
      <c r="K129" s="11"/>
      <c r="L129" s="11"/>
      <c r="M129" s="19">
        <v>0</v>
      </c>
      <c r="O129" s="6"/>
      <c r="P129" s="16">
        <v>0</v>
      </c>
      <c r="Q129" s="16">
        <v>0</v>
      </c>
      <c r="R129" s="22"/>
      <c r="S129" s="22">
        <f t="shared" si="2"/>
        <v>0</v>
      </c>
      <c r="T129" s="5">
        <v>375</v>
      </c>
      <c r="U129" s="5">
        <v>29</v>
      </c>
      <c r="Y129" s="8"/>
      <c r="Z129" s="8"/>
      <c r="AA129" s="8"/>
      <c r="AB129" s="8"/>
      <c r="AC129" s="8"/>
      <c r="AD129" s="8"/>
      <c r="AE129" s="25"/>
      <c r="AF129" s="11"/>
      <c r="AG129" s="25"/>
      <c r="AH129" s="11"/>
      <c r="AI129" s="11">
        <v>73</v>
      </c>
      <c r="AJ129" s="19">
        <v>0</v>
      </c>
      <c r="AK129" s="12">
        <f>(AJ129+AI129)/30*7</f>
        <v>17.033333333333331</v>
      </c>
      <c r="AL129" s="6">
        <f>IF(AK129-C129&lt;0,0,AK129-C129)</f>
        <v>0</v>
      </c>
      <c r="AM129" s="6">
        <f>IF(AL129-R129-S129&lt;0,0,AL129-R129-S129)</f>
        <v>0</v>
      </c>
      <c r="AN129" s="5" t="str">
        <f t="shared" si="3"/>
        <v/>
      </c>
      <c r="AO129" s="5">
        <v>0</v>
      </c>
      <c r="AP129" s="9"/>
      <c r="AQ129" s="5" t="s">
        <v>1210</v>
      </c>
      <c r="AR129" s="5" t="s">
        <v>1210</v>
      </c>
      <c r="AS129" s="8"/>
      <c r="AT129" s="8"/>
      <c r="AU129" s="8"/>
      <c r="AV129" s="8"/>
      <c r="AW129" s="8"/>
      <c r="AX129" s="8"/>
      <c r="AY129" s="8"/>
      <c r="AZ129" s="8"/>
    </row>
    <row r="130" spans="1:52">
      <c r="A130" s="5" t="s">
        <v>655</v>
      </c>
      <c r="B130" s="5">
        <v>1415</v>
      </c>
      <c r="C130" s="19">
        <v>27</v>
      </c>
      <c r="E130" s="14"/>
      <c r="F130" s="11"/>
      <c r="G130" s="11"/>
      <c r="H130" s="11"/>
      <c r="I130" s="11"/>
      <c r="J130" s="25"/>
      <c r="K130" s="11"/>
      <c r="L130" s="11"/>
      <c r="M130" s="19">
        <v>0</v>
      </c>
      <c r="O130" s="6"/>
      <c r="P130" s="16">
        <v>829</v>
      </c>
      <c r="Q130" s="16">
        <v>0</v>
      </c>
      <c r="R130" s="22"/>
      <c r="S130" s="22">
        <f t="shared" si="2"/>
        <v>0</v>
      </c>
      <c r="T130" s="5">
        <v>905</v>
      </c>
      <c r="U130" s="5">
        <v>425</v>
      </c>
      <c r="Y130" s="8"/>
      <c r="Z130" s="8"/>
      <c r="AA130" s="8"/>
      <c r="AB130" s="8"/>
      <c r="AC130" s="8"/>
      <c r="AD130" s="8"/>
      <c r="AE130" s="25"/>
      <c r="AF130" s="11"/>
      <c r="AG130" s="25"/>
      <c r="AH130" s="11"/>
      <c r="AI130" s="11">
        <v>73</v>
      </c>
      <c r="AJ130" s="19">
        <v>0</v>
      </c>
      <c r="AK130" s="12">
        <f>(AJ130+AI130)/30*7</f>
        <v>17.033333333333331</v>
      </c>
      <c r="AL130" s="6">
        <f>IF(AK130-C130&lt;0,0,AK130-C130)</f>
        <v>0</v>
      </c>
      <c r="AM130" s="6">
        <f>IF(AL130-R130-S130&lt;0,0,AL130-R130-S130)</f>
        <v>0</v>
      </c>
      <c r="AN130" s="5" t="str">
        <f t="shared" si="3"/>
        <v/>
      </c>
      <c r="AO130" s="5">
        <v>0</v>
      </c>
      <c r="AP130" s="9"/>
      <c r="AQ130" s="5" t="s">
        <v>1210</v>
      </c>
      <c r="AR130" s="5" t="s">
        <v>1230</v>
      </c>
      <c r="AS130" s="8"/>
      <c r="AT130" s="8"/>
      <c r="AU130" s="8"/>
      <c r="AV130" s="8"/>
      <c r="AW130" s="8"/>
      <c r="AX130" s="8"/>
      <c r="AY130" s="8"/>
      <c r="AZ130" s="8"/>
    </row>
    <row r="131" spans="1:52">
      <c r="A131" s="5" t="s">
        <v>833</v>
      </c>
      <c r="B131" s="5" t="s">
        <v>1175</v>
      </c>
      <c r="C131" s="19">
        <v>35</v>
      </c>
      <c r="E131" s="14"/>
      <c r="F131" s="11"/>
      <c r="G131" s="11"/>
      <c r="H131" s="11"/>
      <c r="I131" s="11"/>
      <c r="J131" s="25"/>
      <c r="K131" s="11"/>
      <c r="L131" s="11"/>
      <c r="M131" s="19">
        <v>0</v>
      </c>
      <c r="O131" s="6"/>
      <c r="P131" s="16">
        <v>0</v>
      </c>
      <c r="Q131" s="16">
        <v>0</v>
      </c>
      <c r="R131" s="22"/>
      <c r="S131" s="22">
        <f t="shared" si="2"/>
        <v>0</v>
      </c>
      <c r="T131" s="5" t="s">
        <v>1210</v>
      </c>
      <c r="U131" s="5" t="s">
        <v>1210</v>
      </c>
      <c r="Y131" s="8"/>
      <c r="Z131" s="8"/>
      <c r="AA131" s="8"/>
      <c r="AB131" s="8"/>
      <c r="AC131" s="8"/>
      <c r="AD131" s="8"/>
      <c r="AE131" s="25"/>
      <c r="AF131" s="11"/>
      <c r="AG131" s="25"/>
      <c r="AH131" s="11"/>
      <c r="AI131" s="11">
        <v>73</v>
      </c>
      <c r="AJ131" s="19">
        <v>0</v>
      </c>
      <c r="AK131" s="12">
        <f>(AJ131+AI131)/30*7</f>
        <v>17.033333333333331</v>
      </c>
      <c r="AL131" s="6">
        <f>IF(AK131-C131&lt;0,0,AK131-C131)</f>
        <v>0</v>
      </c>
      <c r="AM131" s="6">
        <f>IF(AL131-R131-S131&lt;0,0,AL131-R131-S131)</f>
        <v>0</v>
      </c>
      <c r="AN131" s="5" t="str">
        <f t="shared" si="3"/>
        <v/>
      </c>
      <c r="AO131" s="5">
        <v>0</v>
      </c>
      <c r="AP131" s="9"/>
      <c r="AQ131" s="5" t="s">
        <v>1210</v>
      </c>
      <c r="AR131" s="5" t="s">
        <v>1210</v>
      </c>
      <c r="AS131" s="8"/>
      <c r="AT131" s="8"/>
      <c r="AU131" s="8"/>
      <c r="AV131" s="8"/>
      <c r="AW131" s="8"/>
      <c r="AX131" s="8"/>
      <c r="AY131" s="8"/>
      <c r="AZ131" s="8"/>
    </row>
    <row r="132" spans="1:52">
      <c r="A132" s="5" t="s">
        <v>1137</v>
      </c>
      <c r="B132" s="5">
        <v>743</v>
      </c>
      <c r="C132" s="19">
        <v>35</v>
      </c>
      <c r="E132" s="14"/>
      <c r="F132" s="11"/>
      <c r="G132" s="11"/>
      <c r="H132" s="11"/>
      <c r="I132" s="11"/>
      <c r="J132" s="25"/>
      <c r="K132" s="11"/>
      <c r="L132" s="11"/>
      <c r="M132" s="19">
        <v>0</v>
      </c>
      <c r="O132" s="6"/>
      <c r="P132" s="16">
        <v>0</v>
      </c>
      <c r="Q132" s="16">
        <v>0</v>
      </c>
      <c r="R132" s="22"/>
      <c r="S132" s="22">
        <f t="shared" ref="S132:S195" si="4">IF(AL132&gt;0,IF(Q132&gt;=AL132,ROUND(AL132,0),Q132),0)</f>
        <v>0</v>
      </c>
      <c r="T132" s="5">
        <v>374</v>
      </c>
      <c r="U132" s="5">
        <v>435</v>
      </c>
      <c r="Y132" s="8"/>
      <c r="Z132" s="8"/>
      <c r="AA132" s="8"/>
      <c r="AB132" s="8"/>
      <c r="AC132" s="8"/>
      <c r="AD132" s="8"/>
      <c r="AE132" s="25"/>
      <c r="AF132" s="11"/>
      <c r="AG132" s="25"/>
      <c r="AH132" s="11"/>
      <c r="AI132" s="11">
        <v>72</v>
      </c>
      <c r="AJ132" s="19">
        <v>0</v>
      </c>
      <c r="AK132" s="12">
        <f>(AJ132+AI132)/30*7</f>
        <v>16.8</v>
      </c>
      <c r="AL132" s="6">
        <f>IF(AK132-C132&lt;0,0,AK132-C132)</f>
        <v>0</v>
      </c>
      <c r="AM132" s="6">
        <f>IF(AL132-R132-S132&lt;0,0,AL132-R132-S132)</f>
        <v>0</v>
      </c>
      <c r="AN132" s="5" t="str">
        <f t="shared" ref="AN132:AN195" si="5">IF(AM132&gt;0,IF(LEN(U132)=0,IF(ROUND(AM132-AO132,0)&gt;0,ROUND(AM132-AO132,0),""),IF(U132+AO132&gt;=AM132,"",ROUND(AM132-U132-AO132,0))),"")</f>
        <v/>
      </c>
      <c r="AO132" s="5">
        <v>0</v>
      </c>
      <c r="AP132" s="9"/>
      <c r="AQ132" s="5" t="s">
        <v>1210</v>
      </c>
      <c r="AR132" s="5" t="s">
        <v>1210</v>
      </c>
      <c r="AS132" s="8"/>
      <c r="AT132" s="8"/>
      <c r="AU132" s="8"/>
      <c r="AV132" s="8"/>
      <c r="AW132" s="8"/>
      <c r="AX132" s="8"/>
      <c r="AY132" s="8"/>
      <c r="AZ132" s="8"/>
    </row>
    <row r="133" spans="1:52">
      <c r="A133" s="5" t="s">
        <v>897</v>
      </c>
      <c r="B133" s="5">
        <v>932</v>
      </c>
      <c r="C133" s="19">
        <v>30</v>
      </c>
      <c r="E133" s="14"/>
      <c r="F133" s="11"/>
      <c r="G133" s="11"/>
      <c r="H133" s="11"/>
      <c r="I133" s="11"/>
      <c r="J133" s="25"/>
      <c r="K133" s="11"/>
      <c r="L133" s="11"/>
      <c r="M133" s="19">
        <v>0</v>
      </c>
      <c r="O133" s="6"/>
      <c r="P133" s="16">
        <v>0</v>
      </c>
      <c r="Q133" s="16">
        <v>0</v>
      </c>
      <c r="R133" s="22"/>
      <c r="S133" s="22">
        <f t="shared" si="4"/>
        <v>0</v>
      </c>
      <c r="T133" s="5">
        <v>1040</v>
      </c>
      <c r="U133" s="5">
        <v>279</v>
      </c>
      <c r="Y133" s="8"/>
      <c r="Z133" s="8"/>
      <c r="AA133" s="8"/>
      <c r="AB133" s="8"/>
      <c r="AC133" s="8"/>
      <c r="AD133" s="8"/>
      <c r="AE133" s="25"/>
      <c r="AF133" s="11"/>
      <c r="AG133" s="25"/>
      <c r="AH133" s="11"/>
      <c r="AI133" s="11">
        <v>72</v>
      </c>
      <c r="AJ133" s="19">
        <v>0</v>
      </c>
      <c r="AK133" s="12">
        <f>(AJ133+AI133)/30*7</f>
        <v>16.8</v>
      </c>
      <c r="AL133" s="6">
        <f>IF(AK133-C133&lt;0,0,AK133-C133)</f>
        <v>0</v>
      </c>
      <c r="AM133" s="6">
        <f>IF(AL133-R133-S133&lt;0,0,AL133-R133-S133)</f>
        <v>0</v>
      </c>
      <c r="AN133" s="5" t="str">
        <f t="shared" si="5"/>
        <v/>
      </c>
      <c r="AO133" s="5">
        <v>0</v>
      </c>
      <c r="AP133" s="9"/>
      <c r="AQ133" s="5" t="s">
        <v>1210</v>
      </c>
      <c r="AR133" s="5" t="s">
        <v>1210</v>
      </c>
      <c r="AS133" s="8"/>
      <c r="AT133" s="8"/>
      <c r="AU133" s="8"/>
      <c r="AV133" s="8"/>
      <c r="AW133" s="8"/>
      <c r="AX133" s="8"/>
      <c r="AY133" s="8"/>
      <c r="AZ133" s="8"/>
    </row>
    <row r="134" spans="1:52">
      <c r="A134" s="5" t="s">
        <v>606</v>
      </c>
      <c r="B134" s="5" t="s">
        <v>1157</v>
      </c>
      <c r="C134" s="19">
        <v>27</v>
      </c>
      <c r="E134" s="14"/>
      <c r="F134" s="11"/>
      <c r="G134" s="11"/>
      <c r="H134" s="11"/>
      <c r="I134" s="11"/>
      <c r="J134" s="25"/>
      <c r="K134" s="11"/>
      <c r="L134" s="11"/>
      <c r="M134" s="19">
        <v>0</v>
      </c>
      <c r="O134" s="6"/>
      <c r="P134" s="16">
        <v>0</v>
      </c>
      <c r="Q134" s="16">
        <v>0</v>
      </c>
      <c r="R134" s="22"/>
      <c r="S134" s="22">
        <f t="shared" si="4"/>
        <v>0</v>
      </c>
      <c r="T134" s="5" t="s">
        <v>1210</v>
      </c>
      <c r="U134" s="5" t="s">
        <v>1210</v>
      </c>
      <c r="Y134" s="8"/>
      <c r="Z134" s="8"/>
      <c r="AA134" s="8"/>
      <c r="AB134" s="8"/>
      <c r="AC134" s="8"/>
      <c r="AD134" s="8"/>
      <c r="AE134" s="25"/>
      <c r="AF134" s="11"/>
      <c r="AG134" s="25"/>
      <c r="AH134" s="11"/>
      <c r="AI134" s="11">
        <v>72</v>
      </c>
      <c r="AJ134" s="19">
        <v>0</v>
      </c>
      <c r="AK134" s="12">
        <f>(AJ134+AI134)/30*7</f>
        <v>16.8</v>
      </c>
      <c r="AL134" s="6">
        <f>IF(AK134-C134&lt;0,0,AK134-C134)</f>
        <v>0</v>
      </c>
      <c r="AM134" s="6">
        <f>IF(AL134-R134-S134&lt;0,0,AL134-R134-S134)</f>
        <v>0</v>
      </c>
      <c r="AN134" s="5" t="str">
        <f t="shared" si="5"/>
        <v/>
      </c>
      <c r="AO134" s="5">
        <v>0</v>
      </c>
      <c r="AP134" s="9"/>
      <c r="AQ134" s="5" t="s">
        <v>1210</v>
      </c>
      <c r="AR134" s="5" t="s">
        <v>1210</v>
      </c>
      <c r="AS134" s="8"/>
      <c r="AT134" s="8"/>
      <c r="AU134" s="8"/>
      <c r="AV134" s="8"/>
      <c r="AW134" s="8"/>
      <c r="AX134" s="8"/>
      <c r="AY134" s="8"/>
      <c r="AZ134" s="8"/>
    </row>
    <row r="135" spans="1:52">
      <c r="A135" s="5" t="s">
        <v>1025</v>
      </c>
      <c r="B135" s="5">
        <v>761</v>
      </c>
      <c r="C135" s="19">
        <v>24</v>
      </c>
      <c r="E135" s="14"/>
      <c r="F135" s="11"/>
      <c r="G135" s="11"/>
      <c r="H135" s="11"/>
      <c r="I135" s="11"/>
      <c r="J135" s="25"/>
      <c r="K135" s="11"/>
      <c r="L135" s="11"/>
      <c r="M135" s="19">
        <v>0</v>
      </c>
      <c r="O135" s="6"/>
      <c r="P135" s="16">
        <v>0</v>
      </c>
      <c r="Q135" s="16">
        <v>0</v>
      </c>
      <c r="R135" s="22"/>
      <c r="S135" s="22">
        <f t="shared" si="4"/>
        <v>0</v>
      </c>
      <c r="T135" s="5">
        <v>875</v>
      </c>
      <c r="U135" s="5">
        <v>233</v>
      </c>
      <c r="Y135" s="8"/>
      <c r="Z135" s="8"/>
      <c r="AA135" s="8"/>
      <c r="AB135" s="8"/>
      <c r="AC135" s="8"/>
      <c r="AD135" s="8"/>
      <c r="AE135" s="25"/>
      <c r="AF135" s="11"/>
      <c r="AG135" s="25"/>
      <c r="AH135" s="11"/>
      <c r="AI135" s="11">
        <v>71</v>
      </c>
      <c r="AJ135" s="19">
        <v>0</v>
      </c>
      <c r="AK135" s="12">
        <f>(AJ135+AI135)/30*7</f>
        <v>16.566666666666666</v>
      </c>
      <c r="AL135" s="6">
        <f>IF(AK135-C135&lt;0,0,AK135-C135)</f>
        <v>0</v>
      </c>
      <c r="AM135" s="6">
        <f>IF(AL135-R135-S135&lt;0,0,AL135-R135-S135)</f>
        <v>0</v>
      </c>
      <c r="AN135" s="5" t="str">
        <f t="shared" si="5"/>
        <v/>
      </c>
      <c r="AO135" s="5">
        <v>0</v>
      </c>
      <c r="AP135" s="9"/>
      <c r="AQ135" s="5" t="s">
        <v>1210</v>
      </c>
      <c r="AR135" s="5" t="s">
        <v>1210</v>
      </c>
      <c r="AS135" s="8"/>
      <c r="AT135" s="8"/>
      <c r="AU135" s="8"/>
      <c r="AV135" s="8"/>
      <c r="AW135" s="8"/>
      <c r="AX135" s="8"/>
      <c r="AY135" s="8"/>
      <c r="AZ135" s="8"/>
    </row>
    <row r="136" spans="1:52">
      <c r="A136" s="5" t="s">
        <v>1004</v>
      </c>
      <c r="B136" s="5">
        <v>836</v>
      </c>
      <c r="C136" s="19">
        <v>17</v>
      </c>
      <c r="E136" s="14"/>
      <c r="F136" s="11"/>
      <c r="G136" s="11"/>
      <c r="H136" s="11"/>
      <c r="I136" s="11"/>
      <c r="J136" s="25"/>
      <c r="K136" s="11"/>
      <c r="L136" s="11"/>
      <c r="M136" s="19">
        <v>0</v>
      </c>
      <c r="O136" s="6"/>
      <c r="P136" s="16">
        <v>0</v>
      </c>
      <c r="Q136" s="16">
        <v>0</v>
      </c>
      <c r="R136" s="22"/>
      <c r="S136" s="22">
        <f t="shared" si="4"/>
        <v>0</v>
      </c>
      <c r="T136" s="5">
        <v>819</v>
      </c>
      <c r="U136" s="5">
        <v>499</v>
      </c>
      <c r="Y136" s="8"/>
      <c r="Z136" s="8"/>
      <c r="AA136" s="8"/>
      <c r="AB136" s="8"/>
      <c r="AC136" s="8"/>
      <c r="AD136" s="8"/>
      <c r="AE136" s="25"/>
      <c r="AF136" s="11"/>
      <c r="AG136" s="25"/>
      <c r="AH136" s="11"/>
      <c r="AI136" s="11">
        <v>71</v>
      </c>
      <c r="AJ136" s="19">
        <v>0</v>
      </c>
      <c r="AK136" s="12">
        <f>(AJ136+AI136)/30*7</f>
        <v>16.566666666666666</v>
      </c>
      <c r="AL136" s="6">
        <f>IF(AK136-C136&lt;0,0,AK136-C136)</f>
        <v>0</v>
      </c>
      <c r="AM136" s="6">
        <f>IF(AL136-R136-S136&lt;0,0,AL136-R136-S136)</f>
        <v>0</v>
      </c>
      <c r="AN136" s="5" t="str">
        <f t="shared" si="5"/>
        <v/>
      </c>
      <c r="AO136" s="5">
        <v>0</v>
      </c>
      <c r="AP136" s="9"/>
      <c r="AQ136" s="5" t="s">
        <v>1210</v>
      </c>
      <c r="AR136" s="5" t="s">
        <v>1210</v>
      </c>
      <c r="AS136" s="8"/>
      <c r="AT136" s="8"/>
      <c r="AU136" s="8"/>
      <c r="AV136" s="8"/>
      <c r="AW136" s="8"/>
      <c r="AX136" s="8"/>
      <c r="AY136" s="8"/>
      <c r="AZ136" s="8"/>
    </row>
    <row r="137" spans="1:52">
      <c r="A137" s="5" t="s">
        <v>1085</v>
      </c>
      <c r="B137" s="5">
        <v>1077</v>
      </c>
      <c r="C137" s="19">
        <v>29</v>
      </c>
      <c r="E137" s="14"/>
      <c r="F137" s="11"/>
      <c r="G137" s="11"/>
      <c r="H137" s="11"/>
      <c r="I137" s="11"/>
      <c r="J137" s="25"/>
      <c r="K137" s="11"/>
      <c r="L137" s="11"/>
      <c r="M137" s="19">
        <v>0</v>
      </c>
      <c r="O137" s="6"/>
      <c r="P137" s="16">
        <v>0</v>
      </c>
      <c r="Q137" s="16">
        <v>0</v>
      </c>
      <c r="R137" s="22"/>
      <c r="S137" s="22">
        <f t="shared" si="4"/>
        <v>0</v>
      </c>
      <c r="T137" s="5">
        <v>702</v>
      </c>
      <c r="U137" s="5">
        <v>329</v>
      </c>
      <c r="Y137" s="8"/>
      <c r="Z137" s="8"/>
      <c r="AA137" s="8"/>
      <c r="AB137" s="8"/>
      <c r="AC137" s="8"/>
      <c r="AD137" s="8"/>
      <c r="AE137" s="25"/>
      <c r="AF137" s="11"/>
      <c r="AG137" s="25"/>
      <c r="AH137" s="11"/>
      <c r="AI137" s="11">
        <v>71</v>
      </c>
      <c r="AJ137" s="19">
        <v>0</v>
      </c>
      <c r="AK137" s="12">
        <f>(AJ137+AI137)/30*7</f>
        <v>16.566666666666666</v>
      </c>
      <c r="AL137" s="6">
        <f>IF(AK137-C137&lt;0,0,AK137-C137)</f>
        <v>0</v>
      </c>
      <c r="AM137" s="6">
        <f>IF(AL137-R137-S137&lt;0,0,AL137-R137-S137)</f>
        <v>0</v>
      </c>
      <c r="AN137" s="5" t="str">
        <f t="shared" si="5"/>
        <v/>
      </c>
      <c r="AO137" s="5">
        <v>0</v>
      </c>
      <c r="AP137" s="9"/>
      <c r="AQ137" s="5" t="s">
        <v>1210</v>
      </c>
      <c r="AR137" s="5" t="s">
        <v>1210</v>
      </c>
      <c r="AS137" s="8"/>
      <c r="AT137" s="8"/>
      <c r="AU137" s="8"/>
      <c r="AV137" s="8"/>
      <c r="AW137" s="8"/>
      <c r="AX137" s="8"/>
      <c r="AY137" s="8"/>
      <c r="AZ137" s="8"/>
    </row>
    <row r="138" spans="1:52">
      <c r="A138" s="5" t="s">
        <v>1121</v>
      </c>
      <c r="B138" s="5">
        <v>1419</v>
      </c>
      <c r="C138" s="19">
        <v>20</v>
      </c>
      <c r="E138" s="14"/>
      <c r="F138" s="11"/>
      <c r="G138" s="11"/>
      <c r="H138" s="11"/>
      <c r="I138" s="11"/>
      <c r="J138" s="25"/>
      <c r="K138" s="11"/>
      <c r="L138" s="11"/>
      <c r="M138" s="19">
        <v>0</v>
      </c>
      <c r="O138" s="6"/>
      <c r="P138" s="16">
        <v>0</v>
      </c>
      <c r="Q138" s="16">
        <v>0</v>
      </c>
      <c r="R138" s="22"/>
      <c r="S138" s="22">
        <f t="shared" si="4"/>
        <v>0</v>
      </c>
      <c r="T138" s="5" t="s">
        <v>1210</v>
      </c>
      <c r="U138" s="5" t="s">
        <v>1210</v>
      </c>
      <c r="Y138" s="8"/>
      <c r="Z138" s="8"/>
      <c r="AA138" s="8"/>
      <c r="AB138" s="8"/>
      <c r="AC138" s="8"/>
      <c r="AD138" s="8"/>
      <c r="AE138" s="25"/>
      <c r="AF138" s="11"/>
      <c r="AG138" s="25"/>
      <c r="AH138" s="11"/>
      <c r="AI138" s="11">
        <v>71</v>
      </c>
      <c r="AJ138" s="19">
        <v>0</v>
      </c>
      <c r="AK138" s="12">
        <f>(AJ138+AI138)/30*7</f>
        <v>16.566666666666666</v>
      </c>
      <c r="AL138" s="6">
        <f>IF(AK138-C138&lt;0,0,AK138-C138)</f>
        <v>0</v>
      </c>
      <c r="AM138" s="6">
        <f>IF(AL138-R138-S138&lt;0,0,AL138-R138-S138)</f>
        <v>0</v>
      </c>
      <c r="AN138" s="5" t="str">
        <f t="shared" si="5"/>
        <v/>
      </c>
      <c r="AO138" s="5">
        <v>0</v>
      </c>
      <c r="AP138" s="9"/>
      <c r="AQ138" s="5" t="s">
        <v>1210</v>
      </c>
      <c r="AR138" s="5" t="s">
        <v>1230</v>
      </c>
      <c r="AS138" s="8"/>
      <c r="AT138" s="8"/>
      <c r="AU138" s="8"/>
      <c r="AV138" s="8"/>
      <c r="AW138" s="8"/>
      <c r="AX138" s="8"/>
      <c r="AY138" s="8"/>
      <c r="AZ138" s="8"/>
    </row>
    <row r="139" spans="1:52">
      <c r="A139" s="5" t="s">
        <v>1125</v>
      </c>
      <c r="B139" s="5">
        <v>1313</v>
      </c>
      <c r="C139" s="19">
        <v>18</v>
      </c>
      <c r="E139" s="14"/>
      <c r="F139" s="11"/>
      <c r="G139" s="11"/>
      <c r="H139" s="11"/>
      <c r="I139" s="11"/>
      <c r="J139" s="25"/>
      <c r="K139" s="11"/>
      <c r="L139" s="11"/>
      <c r="M139" s="19">
        <v>0</v>
      </c>
      <c r="O139" s="6"/>
      <c r="P139" s="16">
        <v>0</v>
      </c>
      <c r="Q139" s="16">
        <v>0</v>
      </c>
      <c r="R139" s="22"/>
      <c r="S139" s="22">
        <f t="shared" si="4"/>
        <v>0</v>
      </c>
      <c r="T139" s="5">
        <v>1848</v>
      </c>
      <c r="U139" s="5">
        <v>542</v>
      </c>
      <c r="Y139" s="8"/>
      <c r="Z139" s="8"/>
      <c r="AA139" s="8"/>
      <c r="AB139" s="8"/>
      <c r="AC139" s="8"/>
      <c r="AD139" s="8"/>
      <c r="AE139" s="25"/>
      <c r="AF139" s="11"/>
      <c r="AG139" s="25"/>
      <c r="AH139" s="11"/>
      <c r="AI139" s="11">
        <v>70</v>
      </c>
      <c r="AJ139" s="19">
        <v>0</v>
      </c>
      <c r="AK139" s="12">
        <f>(AJ139+AI139)/30*7</f>
        <v>16.333333333333336</v>
      </c>
      <c r="AL139" s="6">
        <f>IF(AK139-C139&lt;0,0,AK139-C139)</f>
        <v>0</v>
      </c>
      <c r="AM139" s="6">
        <f>IF(AL139-R139-S139&lt;0,0,AL139-R139-S139)</f>
        <v>0</v>
      </c>
      <c r="AN139" s="5" t="str">
        <f t="shared" si="5"/>
        <v/>
      </c>
      <c r="AO139" s="5">
        <v>0</v>
      </c>
      <c r="AP139" s="9"/>
      <c r="AQ139" s="5" t="s">
        <v>1210</v>
      </c>
      <c r="AR139" s="5" t="s">
        <v>1210</v>
      </c>
      <c r="AS139" s="8"/>
      <c r="AT139" s="8"/>
      <c r="AU139" s="8"/>
      <c r="AV139" s="8"/>
      <c r="AW139" s="8"/>
      <c r="AX139" s="8"/>
      <c r="AY139" s="8"/>
      <c r="AZ139" s="8"/>
    </row>
    <row r="140" spans="1:52">
      <c r="A140" s="5" t="s">
        <v>562</v>
      </c>
      <c r="B140" s="5">
        <v>672</v>
      </c>
      <c r="C140" s="19">
        <v>25</v>
      </c>
      <c r="E140" s="14"/>
      <c r="F140" s="11"/>
      <c r="G140" s="11"/>
      <c r="H140" s="11"/>
      <c r="I140" s="11"/>
      <c r="J140" s="25"/>
      <c r="K140" s="11"/>
      <c r="L140" s="11"/>
      <c r="M140" s="19">
        <v>0</v>
      </c>
      <c r="O140" s="6"/>
      <c r="P140" s="16">
        <v>0</v>
      </c>
      <c r="Q140" s="16">
        <v>0</v>
      </c>
      <c r="R140" s="22"/>
      <c r="S140" s="22">
        <f t="shared" si="4"/>
        <v>0</v>
      </c>
      <c r="T140" s="5" t="s">
        <v>1210</v>
      </c>
      <c r="U140" s="5" t="s">
        <v>1210</v>
      </c>
      <c r="Y140" s="8"/>
      <c r="Z140" s="8"/>
      <c r="AA140" s="8"/>
      <c r="AB140" s="8"/>
      <c r="AC140" s="8"/>
      <c r="AD140" s="8"/>
      <c r="AE140" s="25"/>
      <c r="AF140" s="11"/>
      <c r="AG140" s="25"/>
      <c r="AH140" s="11"/>
      <c r="AI140" s="11">
        <v>59</v>
      </c>
      <c r="AJ140" s="19">
        <v>10</v>
      </c>
      <c r="AK140" s="12">
        <f>(AJ140+AI140)/30*7</f>
        <v>16.099999999999998</v>
      </c>
      <c r="AL140" s="6">
        <f>IF(AK140-C140&lt;0,0,AK140-C140)</f>
        <v>0</v>
      </c>
      <c r="AM140" s="6">
        <f>IF(AL140-R140-S140&lt;0,0,AL140-R140-S140)</f>
        <v>0</v>
      </c>
      <c r="AN140" s="5" t="str">
        <f t="shared" si="5"/>
        <v/>
      </c>
      <c r="AO140" s="5">
        <v>0</v>
      </c>
      <c r="AP140" s="9"/>
      <c r="AQ140" s="5" t="s">
        <v>1210</v>
      </c>
      <c r="AR140" s="5" t="s">
        <v>1210</v>
      </c>
      <c r="AS140" s="8"/>
      <c r="AT140" s="8"/>
      <c r="AU140" s="8"/>
      <c r="AV140" s="8"/>
      <c r="AW140" s="8"/>
      <c r="AX140" s="8"/>
      <c r="AY140" s="8"/>
      <c r="AZ140" s="8"/>
    </row>
    <row r="141" spans="1:52">
      <c r="A141" s="5" t="s">
        <v>799</v>
      </c>
      <c r="B141" s="5">
        <v>833</v>
      </c>
      <c r="C141" s="19">
        <v>17</v>
      </c>
      <c r="E141" s="14"/>
      <c r="F141" s="11"/>
      <c r="G141" s="11"/>
      <c r="H141" s="11"/>
      <c r="I141" s="11"/>
      <c r="J141" s="25"/>
      <c r="K141" s="11"/>
      <c r="L141" s="11"/>
      <c r="M141" s="19">
        <v>0</v>
      </c>
      <c r="O141" s="6"/>
      <c r="P141" s="16">
        <v>0</v>
      </c>
      <c r="Q141" s="16">
        <v>0</v>
      </c>
      <c r="R141" s="22"/>
      <c r="S141" s="22">
        <f t="shared" si="4"/>
        <v>0</v>
      </c>
      <c r="T141" s="5">
        <v>913</v>
      </c>
      <c r="U141" s="5">
        <v>389</v>
      </c>
      <c r="Y141" s="8"/>
      <c r="Z141" s="8"/>
      <c r="AA141" s="8"/>
      <c r="AB141" s="8"/>
      <c r="AC141" s="8"/>
      <c r="AD141" s="8"/>
      <c r="AE141" s="25"/>
      <c r="AF141" s="11"/>
      <c r="AG141" s="25"/>
      <c r="AH141" s="11"/>
      <c r="AI141" s="11">
        <v>69</v>
      </c>
      <c r="AJ141" s="19">
        <v>0</v>
      </c>
      <c r="AK141" s="12">
        <f>(AJ141+AI141)/30*7</f>
        <v>16.099999999999998</v>
      </c>
      <c r="AL141" s="6">
        <f>IF(AK141-C141&lt;0,0,AK141-C141)</f>
        <v>0</v>
      </c>
      <c r="AM141" s="6">
        <f>IF(AL141-R141-S141&lt;0,0,AL141-R141-S141)</f>
        <v>0</v>
      </c>
      <c r="AN141" s="5" t="str">
        <f t="shared" si="5"/>
        <v/>
      </c>
      <c r="AO141" s="5">
        <v>0</v>
      </c>
      <c r="AP141" s="9"/>
      <c r="AQ141" s="5" t="s">
        <v>1210</v>
      </c>
      <c r="AR141" s="5" t="s">
        <v>1210</v>
      </c>
      <c r="AS141" s="8"/>
      <c r="AT141" s="8"/>
      <c r="AU141" s="8"/>
      <c r="AV141" s="8"/>
      <c r="AW141" s="8"/>
      <c r="AX141" s="8"/>
      <c r="AY141" s="8"/>
      <c r="AZ141" s="8"/>
    </row>
    <row r="142" spans="1:52">
      <c r="A142" s="5" t="s">
        <v>764</v>
      </c>
      <c r="B142" s="5">
        <v>933</v>
      </c>
      <c r="C142" s="19">
        <v>30</v>
      </c>
      <c r="E142" s="14"/>
      <c r="F142" s="11"/>
      <c r="G142" s="11"/>
      <c r="H142" s="11"/>
      <c r="I142" s="11"/>
      <c r="J142" s="25"/>
      <c r="K142" s="11"/>
      <c r="L142" s="11"/>
      <c r="M142" s="19">
        <v>0</v>
      </c>
      <c r="O142" s="6"/>
      <c r="P142" s="16">
        <v>0</v>
      </c>
      <c r="Q142" s="16">
        <v>0</v>
      </c>
      <c r="R142" s="22"/>
      <c r="S142" s="22">
        <f t="shared" si="4"/>
        <v>0</v>
      </c>
      <c r="T142" s="5" t="s">
        <v>1210</v>
      </c>
      <c r="U142" s="5" t="s">
        <v>1210</v>
      </c>
      <c r="Y142" s="8"/>
      <c r="Z142" s="8"/>
      <c r="AA142" s="8"/>
      <c r="AB142" s="8"/>
      <c r="AC142" s="8"/>
      <c r="AD142" s="8"/>
      <c r="AE142" s="25"/>
      <c r="AF142" s="11"/>
      <c r="AG142" s="25"/>
      <c r="AH142" s="11"/>
      <c r="AI142" s="11">
        <v>69</v>
      </c>
      <c r="AJ142" s="19">
        <v>0</v>
      </c>
      <c r="AK142" s="12">
        <f>(AJ142+AI142)/30*7</f>
        <v>16.099999999999998</v>
      </c>
      <c r="AL142" s="6">
        <f>IF(AK142-C142&lt;0,0,AK142-C142)</f>
        <v>0</v>
      </c>
      <c r="AM142" s="6">
        <f>IF(AL142-R142-S142&lt;0,0,AL142-R142-S142)</f>
        <v>0</v>
      </c>
      <c r="AN142" s="5" t="str">
        <f t="shared" si="5"/>
        <v/>
      </c>
      <c r="AO142" s="5">
        <v>0</v>
      </c>
      <c r="AP142" s="9"/>
      <c r="AQ142" s="5" t="s">
        <v>1210</v>
      </c>
      <c r="AR142" s="5" t="s">
        <v>1210</v>
      </c>
      <c r="AS142" s="8"/>
      <c r="AT142" s="8"/>
      <c r="AU142" s="8"/>
      <c r="AV142" s="8"/>
      <c r="AW142" s="8"/>
      <c r="AX142" s="8"/>
      <c r="AY142" s="8"/>
      <c r="AZ142" s="8"/>
    </row>
    <row r="143" spans="1:52">
      <c r="A143" s="5" t="s">
        <v>942</v>
      </c>
      <c r="B143" s="5" t="s">
        <v>1187</v>
      </c>
      <c r="C143" s="19">
        <v>32</v>
      </c>
      <c r="E143" s="14"/>
      <c r="F143" s="11"/>
      <c r="G143" s="11"/>
      <c r="H143" s="11"/>
      <c r="I143" s="11"/>
      <c r="J143" s="25"/>
      <c r="K143" s="11"/>
      <c r="L143" s="11"/>
      <c r="M143" s="19">
        <v>0</v>
      </c>
      <c r="O143" s="6"/>
      <c r="P143" s="16">
        <v>0</v>
      </c>
      <c r="Q143" s="16">
        <v>0</v>
      </c>
      <c r="R143" s="22"/>
      <c r="S143" s="22">
        <f t="shared" si="4"/>
        <v>0</v>
      </c>
      <c r="T143" s="5" t="s">
        <v>1210</v>
      </c>
      <c r="U143" s="5" t="s">
        <v>1210</v>
      </c>
      <c r="Y143" s="8"/>
      <c r="Z143" s="8"/>
      <c r="AA143" s="8"/>
      <c r="AB143" s="8"/>
      <c r="AC143" s="8"/>
      <c r="AD143" s="8"/>
      <c r="AE143" s="25"/>
      <c r="AF143" s="11"/>
      <c r="AG143" s="25"/>
      <c r="AH143" s="11"/>
      <c r="AI143" s="11">
        <v>69</v>
      </c>
      <c r="AJ143" s="19">
        <v>0</v>
      </c>
      <c r="AK143" s="12">
        <f>(AJ143+AI143)/30*7</f>
        <v>16.099999999999998</v>
      </c>
      <c r="AL143" s="6">
        <f>IF(AK143-C143&lt;0,0,AK143-C143)</f>
        <v>0</v>
      </c>
      <c r="AM143" s="6">
        <f>IF(AL143-R143-S143&lt;0,0,AL143-R143-S143)</f>
        <v>0</v>
      </c>
      <c r="AN143" s="5" t="str">
        <f t="shared" si="5"/>
        <v/>
      </c>
      <c r="AO143" s="5">
        <v>0</v>
      </c>
      <c r="AP143" s="9"/>
      <c r="AQ143" s="5" t="s">
        <v>1210</v>
      </c>
      <c r="AR143" s="5" t="s">
        <v>1210</v>
      </c>
      <c r="AS143" s="8"/>
      <c r="AT143" s="8"/>
      <c r="AU143" s="8"/>
      <c r="AV143" s="8"/>
      <c r="AW143" s="8"/>
      <c r="AX143" s="8"/>
      <c r="AY143" s="8"/>
      <c r="AZ143" s="8"/>
    </row>
    <row r="144" spans="1:52">
      <c r="A144" s="5" t="s">
        <v>893</v>
      </c>
      <c r="B144" s="5" t="s">
        <v>1182</v>
      </c>
      <c r="C144" s="19">
        <v>30</v>
      </c>
      <c r="E144" s="14"/>
      <c r="F144" s="11"/>
      <c r="G144" s="11"/>
      <c r="H144" s="11"/>
      <c r="I144" s="11"/>
      <c r="J144" s="25"/>
      <c r="K144" s="11"/>
      <c r="L144" s="11"/>
      <c r="M144" s="19">
        <v>0</v>
      </c>
      <c r="O144" s="6"/>
      <c r="P144" s="16">
        <v>0</v>
      </c>
      <c r="Q144" s="16">
        <v>0</v>
      </c>
      <c r="R144" s="22"/>
      <c r="S144" s="22">
        <f t="shared" si="4"/>
        <v>0</v>
      </c>
      <c r="T144" s="5" t="s">
        <v>1210</v>
      </c>
      <c r="U144" s="5" t="s">
        <v>1210</v>
      </c>
      <c r="Y144" s="8"/>
      <c r="Z144" s="8"/>
      <c r="AA144" s="8"/>
      <c r="AB144" s="8"/>
      <c r="AC144" s="8"/>
      <c r="AD144" s="8"/>
      <c r="AE144" s="25"/>
      <c r="AF144" s="11"/>
      <c r="AG144" s="25"/>
      <c r="AH144" s="11"/>
      <c r="AI144" s="11">
        <v>69</v>
      </c>
      <c r="AJ144" s="19">
        <v>0</v>
      </c>
      <c r="AK144" s="12">
        <f>(AJ144+AI144)/30*7</f>
        <v>16.099999999999998</v>
      </c>
      <c r="AL144" s="6">
        <f>IF(AK144-C144&lt;0,0,AK144-C144)</f>
        <v>0</v>
      </c>
      <c r="AM144" s="6">
        <f>IF(AL144-R144-S144&lt;0,0,AL144-R144-S144)</f>
        <v>0</v>
      </c>
      <c r="AN144" s="5" t="str">
        <f t="shared" si="5"/>
        <v/>
      </c>
      <c r="AO144" s="5">
        <v>0</v>
      </c>
      <c r="AP144" s="9"/>
      <c r="AQ144" s="5" t="s">
        <v>1210</v>
      </c>
      <c r="AR144" s="5" t="s">
        <v>1210</v>
      </c>
      <c r="AS144" s="8"/>
      <c r="AT144" s="8"/>
      <c r="AU144" s="8"/>
      <c r="AV144" s="8"/>
      <c r="AW144" s="8"/>
      <c r="AX144" s="8"/>
      <c r="AY144" s="8"/>
      <c r="AZ144" s="8"/>
    </row>
    <row r="145" spans="1:52">
      <c r="A145" s="5" t="s">
        <v>527</v>
      </c>
      <c r="B145" s="5">
        <v>1043</v>
      </c>
      <c r="C145" s="19">
        <v>39</v>
      </c>
      <c r="E145" s="14"/>
      <c r="F145" s="11"/>
      <c r="G145" s="11"/>
      <c r="H145" s="11"/>
      <c r="I145" s="11"/>
      <c r="J145" s="25"/>
      <c r="K145" s="11"/>
      <c r="L145" s="11"/>
      <c r="M145" s="19">
        <v>0</v>
      </c>
      <c r="O145" s="6"/>
      <c r="P145" s="16">
        <v>0</v>
      </c>
      <c r="Q145" s="16">
        <v>0</v>
      </c>
      <c r="R145" s="22"/>
      <c r="S145" s="22">
        <f t="shared" si="4"/>
        <v>0</v>
      </c>
      <c r="T145" s="5" t="s">
        <v>1210</v>
      </c>
      <c r="U145" s="5" t="s">
        <v>1210</v>
      </c>
      <c r="Y145" s="8"/>
      <c r="Z145" s="8"/>
      <c r="AA145" s="8"/>
      <c r="AB145" s="8"/>
      <c r="AC145" s="8"/>
      <c r="AD145" s="8"/>
      <c r="AE145" s="25"/>
      <c r="AF145" s="11"/>
      <c r="AG145" s="25"/>
      <c r="AH145" s="11"/>
      <c r="AI145" s="11">
        <v>68</v>
      </c>
      <c r="AJ145" s="19">
        <v>0</v>
      </c>
      <c r="AK145" s="12">
        <f>(AJ145+AI145)/30*7</f>
        <v>15.866666666666667</v>
      </c>
      <c r="AL145" s="6">
        <f>IF(AK145-C145&lt;0,0,AK145-C145)</f>
        <v>0</v>
      </c>
      <c r="AM145" s="6">
        <f>IF(AL145-R145-S145&lt;0,0,AL145-R145-S145)</f>
        <v>0</v>
      </c>
      <c r="AN145" s="5" t="str">
        <f t="shared" si="5"/>
        <v/>
      </c>
      <c r="AO145" s="5">
        <v>0</v>
      </c>
      <c r="AP145" s="9"/>
      <c r="AQ145" s="5" t="s">
        <v>1210</v>
      </c>
      <c r="AR145" s="5" t="s">
        <v>1210</v>
      </c>
      <c r="AS145" s="8"/>
      <c r="AT145" s="8"/>
      <c r="AU145" s="8"/>
      <c r="AV145" s="8"/>
      <c r="AW145" s="8"/>
      <c r="AX145" s="8"/>
      <c r="AY145" s="8"/>
      <c r="AZ145" s="8"/>
    </row>
    <row r="146" spans="1:52">
      <c r="A146" s="5" t="s">
        <v>1057</v>
      </c>
      <c r="B146" s="5">
        <v>365</v>
      </c>
      <c r="C146" s="19">
        <v>31</v>
      </c>
      <c r="E146" s="14"/>
      <c r="F146" s="11"/>
      <c r="G146" s="11"/>
      <c r="H146" s="11"/>
      <c r="I146" s="11"/>
      <c r="J146" s="25"/>
      <c r="K146" s="11"/>
      <c r="L146" s="11"/>
      <c r="M146" s="19">
        <v>0</v>
      </c>
      <c r="O146" s="6"/>
      <c r="P146" s="16">
        <v>0</v>
      </c>
      <c r="Q146" s="16">
        <v>0</v>
      </c>
      <c r="R146" s="22"/>
      <c r="S146" s="22">
        <f t="shared" si="4"/>
        <v>0</v>
      </c>
      <c r="T146" s="5">
        <v>536</v>
      </c>
      <c r="U146" s="5">
        <v>894</v>
      </c>
      <c r="Y146" s="8"/>
      <c r="Z146" s="8"/>
      <c r="AA146" s="8"/>
      <c r="AB146" s="8"/>
      <c r="AC146" s="8"/>
      <c r="AD146" s="8"/>
      <c r="AE146" s="25"/>
      <c r="AF146" s="11"/>
      <c r="AG146" s="25"/>
      <c r="AH146" s="11"/>
      <c r="AI146" s="11">
        <v>68</v>
      </c>
      <c r="AJ146" s="19">
        <v>0</v>
      </c>
      <c r="AK146" s="12">
        <f>(AJ146+AI146)/30*7</f>
        <v>15.866666666666667</v>
      </c>
      <c r="AL146" s="6">
        <f>IF(AK146-C146&lt;0,0,AK146-C146)</f>
        <v>0</v>
      </c>
      <c r="AM146" s="6">
        <f>IF(AL146-R146-S146&lt;0,0,AL146-R146-S146)</f>
        <v>0</v>
      </c>
      <c r="AN146" s="5" t="str">
        <f t="shared" si="5"/>
        <v/>
      </c>
      <c r="AO146" s="5">
        <v>0</v>
      </c>
      <c r="AP146" s="9"/>
      <c r="AQ146" s="5" t="s">
        <v>1210</v>
      </c>
      <c r="AR146" s="5" t="s">
        <v>1210</v>
      </c>
      <c r="AS146" s="8"/>
      <c r="AT146" s="8"/>
      <c r="AU146" s="8"/>
      <c r="AV146" s="8"/>
      <c r="AW146" s="8"/>
      <c r="AX146" s="8"/>
      <c r="AY146" s="8"/>
      <c r="AZ146" s="8"/>
    </row>
    <row r="147" spans="1:52">
      <c r="A147" s="5" t="s">
        <v>526</v>
      </c>
      <c r="B147" s="5">
        <v>753</v>
      </c>
      <c r="C147" s="19">
        <v>23</v>
      </c>
      <c r="E147" s="14"/>
      <c r="F147" s="11"/>
      <c r="G147" s="11"/>
      <c r="H147" s="11"/>
      <c r="I147" s="11"/>
      <c r="J147" s="25"/>
      <c r="K147" s="11"/>
      <c r="L147" s="11"/>
      <c r="M147" s="19">
        <v>0</v>
      </c>
      <c r="O147" s="6"/>
      <c r="P147" s="16">
        <v>0</v>
      </c>
      <c r="Q147" s="16">
        <v>0</v>
      </c>
      <c r="R147" s="22"/>
      <c r="S147" s="22">
        <f t="shared" si="4"/>
        <v>0</v>
      </c>
      <c r="T147" s="5">
        <v>850</v>
      </c>
      <c r="U147" s="5">
        <v>830</v>
      </c>
      <c r="Y147" s="8"/>
      <c r="Z147" s="8"/>
      <c r="AA147" s="8"/>
      <c r="AB147" s="8"/>
      <c r="AC147" s="8"/>
      <c r="AD147" s="8"/>
      <c r="AE147" s="25"/>
      <c r="AF147" s="11"/>
      <c r="AG147" s="25"/>
      <c r="AH147" s="11"/>
      <c r="AI147" s="11">
        <v>68</v>
      </c>
      <c r="AJ147" s="19">
        <v>0</v>
      </c>
      <c r="AK147" s="12">
        <f>(AJ147+AI147)/30*7</f>
        <v>15.866666666666667</v>
      </c>
      <c r="AL147" s="6">
        <f>IF(AK147-C147&lt;0,0,AK147-C147)</f>
        <v>0</v>
      </c>
      <c r="AM147" s="6">
        <f>IF(AL147-R147-S147&lt;0,0,AL147-R147-S147)</f>
        <v>0</v>
      </c>
      <c r="AN147" s="5" t="str">
        <f t="shared" si="5"/>
        <v/>
      </c>
      <c r="AO147" s="5">
        <v>0</v>
      </c>
      <c r="AP147" s="9"/>
      <c r="AQ147" s="5" t="s">
        <v>1210</v>
      </c>
      <c r="AR147" s="5" t="s">
        <v>1210</v>
      </c>
      <c r="AS147" s="8"/>
      <c r="AT147" s="8"/>
      <c r="AU147" s="8"/>
      <c r="AV147" s="8"/>
      <c r="AW147" s="8"/>
      <c r="AX147" s="8"/>
      <c r="AY147" s="8"/>
      <c r="AZ147" s="8"/>
    </row>
    <row r="148" spans="1:52">
      <c r="A148" s="5" t="s">
        <v>1133</v>
      </c>
      <c r="B148" s="5">
        <v>814</v>
      </c>
      <c r="C148" s="19">
        <v>16</v>
      </c>
      <c r="E148" s="14"/>
      <c r="F148" s="11"/>
      <c r="G148" s="11"/>
      <c r="H148" s="11"/>
      <c r="I148" s="11"/>
      <c r="J148" s="25"/>
      <c r="K148" s="11"/>
      <c r="L148" s="11"/>
      <c r="M148" s="19">
        <v>0</v>
      </c>
      <c r="O148" s="6"/>
      <c r="P148" s="16">
        <v>0</v>
      </c>
      <c r="Q148" s="16">
        <v>0</v>
      </c>
      <c r="R148" s="22"/>
      <c r="S148" s="22">
        <f t="shared" si="4"/>
        <v>0</v>
      </c>
      <c r="T148" s="5">
        <v>383</v>
      </c>
      <c r="U148" s="5">
        <v>997</v>
      </c>
      <c r="Y148" s="8"/>
      <c r="Z148" s="8"/>
      <c r="AA148" s="8"/>
      <c r="AB148" s="8"/>
      <c r="AC148" s="8"/>
      <c r="AD148" s="8"/>
      <c r="AE148" s="25"/>
      <c r="AF148" s="11"/>
      <c r="AG148" s="25"/>
      <c r="AH148" s="11"/>
      <c r="AI148" s="11">
        <v>68</v>
      </c>
      <c r="AJ148" s="19">
        <v>0</v>
      </c>
      <c r="AK148" s="12">
        <f>(AJ148+AI148)/30*7</f>
        <v>15.866666666666667</v>
      </c>
      <c r="AL148" s="6">
        <f>IF(AK148-C148&lt;0,0,AK148-C148)</f>
        <v>0</v>
      </c>
      <c r="AM148" s="6">
        <f>IF(AL148-R148-S148&lt;0,0,AL148-R148-S148)</f>
        <v>0</v>
      </c>
      <c r="AN148" s="5" t="str">
        <f t="shared" si="5"/>
        <v/>
      </c>
      <c r="AO148" s="5">
        <v>0</v>
      </c>
      <c r="AP148" s="9"/>
      <c r="AQ148" s="5" t="s">
        <v>1210</v>
      </c>
      <c r="AR148" s="5" t="s">
        <v>1210</v>
      </c>
      <c r="AS148" s="8"/>
      <c r="AT148" s="8"/>
      <c r="AU148" s="8"/>
      <c r="AV148" s="8"/>
      <c r="AW148" s="8"/>
      <c r="AX148" s="8"/>
      <c r="AY148" s="8"/>
      <c r="AZ148" s="8"/>
    </row>
    <row r="149" spans="1:52">
      <c r="A149" s="5" t="s">
        <v>740</v>
      </c>
      <c r="B149" s="5">
        <v>903</v>
      </c>
      <c r="C149" s="19">
        <v>29</v>
      </c>
      <c r="E149" s="14"/>
      <c r="F149" s="11"/>
      <c r="G149" s="11"/>
      <c r="H149" s="11"/>
      <c r="I149" s="11"/>
      <c r="J149" s="25"/>
      <c r="K149" s="11"/>
      <c r="L149" s="11"/>
      <c r="M149" s="19">
        <v>0</v>
      </c>
      <c r="O149" s="6"/>
      <c r="P149" s="16">
        <v>0</v>
      </c>
      <c r="Q149" s="16">
        <v>0</v>
      </c>
      <c r="R149" s="22"/>
      <c r="S149" s="22">
        <f t="shared" si="4"/>
        <v>0</v>
      </c>
      <c r="T149" s="5">
        <v>864</v>
      </c>
      <c r="U149" s="5">
        <v>232</v>
      </c>
      <c r="Y149" s="8"/>
      <c r="Z149" s="8"/>
      <c r="AA149" s="8"/>
      <c r="AB149" s="8"/>
      <c r="AC149" s="8"/>
      <c r="AD149" s="8"/>
      <c r="AE149" s="25"/>
      <c r="AF149" s="11"/>
      <c r="AG149" s="25"/>
      <c r="AH149" s="11"/>
      <c r="AI149" s="11">
        <v>68</v>
      </c>
      <c r="AJ149" s="19">
        <v>0</v>
      </c>
      <c r="AK149" s="12">
        <f>(AJ149+AI149)/30*7</f>
        <v>15.866666666666667</v>
      </c>
      <c r="AL149" s="6">
        <f>IF(AK149-C149&lt;0,0,AK149-C149)</f>
        <v>0</v>
      </c>
      <c r="AM149" s="6">
        <f>IF(AL149-R149-S149&lt;0,0,AL149-R149-S149)</f>
        <v>0</v>
      </c>
      <c r="AN149" s="5" t="str">
        <f t="shared" si="5"/>
        <v/>
      </c>
      <c r="AO149" s="5">
        <v>0</v>
      </c>
      <c r="AP149" s="9"/>
      <c r="AQ149" s="5" t="s">
        <v>1210</v>
      </c>
      <c r="AR149" s="5" t="s">
        <v>1210</v>
      </c>
      <c r="AS149" s="8"/>
      <c r="AT149" s="8"/>
      <c r="AU149" s="8"/>
      <c r="AV149" s="8"/>
      <c r="AW149" s="8"/>
      <c r="AX149" s="8"/>
      <c r="AY149" s="8"/>
      <c r="AZ149" s="8"/>
    </row>
    <row r="150" spans="1:52">
      <c r="A150" s="5" t="s">
        <v>840</v>
      </c>
      <c r="B150" s="5">
        <v>1182</v>
      </c>
      <c r="C150" s="19">
        <v>26</v>
      </c>
      <c r="E150" s="14"/>
      <c r="F150" s="11"/>
      <c r="G150" s="11"/>
      <c r="H150" s="11"/>
      <c r="I150" s="11"/>
      <c r="J150" s="25"/>
      <c r="K150" s="11"/>
      <c r="L150" s="11"/>
      <c r="M150" s="19">
        <v>0</v>
      </c>
      <c r="O150" s="6"/>
      <c r="P150" s="16">
        <v>0</v>
      </c>
      <c r="Q150" s="16">
        <v>0</v>
      </c>
      <c r="R150" s="22"/>
      <c r="S150" s="22">
        <f t="shared" si="4"/>
        <v>0</v>
      </c>
      <c r="T150" s="5">
        <v>647</v>
      </c>
      <c r="U150" s="5">
        <v>738</v>
      </c>
      <c r="Y150" s="8"/>
      <c r="Z150" s="8"/>
      <c r="AA150" s="8"/>
      <c r="AB150" s="8"/>
      <c r="AC150" s="8"/>
      <c r="AD150" s="8"/>
      <c r="AE150" s="25"/>
      <c r="AF150" s="11"/>
      <c r="AG150" s="25"/>
      <c r="AH150" s="11"/>
      <c r="AI150" s="11">
        <v>68</v>
      </c>
      <c r="AJ150" s="19">
        <v>0</v>
      </c>
      <c r="AK150" s="12">
        <f>(AJ150+AI150)/30*7</f>
        <v>15.866666666666667</v>
      </c>
      <c r="AL150" s="6">
        <f>IF(AK150-C150&lt;0,0,AK150-C150)</f>
        <v>0</v>
      </c>
      <c r="AM150" s="6">
        <f>IF(AL150-R150-S150&lt;0,0,AL150-R150-S150)</f>
        <v>0</v>
      </c>
      <c r="AN150" s="5" t="str">
        <f t="shared" si="5"/>
        <v/>
      </c>
      <c r="AO150" s="5">
        <v>0</v>
      </c>
      <c r="AP150" s="9"/>
      <c r="AQ150" s="5" t="s">
        <v>1210</v>
      </c>
      <c r="AR150" s="5" t="s">
        <v>1210</v>
      </c>
      <c r="AS150" s="8"/>
      <c r="AT150" s="8"/>
      <c r="AU150" s="8"/>
      <c r="AV150" s="8"/>
      <c r="AW150" s="8"/>
      <c r="AX150" s="8"/>
      <c r="AY150" s="8"/>
      <c r="AZ150" s="8"/>
    </row>
    <row r="151" spans="1:52">
      <c r="A151" s="5" t="s">
        <v>803</v>
      </c>
      <c r="B151" s="5">
        <v>34307</v>
      </c>
      <c r="C151" s="19">
        <v>34</v>
      </c>
      <c r="E151" s="14"/>
      <c r="F151" s="11"/>
      <c r="G151" s="11"/>
      <c r="H151" s="11"/>
      <c r="I151" s="11"/>
      <c r="J151" s="25"/>
      <c r="K151" s="11"/>
      <c r="L151" s="11"/>
      <c r="M151" s="19">
        <v>0</v>
      </c>
      <c r="O151" s="6"/>
      <c r="P151" s="16">
        <v>0</v>
      </c>
      <c r="Q151" s="16">
        <v>0</v>
      </c>
      <c r="R151" s="22"/>
      <c r="S151" s="22">
        <f t="shared" si="4"/>
        <v>0</v>
      </c>
      <c r="T151" s="5" t="s">
        <v>1210</v>
      </c>
      <c r="U151" s="5" t="s">
        <v>1210</v>
      </c>
      <c r="Y151" s="8"/>
      <c r="Z151" s="8"/>
      <c r="AA151" s="8"/>
      <c r="AB151" s="8"/>
      <c r="AC151" s="8"/>
      <c r="AD151" s="8"/>
      <c r="AE151" s="25"/>
      <c r="AF151" s="11"/>
      <c r="AG151" s="25"/>
      <c r="AH151" s="11"/>
      <c r="AI151" s="11">
        <v>68</v>
      </c>
      <c r="AJ151" s="19">
        <v>0</v>
      </c>
      <c r="AK151" s="12">
        <f>(AJ151+AI151)/30*7</f>
        <v>15.866666666666667</v>
      </c>
      <c r="AL151" s="6">
        <f>IF(AK151-C151&lt;0,0,AK151-C151)</f>
        <v>0</v>
      </c>
      <c r="AM151" s="6">
        <f>IF(AL151-R151-S151&lt;0,0,AL151-R151-S151)</f>
        <v>0</v>
      </c>
      <c r="AN151" s="5" t="str">
        <f t="shared" si="5"/>
        <v/>
      </c>
      <c r="AO151" s="5">
        <v>0</v>
      </c>
      <c r="AP151" s="9"/>
      <c r="AQ151" s="5" t="s">
        <v>1210</v>
      </c>
      <c r="AR151" s="5" t="s">
        <v>1210</v>
      </c>
      <c r="AS151" s="8"/>
      <c r="AT151" s="8"/>
      <c r="AU151" s="8"/>
      <c r="AV151" s="8"/>
      <c r="AW151" s="8"/>
      <c r="AX151" s="8"/>
      <c r="AY151" s="8"/>
      <c r="AZ151" s="8"/>
    </row>
    <row r="152" spans="1:52">
      <c r="A152" s="5" t="s">
        <v>1067</v>
      </c>
      <c r="B152" s="5">
        <v>1856</v>
      </c>
      <c r="C152" s="19">
        <v>28</v>
      </c>
      <c r="E152" s="14"/>
      <c r="F152" s="11"/>
      <c r="G152" s="11"/>
      <c r="H152" s="11"/>
      <c r="I152" s="11"/>
      <c r="J152" s="25"/>
      <c r="K152" s="11"/>
      <c r="L152" s="11"/>
      <c r="M152" s="19">
        <v>0</v>
      </c>
      <c r="O152" s="6"/>
      <c r="P152" s="16">
        <v>0</v>
      </c>
      <c r="Q152" s="16">
        <v>0</v>
      </c>
      <c r="R152" s="22"/>
      <c r="S152" s="22">
        <f t="shared" si="4"/>
        <v>0</v>
      </c>
      <c r="T152" s="5">
        <v>1829</v>
      </c>
      <c r="U152" s="5">
        <v>644</v>
      </c>
      <c r="Y152" s="8"/>
      <c r="Z152" s="8"/>
      <c r="AA152" s="8"/>
      <c r="AB152" s="8"/>
      <c r="AC152" s="8"/>
      <c r="AD152" s="8"/>
      <c r="AE152" s="25"/>
      <c r="AF152" s="11"/>
      <c r="AG152" s="25"/>
      <c r="AH152" s="11"/>
      <c r="AI152" s="11">
        <v>67</v>
      </c>
      <c r="AJ152" s="19">
        <v>0</v>
      </c>
      <c r="AK152" s="12">
        <f>(AJ152+AI152)/30*7</f>
        <v>15.633333333333333</v>
      </c>
      <c r="AL152" s="6">
        <f>IF(AK152-C152&lt;0,0,AK152-C152)</f>
        <v>0</v>
      </c>
      <c r="AM152" s="6">
        <f>IF(AL152-R152-S152&lt;0,0,AL152-R152-S152)</f>
        <v>0</v>
      </c>
      <c r="AN152" s="5" t="str">
        <f t="shared" si="5"/>
        <v/>
      </c>
      <c r="AO152" s="5">
        <v>0</v>
      </c>
      <c r="AP152" s="9"/>
      <c r="AQ152" s="5" t="s">
        <v>1210</v>
      </c>
      <c r="AR152" s="5" t="s">
        <v>1210</v>
      </c>
      <c r="AS152" s="8"/>
      <c r="AT152" s="8"/>
      <c r="AU152" s="8"/>
      <c r="AV152" s="8"/>
      <c r="AW152" s="8"/>
      <c r="AX152" s="8"/>
      <c r="AY152" s="8"/>
      <c r="AZ152" s="8"/>
    </row>
    <row r="153" spans="1:52">
      <c r="A153" s="5" t="s">
        <v>558</v>
      </c>
      <c r="B153" s="5">
        <v>1904</v>
      </c>
      <c r="C153" s="19">
        <v>36</v>
      </c>
      <c r="E153" s="14"/>
      <c r="F153" s="11"/>
      <c r="G153" s="11"/>
      <c r="H153" s="11"/>
      <c r="I153" s="11"/>
      <c r="J153" s="25"/>
      <c r="K153" s="11"/>
      <c r="L153" s="11"/>
      <c r="M153" s="19">
        <v>0</v>
      </c>
      <c r="O153" s="6"/>
      <c r="P153" s="16">
        <v>0</v>
      </c>
      <c r="Q153" s="16">
        <v>0</v>
      </c>
      <c r="R153" s="22"/>
      <c r="S153" s="22">
        <f t="shared" si="4"/>
        <v>0</v>
      </c>
      <c r="T153" s="5">
        <v>1455</v>
      </c>
      <c r="U153" s="5">
        <v>979</v>
      </c>
      <c r="Y153" s="8"/>
      <c r="Z153" s="8"/>
      <c r="AA153" s="8"/>
      <c r="AB153" s="8"/>
      <c r="AC153" s="8"/>
      <c r="AD153" s="8"/>
      <c r="AE153" s="25"/>
      <c r="AF153" s="11"/>
      <c r="AG153" s="25"/>
      <c r="AH153" s="11"/>
      <c r="AI153" s="11">
        <v>67</v>
      </c>
      <c r="AJ153" s="19">
        <v>0</v>
      </c>
      <c r="AK153" s="12">
        <f>(AJ153+AI153)/30*7</f>
        <v>15.633333333333333</v>
      </c>
      <c r="AL153" s="6">
        <f>IF(AK153-C153&lt;0,0,AK153-C153)</f>
        <v>0</v>
      </c>
      <c r="AM153" s="6">
        <f>IF(AL153-R153-S153&lt;0,0,AL153-R153-S153)</f>
        <v>0</v>
      </c>
      <c r="AN153" s="5" t="str">
        <f t="shared" si="5"/>
        <v/>
      </c>
      <c r="AO153" s="5">
        <v>0</v>
      </c>
      <c r="AP153" s="9"/>
      <c r="AQ153" s="5" t="s">
        <v>1210</v>
      </c>
      <c r="AR153" s="5" t="s">
        <v>1210</v>
      </c>
      <c r="AS153" s="8"/>
      <c r="AT153" s="8"/>
      <c r="AU153" s="8"/>
      <c r="AV153" s="8"/>
      <c r="AW153" s="8"/>
      <c r="AX153" s="8"/>
      <c r="AY153" s="8"/>
      <c r="AZ153" s="8"/>
    </row>
    <row r="154" spans="1:52">
      <c r="A154" s="5" t="s">
        <v>1068</v>
      </c>
      <c r="B154" s="5" t="s">
        <v>1201</v>
      </c>
      <c r="C154" s="19">
        <v>31</v>
      </c>
      <c r="E154" s="14"/>
      <c r="F154" s="11"/>
      <c r="G154" s="11"/>
      <c r="H154" s="11"/>
      <c r="I154" s="11"/>
      <c r="J154" s="25"/>
      <c r="K154" s="11"/>
      <c r="L154" s="11"/>
      <c r="M154" s="19">
        <v>0</v>
      </c>
      <c r="O154" s="6"/>
      <c r="P154" s="16">
        <v>0</v>
      </c>
      <c r="Q154" s="16">
        <v>0</v>
      </c>
      <c r="R154" s="22"/>
      <c r="S154" s="22">
        <f t="shared" si="4"/>
        <v>0</v>
      </c>
      <c r="T154" s="5" t="s">
        <v>1210</v>
      </c>
      <c r="U154" s="5" t="s">
        <v>1210</v>
      </c>
      <c r="Y154" s="8"/>
      <c r="Z154" s="8"/>
      <c r="AA154" s="8"/>
      <c r="AB154" s="8"/>
      <c r="AC154" s="8"/>
      <c r="AD154" s="8"/>
      <c r="AE154" s="25"/>
      <c r="AF154" s="11"/>
      <c r="AG154" s="25"/>
      <c r="AH154" s="11"/>
      <c r="AI154" s="11">
        <v>67</v>
      </c>
      <c r="AJ154" s="19">
        <v>0</v>
      </c>
      <c r="AK154" s="12">
        <f>(AJ154+AI154)/30*7</f>
        <v>15.633333333333333</v>
      </c>
      <c r="AL154" s="6">
        <f>IF(AK154-C154&lt;0,0,AK154-C154)</f>
        <v>0</v>
      </c>
      <c r="AM154" s="6">
        <f>IF(AL154-R154-S154&lt;0,0,AL154-R154-S154)</f>
        <v>0</v>
      </c>
      <c r="AN154" s="5" t="str">
        <f t="shared" si="5"/>
        <v/>
      </c>
      <c r="AO154" s="5">
        <v>0</v>
      </c>
      <c r="AP154" s="9"/>
      <c r="AQ154" s="5" t="s">
        <v>1210</v>
      </c>
      <c r="AR154" s="5" t="s">
        <v>1210</v>
      </c>
      <c r="AS154" s="8"/>
      <c r="AT154" s="8"/>
      <c r="AU154" s="8"/>
      <c r="AV154" s="8"/>
      <c r="AW154" s="8"/>
      <c r="AX154" s="8"/>
      <c r="AY154" s="8"/>
      <c r="AZ154" s="8"/>
    </row>
    <row r="155" spans="1:52">
      <c r="A155" s="5" t="s">
        <v>819</v>
      </c>
      <c r="B155" s="5" t="s">
        <v>1173</v>
      </c>
      <c r="C155" s="19">
        <v>35</v>
      </c>
      <c r="E155" s="14"/>
      <c r="F155" s="11"/>
      <c r="G155" s="11"/>
      <c r="H155" s="11"/>
      <c r="I155" s="11"/>
      <c r="J155" s="25"/>
      <c r="K155" s="11"/>
      <c r="L155" s="11"/>
      <c r="M155" s="19">
        <v>0</v>
      </c>
      <c r="O155" s="6"/>
      <c r="P155" s="16">
        <v>0</v>
      </c>
      <c r="Q155" s="16">
        <v>0</v>
      </c>
      <c r="R155" s="22"/>
      <c r="S155" s="22">
        <f t="shared" si="4"/>
        <v>0</v>
      </c>
      <c r="T155" s="5" t="s">
        <v>1210</v>
      </c>
      <c r="U155" s="5" t="s">
        <v>1210</v>
      </c>
      <c r="Y155" s="8"/>
      <c r="Z155" s="8"/>
      <c r="AA155" s="8"/>
      <c r="AB155" s="8"/>
      <c r="AC155" s="8"/>
      <c r="AD155" s="8"/>
      <c r="AE155" s="25"/>
      <c r="AF155" s="11"/>
      <c r="AG155" s="25"/>
      <c r="AH155" s="11"/>
      <c r="AI155" s="11">
        <v>67</v>
      </c>
      <c r="AJ155" s="19">
        <v>0</v>
      </c>
      <c r="AK155" s="12">
        <f>(AJ155+AI155)/30*7</f>
        <v>15.633333333333333</v>
      </c>
      <c r="AL155" s="6">
        <f>IF(AK155-C155&lt;0,0,AK155-C155)</f>
        <v>0</v>
      </c>
      <c r="AM155" s="6">
        <f>IF(AL155-R155-S155&lt;0,0,AL155-R155-S155)</f>
        <v>0</v>
      </c>
      <c r="AN155" s="5" t="str">
        <f t="shared" si="5"/>
        <v/>
      </c>
      <c r="AO155" s="5">
        <v>0</v>
      </c>
      <c r="AP155" s="9"/>
      <c r="AQ155" s="5" t="s">
        <v>1210</v>
      </c>
      <c r="AR155" s="5" t="s">
        <v>1210</v>
      </c>
      <c r="AS155" s="8"/>
      <c r="AT155" s="8"/>
      <c r="AU155" s="8"/>
      <c r="AV155" s="8"/>
      <c r="AW155" s="8"/>
      <c r="AX155" s="8"/>
      <c r="AY155" s="8"/>
      <c r="AZ155" s="8"/>
    </row>
    <row r="156" spans="1:52">
      <c r="A156" s="5" t="s">
        <v>509</v>
      </c>
      <c r="B156" s="5">
        <v>762</v>
      </c>
      <c r="C156" s="19">
        <v>17</v>
      </c>
      <c r="E156" s="14"/>
      <c r="F156" s="11"/>
      <c r="G156" s="11"/>
      <c r="H156" s="11"/>
      <c r="I156" s="11"/>
      <c r="J156" s="25"/>
      <c r="K156" s="11"/>
      <c r="L156" s="11"/>
      <c r="M156" s="19">
        <v>0</v>
      </c>
      <c r="O156" s="6"/>
      <c r="P156" s="16">
        <v>391</v>
      </c>
      <c r="Q156" s="16">
        <v>0</v>
      </c>
      <c r="R156" s="22"/>
      <c r="S156" s="22">
        <f t="shared" si="4"/>
        <v>0</v>
      </c>
      <c r="U156" s="5" t="s">
        <v>1210</v>
      </c>
      <c r="Y156" s="8"/>
      <c r="Z156" s="8"/>
      <c r="AA156" s="8"/>
      <c r="AB156" s="8"/>
      <c r="AC156" s="8"/>
      <c r="AD156" s="8"/>
      <c r="AE156" s="25"/>
      <c r="AF156" s="11"/>
      <c r="AG156" s="25"/>
      <c r="AH156" s="11"/>
      <c r="AI156" s="11">
        <v>66</v>
      </c>
      <c r="AJ156" s="19">
        <v>0</v>
      </c>
      <c r="AK156" s="12">
        <f>(AJ156+AI156)/30*7</f>
        <v>15.400000000000002</v>
      </c>
      <c r="AL156" s="6">
        <f>IF(AK156-C156&lt;0,0,AK156-C156)</f>
        <v>0</v>
      </c>
      <c r="AM156" s="6">
        <f>IF(AL156-R156-S156&lt;0,0,AL156-R156-S156)</f>
        <v>0</v>
      </c>
      <c r="AN156" s="5" t="str">
        <f t="shared" si="5"/>
        <v/>
      </c>
      <c r="AO156" s="5">
        <v>0</v>
      </c>
      <c r="AP156" s="9"/>
      <c r="AQ156" s="5" t="s">
        <v>1210</v>
      </c>
      <c r="AR156" s="5" t="s">
        <v>1230</v>
      </c>
      <c r="AS156" s="8"/>
      <c r="AT156" s="8"/>
      <c r="AU156" s="8"/>
      <c r="AV156" s="8"/>
      <c r="AW156" s="8"/>
      <c r="AX156" s="8"/>
      <c r="AY156" s="8"/>
      <c r="AZ156" s="8"/>
    </row>
    <row r="157" spans="1:52">
      <c r="A157" s="5" t="s">
        <v>977</v>
      </c>
      <c r="B157" s="5">
        <v>404</v>
      </c>
      <c r="C157" s="19">
        <v>19</v>
      </c>
      <c r="E157" s="14"/>
      <c r="F157" s="11"/>
      <c r="G157" s="11"/>
      <c r="H157" s="11"/>
      <c r="I157" s="11"/>
      <c r="J157" s="25"/>
      <c r="K157" s="11"/>
      <c r="L157" s="11"/>
      <c r="M157" s="19">
        <v>0</v>
      </c>
      <c r="O157" s="6"/>
      <c r="P157" s="16">
        <v>0</v>
      </c>
      <c r="Q157" s="16">
        <v>0</v>
      </c>
      <c r="R157" s="22"/>
      <c r="S157" s="22">
        <f t="shared" si="4"/>
        <v>0</v>
      </c>
      <c r="T157" s="5">
        <v>440</v>
      </c>
      <c r="U157" s="5">
        <v>808</v>
      </c>
      <c r="Y157" s="8"/>
      <c r="Z157" s="8"/>
      <c r="AA157" s="8"/>
      <c r="AB157" s="8"/>
      <c r="AC157" s="8"/>
      <c r="AD157" s="8"/>
      <c r="AE157" s="25"/>
      <c r="AF157" s="11"/>
      <c r="AG157" s="25"/>
      <c r="AH157" s="11"/>
      <c r="AI157" s="11">
        <v>66</v>
      </c>
      <c r="AJ157" s="19">
        <v>0</v>
      </c>
      <c r="AK157" s="12">
        <f>(AJ157+AI157)/30*7</f>
        <v>15.400000000000002</v>
      </c>
      <c r="AL157" s="6">
        <f>IF(AK157-C157&lt;0,0,AK157-C157)</f>
        <v>0</v>
      </c>
      <c r="AM157" s="6">
        <f>IF(AL157-R157-S157&lt;0,0,AL157-R157-S157)</f>
        <v>0</v>
      </c>
      <c r="AN157" s="5" t="str">
        <f t="shared" si="5"/>
        <v/>
      </c>
      <c r="AO157" s="5">
        <v>0</v>
      </c>
      <c r="AP157" s="9"/>
      <c r="AQ157" s="5" t="s">
        <v>1210</v>
      </c>
      <c r="AR157" s="5" t="s">
        <v>1210</v>
      </c>
      <c r="AS157" s="8"/>
      <c r="AT157" s="8"/>
      <c r="AU157" s="8"/>
      <c r="AV157" s="8"/>
      <c r="AW157" s="8"/>
      <c r="AX157" s="8"/>
      <c r="AY157" s="8"/>
      <c r="AZ157" s="8"/>
    </row>
    <row r="158" spans="1:52">
      <c r="A158" s="5" t="s">
        <v>691</v>
      </c>
      <c r="B158" s="5">
        <v>1281</v>
      </c>
      <c r="C158" s="19">
        <v>18</v>
      </c>
      <c r="E158" s="14"/>
      <c r="F158" s="11"/>
      <c r="G158" s="11"/>
      <c r="H158" s="11"/>
      <c r="I158" s="11"/>
      <c r="J158" s="25"/>
      <c r="K158" s="11"/>
      <c r="L158" s="11"/>
      <c r="M158" s="19">
        <v>0</v>
      </c>
      <c r="O158" s="6"/>
      <c r="P158" s="16">
        <v>0</v>
      </c>
      <c r="Q158" s="16">
        <v>0</v>
      </c>
      <c r="R158" s="22"/>
      <c r="S158" s="22">
        <f t="shared" si="4"/>
        <v>0</v>
      </c>
      <c r="T158" s="5">
        <v>1585</v>
      </c>
      <c r="U158" s="5">
        <v>558</v>
      </c>
      <c r="Y158" s="8"/>
      <c r="Z158" s="8"/>
      <c r="AA158" s="8"/>
      <c r="AB158" s="8"/>
      <c r="AC158" s="8"/>
      <c r="AD158" s="8"/>
      <c r="AE158" s="25"/>
      <c r="AF158" s="11"/>
      <c r="AG158" s="25"/>
      <c r="AH158" s="11"/>
      <c r="AI158" s="11">
        <v>66</v>
      </c>
      <c r="AJ158" s="19">
        <v>0</v>
      </c>
      <c r="AK158" s="12">
        <f>(AJ158+AI158)/30*7</f>
        <v>15.400000000000002</v>
      </c>
      <c r="AL158" s="6">
        <f>IF(AK158-C158&lt;0,0,AK158-C158)</f>
        <v>0</v>
      </c>
      <c r="AM158" s="6">
        <f>IF(AL158-R158-S158&lt;0,0,AL158-R158-S158)</f>
        <v>0</v>
      </c>
      <c r="AN158" s="5" t="str">
        <f t="shared" si="5"/>
        <v/>
      </c>
      <c r="AO158" s="5">
        <v>0</v>
      </c>
      <c r="AP158" s="9"/>
      <c r="AQ158" s="5" t="s">
        <v>1210</v>
      </c>
      <c r="AR158" s="5" t="s">
        <v>1210</v>
      </c>
      <c r="AS158" s="8"/>
      <c r="AT158" s="8"/>
      <c r="AU158" s="8"/>
      <c r="AV158" s="8"/>
      <c r="AW158" s="8"/>
      <c r="AX158" s="8"/>
      <c r="AY158" s="8"/>
      <c r="AZ158" s="8"/>
    </row>
    <row r="159" spans="1:52">
      <c r="A159" s="5" t="s">
        <v>885</v>
      </c>
      <c r="B159" s="5">
        <v>1816</v>
      </c>
      <c r="C159" s="19">
        <v>26</v>
      </c>
      <c r="E159" s="14"/>
      <c r="F159" s="11"/>
      <c r="G159" s="11"/>
      <c r="H159" s="11"/>
      <c r="I159" s="11"/>
      <c r="J159" s="25"/>
      <c r="K159" s="11"/>
      <c r="L159" s="11"/>
      <c r="M159" s="19">
        <v>9</v>
      </c>
      <c r="O159" s="6"/>
      <c r="P159" s="16">
        <v>682</v>
      </c>
      <c r="Q159" s="16">
        <v>0</v>
      </c>
      <c r="R159" s="22"/>
      <c r="S159" s="22">
        <f t="shared" si="4"/>
        <v>0</v>
      </c>
      <c r="T159" s="5">
        <v>1916</v>
      </c>
      <c r="U159" s="5">
        <v>863</v>
      </c>
      <c r="Y159" s="8"/>
      <c r="Z159" s="8"/>
      <c r="AA159" s="8"/>
      <c r="AB159" s="8"/>
      <c r="AC159" s="8"/>
      <c r="AD159" s="8"/>
      <c r="AE159" s="25"/>
      <c r="AF159" s="11"/>
      <c r="AG159" s="25"/>
      <c r="AH159" s="11"/>
      <c r="AI159" s="11">
        <v>66</v>
      </c>
      <c r="AJ159" s="19">
        <v>0</v>
      </c>
      <c r="AK159" s="12">
        <f>(AJ159+AI159)/30*7</f>
        <v>15.400000000000002</v>
      </c>
      <c r="AL159" s="6">
        <f>IF(AK159-C159&lt;0,0,AK159-C159)</f>
        <v>0</v>
      </c>
      <c r="AM159" s="6">
        <f>IF(AL159-R159-S159&lt;0,0,AL159-R159-S159)</f>
        <v>0</v>
      </c>
      <c r="AN159" s="5" t="str">
        <f t="shared" si="5"/>
        <v/>
      </c>
      <c r="AO159" s="5">
        <v>0</v>
      </c>
      <c r="AP159" s="9"/>
      <c r="AQ159" s="5" t="s">
        <v>1210</v>
      </c>
      <c r="AR159" s="5" t="s">
        <v>1230</v>
      </c>
      <c r="AS159" s="8"/>
      <c r="AT159" s="8"/>
      <c r="AU159" s="8"/>
      <c r="AV159" s="8"/>
      <c r="AW159" s="8"/>
      <c r="AX159" s="8"/>
      <c r="AY159" s="8"/>
      <c r="AZ159" s="8"/>
    </row>
    <row r="160" spans="1:52">
      <c r="A160" s="5" t="s">
        <v>854</v>
      </c>
      <c r="B160" s="5">
        <v>1834</v>
      </c>
      <c r="C160" s="19">
        <v>29</v>
      </c>
      <c r="E160" s="14"/>
      <c r="F160" s="11"/>
      <c r="G160" s="11"/>
      <c r="H160" s="11"/>
      <c r="I160" s="11"/>
      <c r="J160" s="25"/>
      <c r="K160" s="11"/>
      <c r="L160" s="11"/>
      <c r="M160" s="19">
        <v>0</v>
      </c>
      <c r="O160" s="6"/>
      <c r="P160" s="16">
        <v>0</v>
      </c>
      <c r="Q160" s="16">
        <v>0</v>
      </c>
      <c r="R160" s="22"/>
      <c r="S160" s="22">
        <f t="shared" si="4"/>
        <v>0</v>
      </c>
      <c r="T160" s="5">
        <v>1833</v>
      </c>
      <c r="U160" s="5">
        <v>327</v>
      </c>
      <c r="Y160" s="8"/>
      <c r="Z160" s="8"/>
      <c r="AA160" s="8"/>
      <c r="AB160" s="8"/>
      <c r="AC160" s="8"/>
      <c r="AD160" s="8"/>
      <c r="AE160" s="25"/>
      <c r="AF160" s="11"/>
      <c r="AG160" s="25"/>
      <c r="AH160" s="11"/>
      <c r="AI160" s="11">
        <v>66</v>
      </c>
      <c r="AJ160" s="19">
        <v>0</v>
      </c>
      <c r="AK160" s="12">
        <f>(AJ160+AI160)/30*7</f>
        <v>15.400000000000002</v>
      </c>
      <c r="AL160" s="6">
        <f>IF(AK160-C160&lt;0,0,AK160-C160)</f>
        <v>0</v>
      </c>
      <c r="AM160" s="6">
        <f>IF(AL160-R160-S160&lt;0,0,AL160-R160-S160)</f>
        <v>0</v>
      </c>
      <c r="AN160" s="5" t="str">
        <f t="shared" si="5"/>
        <v/>
      </c>
      <c r="AO160" s="5">
        <v>0</v>
      </c>
      <c r="AP160" s="9"/>
      <c r="AQ160" s="5" t="s">
        <v>1210</v>
      </c>
      <c r="AR160" s="5" t="s">
        <v>1230</v>
      </c>
      <c r="AS160" s="8"/>
      <c r="AT160" s="8"/>
      <c r="AU160" s="8"/>
      <c r="AV160" s="8"/>
      <c r="AW160" s="8"/>
      <c r="AX160" s="8"/>
      <c r="AY160" s="8"/>
      <c r="AZ160" s="8"/>
    </row>
    <row r="161" spans="1:52">
      <c r="A161" s="5" t="s">
        <v>786</v>
      </c>
      <c r="B161" s="5">
        <v>1978</v>
      </c>
      <c r="C161" s="19">
        <v>32</v>
      </c>
      <c r="E161" s="14"/>
      <c r="F161" s="11"/>
      <c r="G161" s="11"/>
      <c r="H161" s="11"/>
      <c r="I161" s="11"/>
      <c r="J161" s="25"/>
      <c r="K161" s="11"/>
      <c r="L161" s="11"/>
      <c r="M161" s="19">
        <v>0</v>
      </c>
      <c r="O161" s="6"/>
      <c r="P161" s="16">
        <v>0</v>
      </c>
      <c r="Q161" s="16">
        <v>0</v>
      </c>
      <c r="R161" s="22"/>
      <c r="S161" s="22">
        <f t="shared" si="4"/>
        <v>0</v>
      </c>
      <c r="T161" s="5">
        <v>1668</v>
      </c>
      <c r="U161" s="5">
        <v>441</v>
      </c>
      <c r="Y161" s="8"/>
      <c r="Z161" s="8"/>
      <c r="AA161" s="8"/>
      <c r="AB161" s="8"/>
      <c r="AC161" s="8"/>
      <c r="AD161" s="8"/>
      <c r="AE161" s="25"/>
      <c r="AF161" s="11"/>
      <c r="AG161" s="25"/>
      <c r="AH161" s="11"/>
      <c r="AI161" s="11">
        <v>66</v>
      </c>
      <c r="AJ161" s="19">
        <v>0</v>
      </c>
      <c r="AK161" s="12">
        <f>(AJ161+AI161)/30*7</f>
        <v>15.400000000000002</v>
      </c>
      <c r="AL161" s="6">
        <f>IF(AK161-C161&lt;0,0,AK161-C161)</f>
        <v>0</v>
      </c>
      <c r="AM161" s="6">
        <f>IF(AL161-R161-S161&lt;0,0,AL161-R161-S161)</f>
        <v>0</v>
      </c>
      <c r="AN161" s="5" t="str">
        <f t="shared" si="5"/>
        <v/>
      </c>
      <c r="AO161" s="5">
        <v>0</v>
      </c>
      <c r="AP161" s="9"/>
      <c r="AQ161" s="5" t="s">
        <v>1210</v>
      </c>
      <c r="AR161" s="5" t="s">
        <v>1210</v>
      </c>
      <c r="AS161" s="8"/>
      <c r="AT161" s="8"/>
      <c r="AU161" s="8"/>
      <c r="AV161" s="8"/>
      <c r="AW161" s="8"/>
      <c r="AX161" s="8"/>
      <c r="AY161" s="8"/>
      <c r="AZ161" s="8"/>
    </row>
    <row r="162" spans="1:52">
      <c r="A162" s="5" t="s">
        <v>830</v>
      </c>
      <c r="B162" s="5">
        <v>542</v>
      </c>
      <c r="C162" s="19">
        <v>22</v>
      </c>
      <c r="E162" s="14"/>
      <c r="F162" s="11"/>
      <c r="G162" s="11"/>
      <c r="H162" s="11"/>
      <c r="I162" s="11"/>
      <c r="J162" s="25"/>
      <c r="K162" s="11"/>
      <c r="L162" s="11"/>
      <c r="M162" s="19">
        <v>0</v>
      </c>
      <c r="O162" s="6"/>
      <c r="P162" s="16">
        <v>0</v>
      </c>
      <c r="Q162" s="16">
        <v>0</v>
      </c>
      <c r="R162" s="22"/>
      <c r="S162" s="22">
        <f t="shared" si="4"/>
        <v>0</v>
      </c>
      <c r="T162" s="5">
        <v>634</v>
      </c>
      <c r="U162" s="5">
        <v>712</v>
      </c>
      <c r="Y162" s="8"/>
      <c r="Z162" s="8"/>
      <c r="AA162" s="8"/>
      <c r="AB162" s="8"/>
      <c r="AC162" s="8"/>
      <c r="AD162" s="8"/>
      <c r="AE162" s="25"/>
      <c r="AF162" s="11"/>
      <c r="AG162" s="25"/>
      <c r="AH162" s="11"/>
      <c r="AI162" s="11">
        <v>65</v>
      </c>
      <c r="AJ162" s="19">
        <v>0</v>
      </c>
      <c r="AK162" s="12">
        <f>(AJ162+AI162)/30*7</f>
        <v>15.166666666666666</v>
      </c>
      <c r="AL162" s="6">
        <f>IF(AK162-C162&lt;0,0,AK162-C162)</f>
        <v>0</v>
      </c>
      <c r="AM162" s="6">
        <f>IF(AL162-R162-S162&lt;0,0,AL162-R162-S162)</f>
        <v>0</v>
      </c>
      <c r="AN162" s="5" t="str">
        <f t="shared" si="5"/>
        <v/>
      </c>
      <c r="AO162" s="5">
        <v>0</v>
      </c>
      <c r="AP162" s="9"/>
      <c r="AQ162" s="5" t="s">
        <v>1210</v>
      </c>
      <c r="AR162" s="5" t="s">
        <v>1210</v>
      </c>
      <c r="AS162" s="8"/>
      <c r="AT162" s="8"/>
      <c r="AU162" s="8"/>
      <c r="AV162" s="8"/>
      <c r="AW162" s="8"/>
      <c r="AX162" s="8"/>
      <c r="AY162" s="8"/>
      <c r="AZ162" s="8"/>
    </row>
    <row r="163" spans="1:52">
      <c r="A163" s="5" t="s">
        <v>657</v>
      </c>
      <c r="B163" s="5">
        <v>564</v>
      </c>
      <c r="C163" s="19">
        <v>21</v>
      </c>
      <c r="E163" s="14"/>
      <c r="F163" s="11"/>
      <c r="G163" s="11"/>
      <c r="H163" s="11"/>
      <c r="I163" s="11"/>
      <c r="J163" s="25"/>
      <c r="K163" s="11"/>
      <c r="L163" s="11"/>
      <c r="M163" s="19">
        <v>0</v>
      </c>
      <c r="O163" s="6"/>
      <c r="P163" s="16">
        <v>987</v>
      </c>
      <c r="Q163" s="16">
        <v>0</v>
      </c>
      <c r="R163" s="22"/>
      <c r="S163" s="22">
        <f t="shared" si="4"/>
        <v>0</v>
      </c>
      <c r="T163" s="5">
        <v>374</v>
      </c>
      <c r="U163" s="5">
        <v>435</v>
      </c>
      <c r="Y163" s="8"/>
      <c r="Z163" s="8"/>
      <c r="AA163" s="8"/>
      <c r="AB163" s="8"/>
      <c r="AC163" s="8"/>
      <c r="AD163" s="8"/>
      <c r="AE163" s="25"/>
      <c r="AF163" s="11"/>
      <c r="AG163" s="25"/>
      <c r="AH163" s="11"/>
      <c r="AI163" s="11">
        <v>65</v>
      </c>
      <c r="AJ163" s="19">
        <v>0</v>
      </c>
      <c r="AK163" s="12">
        <f>(AJ163+AI163)/30*7</f>
        <v>15.166666666666666</v>
      </c>
      <c r="AL163" s="6">
        <f>IF(AK163-C163&lt;0,0,AK163-C163)</f>
        <v>0</v>
      </c>
      <c r="AM163" s="6">
        <f>IF(AL163-R163-S163&lt;0,0,AL163-R163-S163)</f>
        <v>0</v>
      </c>
      <c r="AN163" s="5" t="str">
        <f t="shared" si="5"/>
        <v/>
      </c>
      <c r="AO163" s="5">
        <v>0</v>
      </c>
      <c r="AP163" s="9"/>
      <c r="AQ163" s="5" t="s">
        <v>1210</v>
      </c>
      <c r="AR163" s="5" t="s">
        <v>1230</v>
      </c>
      <c r="AS163" s="8"/>
      <c r="AT163" s="8"/>
      <c r="AU163" s="8"/>
      <c r="AV163" s="8"/>
      <c r="AW163" s="8"/>
      <c r="AX163" s="8"/>
      <c r="AY163" s="8"/>
      <c r="AZ163" s="8"/>
    </row>
    <row r="164" spans="1:52">
      <c r="A164" s="5" t="s">
        <v>1108</v>
      </c>
      <c r="B164" s="5">
        <v>765</v>
      </c>
      <c r="C164" s="19">
        <v>24</v>
      </c>
      <c r="E164" s="14"/>
      <c r="F164" s="11"/>
      <c r="G164" s="11"/>
      <c r="H164" s="11"/>
      <c r="I164" s="11"/>
      <c r="J164" s="25"/>
      <c r="K164" s="11"/>
      <c r="L164" s="11"/>
      <c r="M164" s="19">
        <v>0</v>
      </c>
      <c r="O164" s="6"/>
      <c r="P164" s="16">
        <v>0</v>
      </c>
      <c r="Q164" s="16">
        <v>0</v>
      </c>
      <c r="R164" s="22"/>
      <c r="S164" s="22">
        <f t="shared" si="4"/>
        <v>0</v>
      </c>
      <c r="T164" s="5">
        <v>598</v>
      </c>
      <c r="U164" s="5">
        <v>998</v>
      </c>
      <c r="Y164" s="8"/>
      <c r="Z164" s="8"/>
      <c r="AA164" s="8"/>
      <c r="AB164" s="8"/>
      <c r="AC164" s="8"/>
      <c r="AD164" s="8"/>
      <c r="AE164" s="25"/>
      <c r="AF164" s="11"/>
      <c r="AG164" s="25"/>
      <c r="AH164" s="11"/>
      <c r="AI164" s="11">
        <v>65</v>
      </c>
      <c r="AJ164" s="19">
        <v>0</v>
      </c>
      <c r="AK164" s="12">
        <f>(AJ164+AI164)/30*7</f>
        <v>15.166666666666666</v>
      </c>
      <c r="AL164" s="6">
        <f>IF(AK164-C164&lt;0,0,AK164-C164)</f>
        <v>0</v>
      </c>
      <c r="AM164" s="6">
        <f>IF(AL164-R164-S164&lt;0,0,AL164-R164-S164)</f>
        <v>0</v>
      </c>
      <c r="AN164" s="5" t="str">
        <f t="shared" si="5"/>
        <v/>
      </c>
      <c r="AO164" s="5">
        <v>0</v>
      </c>
      <c r="AP164" s="9"/>
      <c r="AQ164" s="5" t="s">
        <v>1210</v>
      </c>
      <c r="AR164" s="5" t="s">
        <v>1210</v>
      </c>
      <c r="AS164" s="8"/>
      <c r="AT164" s="8"/>
      <c r="AU164" s="8"/>
      <c r="AV164" s="8"/>
      <c r="AW164" s="8"/>
      <c r="AX164" s="8"/>
      <c r="AY164" s="8"/>
      <c r="AZ164" s="8"/>
    </row>
    <row r="165" spans="1:52">
      <c r="A165" s="5" t="s">
        <v>858</v>
      </c>
      <c r="B165" s="5">
        <v>890</v>
      </c>
      <c r="C165" s="19">
        <v>19</v>
      </c>
      <c r="E165" s="14"/>
      <c r="F165" s="11"/>
      <c r="G165" s="11"/>
      <c r="H165" s="11"/>
      <c r="I165" s="11"/>
      <c r="J165" s="25"/>
      <c r="K165" s="11"/>
      <c r="L165" s="11"/>
      <c r="M165" s="19">
        <v>0</v>
      </c>
      <c r="O165" s="6"/>
      <c r="P165" s="16">
        <v>0</v>
      </c>
      <c r="Q165" s="16">
        <v>0</v>
      </c>
      <c r="R165" s="22"/>
      <c r="S165" s="22">
        <f t="shared" si="4"/>
        <v>0</v>
      </c>
      <c r="T165" s="5" t="s">
        <v>1210</v>
      </c>
      <c r="U165" s="5" t="s">
        <v>1210</v>
      </c>
      <c r="Y165" s="8"/>
      <c r="Z165" s="8"/>
      <c r="AA165" s="8"/>
      <c r="AB165" s="8"/>
      <c r="AC165" s="8"/>
      <c r="AD165" s="8"/>
      <c r="AE165" s="25"/>
      <c r="AF165" s="11"/>
      <c r="AG165" s="25"/>
      <c r="AH165" s="11"/>
      <c r="AI165" s="11">
        <v>65</v>
      </c>
      <c r="AJ165" s="19">
        <v>0</v>
      </c>
      <c r="AK165" s="12">
        <f>(AJ165+AI165)/30*7</f>
        <v>15.166666666666666</v>
      </c>
      <c r="AL165" s="6">
        <f>IF(AK165-C165&lt;0,0,AK165-C165)</f>
        <v>0</v>
      </c>
      <c r="AM165" s="6">
        <f>IF(AL165-R165-S165&lt;0,0,AL165-R165-S165)</f>
        <v>0</v>
      </c>
      <c r="AN165" s="5" t="str">
        <f t="shared" si="5"/>
        <v/>
      </c>
      <c r="AO165" s="5">
        <v>0</v>
      </c>
      <c r="AP165" s="9"/>
      <c r="AQ165" s="5" t="s">
        <v>1210</v>
      </c>
      <c r="AR165" s="5" t="s">
        <v>1230</v>
      </c>
      <c r="AS165" s="8"/>
      <c r="AT165" s="8"/>
      <c r="AU165" s="8"/>
      <c r="AV165" s="8"/>
      <c r="AW165" s="8"/>
      <c r="AX165" s="8"/>
      <c r="AY165" s="8"/>
      <c r="AZ165" s="8"/>
    </row>
    <row r="166" spans="1:52">
      <c r="A166" s="5" t="s">
        <v>988</v>
      </c>
      <c r="B166" s="5">
        <v>958</v>
      </c>
      <c r="C166" s="19">
        <v>24</v>
      </c>
      <c r="E166" s="14"/>
      <c r="F166" s="11"/>
      <c r="G166" s="11"/>
      <c r="H166" s="11"/>
      <c r="I166" s="11"/>
      <c r="J166" s="25"/>
      <c r="K166" s="11"/>
      <c r="L166" s="11"/>
      <c r="M166" s="19">
        <v>0</v>
      </c>
      <c r="O166" s="6"/>
      <c r="P166" s="16">
        <v>0</v>
      </c>
      <c r="Q166" s="16">
        <v>0</v>
      </c>
      <c r="R166" s="22"/>
      <c r="S166" s="22">
        <f t="shared" si="4"/>
        <v>0</v>
      </c>
      <c r="T166" s="5">
        <v>914</v>
      </c>
      <c r="U166" s="5">
        <v>429</v>
      </c>
      <c r="Y166" s="8"/>
      <c r="Z166" s="8"/>
      <c r="AA166" s="8"/>
      <c r="AB166" s="8"/>
      <c r="AC166" s="8"/>
      <c r="AD166" s="8"/>
      <c r="AE166" s="25"/>
      <c r="AF166" s="11"/>
      <c r="AG166" s="25"/>
      <c r="AH166" s="11"/>
      <c r="AI166" s="11">
        <v>65</v>
      </c>
      <c r="AJ166" s="19">
        <v>0</v>
      </c>
      <c r="AK166" s="12">
        <f>(AJ166+AI166)/30*7</f>
        <v>15.166666666666666</v>
      </c>
      <c r="AL166" s="6">
        <f>IF(AK166-C166&lt;0,0,AK166-C166)</f>
        <v>0</v>
      </c>
      <c r="AM166" s="6">
        <f>IF(AL166-R166-S166&lt;0,0,AL166-R166-S166)</f>
        <v>0</v>
      </c>
      <c r="AN166" s="5" t="str">
        <f t="shared" si="5"/>
        <v/>
      </c>
      <c r="AO166" s="5">
        <v>0</v>
      </c>
      <c r="AP166" s="9"/>
      <c r="AQ166" s="5" t="s">
        <v>1210</v>
      </c>
      <c r="AR166" s="5" t="s">
        <v>1210</v>
      </c>
      <c r="AS166" s="8"/>
      <c r="AT166" s="8"/>
      <c r="AU166" s="8"/>
      <c r="AV166" s="8"/>
      <c r="AW166" s="8"/>
      <c r="AX166" s="8"/>
      <c r="AY166" s="8"/>
      <c r="AZ166" s="8"/>
    </row>
    <row r="167" spans="1:52">
      <c r="A167" s="5" t="s">
        <v>493</v>
      </c>
      <c r="B167" s="5" t="s">
        <v>1149</v>
      </c>
      <c r="C167" s="19">
        <v>25</v>
      </c>
      <c r="E167" s="14"/>
      <c r="F167" s="11"/>
      <c r="G167" s="11"/>
      <c r="H167" s="11"/>
      <c r="I167" s="11"/>
      <c r="J167" s="25"/>
      <c r="K167" s="11"/>
      <c r="L167" s="11"/>
      <c r="M167" s="19">
        <v>0</v>
      </c>
      <c r="O167" s="6"/>
      <c r="P167" s="16">
        <v>0</v>
      </c>
      <c r="Q167" s="16">
        <v>0</v>
      </c>
      <c r="R167" s="22"/>
      <c r="S167" s="22">
        <f t="shared" si="4"/>
        <v>0</v>
      </c>
      <c r="T167" s="5" t="s">
        <v>1210</v>
      </c>
      <c r="U167" s="5" t="s">
        <v>1210</v>
      </c>
      <c r="Y167" s="8"/>
      <c r="Z167" s="8"/>
      <c r="AA167" s="8"/>
      <c r="AB167" s="8"/>
      <c r="AC167" s="8"/>
      <c r="AD167" s="8"/>
      <c r="AE167" s="25"/>
      <c r="AF167" s="11"/>
      <c r="AG167" s="25"/>
      <c r="AH167" s="11"/>
      <c r="AI167" s="11">
        <v>64</v>
      </c>
      <c r="AJ167" s="19">
        <v>0</v>
      </c>
      <c r="AK167" s="12">
        <f>(AJ167+AI167)/30*7</f>
        <v>14.933333333333334</v>
      </c>
      <c r="AL167" s="6">
        <f>IF(AK167-C167&lt;0,0,AK167-C167)</f>
        <v>0</v>
      </c>
      <c r="AM167" s="6">
        <f>IF(AL167-R167-S167&lt;0,0,AL167-R167-S167)</f>
        <v>0</v>
      </c>
      <c r="AN167" s="5" t="str">
        <f t="shared" si="5"/>
        <v/>
      </c>
      <c r="AO167" s="5">
        <v>0</v>
      </c>
      <c r="AP167" s="9"/>
      <c r="AQ167" s="5" t="s">
        <v>1210</v>
      </c>
      <c r="AR167" s="5" t="s">
        <v>1210</v>
      </c>
      <c r="AS167" s="8"/>
      <c r="AT167" s="8"/>
      <c r="AU167" s="8"/>
      <c r="AV167" s="8"/>
      <c r="AW167" s="8"/>
      <c r="AX167" s="8"/>
      <c r="AY167" s="8"/>
      <c r="AZ167" s="8"/>
    </row>
    <row r="168" spans="1:52">
      <c r="A168" s="5" t="s">
        <v>617</v>
      </c>
      <c r="B168" s="5">
        <v>377</v>
      </c>
      <c r="C168" s="19">
        <v>28</v>
      </c>
      <c r="E168" s="14"/>
      <c r="F168" s="11"/>
      <c r="G168" s="11"/>
      <c r="H168" s="11"/>
      <c r="I168" s="11"/>
      <c r="J168" s="25"/>
      <c r="K168" s="11"/>
      <c r="L168" s="11"/>
      <c r="M168" s="19">
        <v>0</v>
      </c>
      <c r="O168" s="6"/>
      <c r="P168" s="16">
        <v>0</v>
      </c>
      <c r="Q168" s="16">
        <v>0</v>
      </c>
      <c r="R168" s="22"/>
      <c r="S168" s="22">
        <f t="shared" si="4"/>
        <v>0</v>
      </c>
      <c r="T168" s="5" t="s">
        <v>1210</v>
      </c>
      <c r="U168" s="5" t="s">
        <v>1210</v>
      </c>
      <c r="Y168" s="8"/>
      <c r="Z168" s="8"/>
      <c r="AA168" s="8"/>
      <c r="AB168" s="8"/>
      <c r="AC168" s="8"/>
      <c r="AD168" s="8"/>
      <c r="AE168" s="25"/>
      <c r="AF168" s="11"/>
      <c r="AG168" s="25"/>
      <c r="AH168" s="11"/>
      <c r="AI168" s="11">
        <v>64</v>
      </c>
      <c r="AJ168" s="19">
        <v>0</v>
      </c>
      <c r="AK168" s="12">
        <f>(AJ168+AI168)/30*7</f>
        <v>14.933333333333334</v>
      </c>
      <c r="AL168" s="6">
        <f>IF(AK168-C168&lt;0,0,AK168-C168)</f>
        <v>0</v>
      </c>
      <c r="AM168" s="6">
        <f>IF(AL168-R168-S168&lt;0,0,AL168-R168-S168)</f>
        <v>0</v>
      </c>
      <c r="AN168" s="5" t="str">
        <f t="shared" si="5"/>
        <v/>
      </c>
      <c r="AO168" s="5">
        <v>0</v>
      </c>
      <c r="AP168" s="9"/>
      <c r="AQ168" s="5" t="s">
        <v>1210</v>
      </c>
      <c r="AR168" s="5" t="s">
        <v>1210</v>
      </c>
      <c r="AS168" s="8"/>
      <c r="AT168" s="8"/>
      <c r="AU168" s="8"/>
      <c r="AV168" s="8"/>
      <c r="AW168" s="8"/>
      <c r="AX168" s="8"/>
      <c r="AY168" s="8"/>
      <c r="AZ168" s="8"/>
    </row>
    <row r="169" spans="1:52">
      <c r="A169" s="5" t="s">
        <v>1088</v>
      </c>
      <c r="B169" s="5">
        <v>880</v>
      </c>
      <c r="C169" s="19">
        <v>38</v>
      </c>
      <c r="E169" s="14"/>
      <c r="F169" s="11"/>
      <c r="G169" s="11"/>
      <c r="H169" s="11"/>
      <c r="I169" s="11"/>
      <c r="J169" s="25"/>
      <c r="K169" s="11"/>
      <c r="L169" s="11"/>
      <c r="M169" s="19">
        <v>0</v>
      </c>
      <c r="O169" s="6"/>
      <c r="P169" s="16">
        <v>0</v>
      </c>
      <c r="Q169" s="16">
        <v>0</v>
      </c>
      <c r="R169" s="22"/>
      <c r="S169" s="22">
        <f t="shared" si="4"/>
        <v>0</v>
      </c>
      <c r="T169" s="5" t="s">
        <v>1210</v>
      </c>
      <c r="U169" s="5" t="s">
        <v>1210</v>
      </c>
      <c r="Y169" s="8"/>
      <c r="Z169" s="8"/>
      <c r="AA169" s="8"/>
      <c r="AB169" s="8"/>
      <c r="AC169" s="8"/>
      <c r="AD169" s="8"/>
      <c r="AE169" s="25"/>
      <c r="AF169" s="11"/>
      <c r="AG169" s="25"/>
      <c r="AH169" s="11"/>
      <c r="AI169" s="11">
        <v>64</v>
      </c>
      <c r="AJ169" s="19">
        <v>0</v>
      </c>
      <c r="AK169" s="12">
        <f>(AJ169+AI169)/30*7</f>
        <v>14.933333333333334</v>
      </c>
      <c r="AL169" s="6">
        <f>IF(AK169-C169&lt;0,0,AK169-C169)</f>
        <v>0</v>
      </c>
      <c r="AM169" s="6">
        <f>IF(AL169-R169-S169&lt;0,0,AL169-R169-S169)</f>
        <v>0</v>
      </c>
      <c r="AN169" s="5" t="str">
        <f t="shared" si="5"/>
        <v/>
      </c>
      <c r="AO169" s="5">
        <v>0</v>
      </c>
      <c r="AP169" s="9"/>
      <c r="AQ169" s="5" t="s">
        <v>1210</v>
      </c>
      <c r="AR169" s="5" t="s">
        <v>1210</v>
      </c>
      <c r="AS169" s="8"/>
      <c r="AT169" s="8"/>
      <c r="AU169" s="8"/>
      <c r="AV169" s="8"/>
      <c r="AW169" s="8"/>
      <c r="AX169" s="8"/>
      <c r="AY169" s="8"/>
      <c r="AZ169" s="8"/>
    </row>
    <row r="170" spans="1:52">
      <c r="A170" s="5" t="s">
        <v>666</v>
      </c>
      <c r="B170" s="5">
        <v>1222</v>
      </c>
      <c r="C170" s="19">
        <v>34</v>
      </c>
      <c r="E170" s="14"/>
      <c r="F170" s="11"/>
      <c r="G170" s="11"/>
      <c r="H170" s="11"/>
      <c r="I170" s="11"/>
      <c r="J170" s="25"/>
      <c r="K170" s="11"/>
      <c r="L170" s="11"/>
      <c r="M170" s="19">
        <v>0</v>
      </c>
      <c r="O170" s="6"/>
      <c r="P170" s="16">
        <v>0</v>
      </c>
      <c r="Q170" s="16">
        <v>0</v>
      </c>
      <c r="R170" s="22"/>
      <c r="S170" s="22">
        <f t="shared" si="4"/>
        <v>0</v>
      </c>
      <c r="T170" s="5">
        <v>1293</v>
      </c>
      <c r="U170" s="5">
        <v>321</v>
      </c>
      <c r="Y170" s="8"/>
      <c r="Z170" s="8"/>
      <c r="AA170" s="8"/>
      <c r="AB170" s="8"/>
      <c r="AC170" s="8"/>
      <c r="AD170" s="8"/>
      <c r="AE170" s="25"/>
      <c r="AF170" s="11"/>
      <c r="AG170" s="25"/>
      <c r="AH170" s="11"/>
      <c r="AI170" s="11">
        <v>64</v>
      </c>
      <c r="AJ170" s="19">
        <v>0</v>
      </c>
      <c r="AK170" s="12">
        <f>(AJ170+AI170)/30*7</f>
        <v>14.933333333333334</v>
      </c>
      <c r="AL170" s="6">
        <f>IF(AK170-C170&lt;0,0,AK170-C170)</f>
        <v>0</v>
      </c>
      <c r="AM170" s="6">
        <f>IF(AL170-R170-S170&lt;0,0,AL170-R170-S170)</f>
        <v>0</v>
      </c>
      <c r="AN170" s="5" t="str">
        <f t="shared" si="5"/>
        <v/>
      </c>
      <c r="AO170" s="5">
        <v>0</v>
      </c>
      <c r="AP170" s="9"/>
      <c r="AQ170" s="5" t="s">
        <v>1210</v>
      </c>
      <c r="AR170" s="5" t="s">
        <v>1210</v>
      </c>
      <c r="AS170" s="8"/>
      <c r="AT170" s="8"/>
      <c r="AU170" s="8"/>
      <c r="AV170" s="8"/>
      <c r="AW170" s="8"/>
      <c r="AX170" s="8"/>
      <c r="AY170" s="8"/>
      <c r="AZ170" s="8"/>
    </row>
    <row r="171" spans="1:52">
      <c r="A171" s="5" t="s">
        <v>1135</v>
      </c>
      <c r="B171" s="5">
        <v>1557</v>
      </c>
      <c r="C171" s="19">
        <v>23</v>
      </c>
      <c r="E171" s="14"/>
      <c r="F171" s="11"/>
      <c r="G171" s="11"/>
      <c r="H171" s="11"/>
      <c r="I171" s="11"/>
      <c r="J171" s="25"/>
      <c r="K171" s="11"/>
      <c r="L171" s="11"/>
      <c r="M171" s="19">
        <v>0</v>
      </c>
      <c r="O171" s="6"/>
      <c r="P171" s="16">
        <v>546</v>
      </c>
      <c r="Q171" s="16">
        <v>0</v>
      </c>
      <c r="R171" s="22"/>
      <c r="S171" s="22">
        <f t="shared" si="4"/>
        <v>0</v>
      </c>
      <c r="T171" s="5">
        <v>1404</v>
      </c>
      <c r="U171" s="5">
        <v>684</v>
      </c>
      <c r="Y171" s="8"/>
      <c r="Z171" s="8"/>
      <c r="AA171" s="8"/>
      <c r="AB171" s="8"/>
      <c r="AC171" s="8"/>
      <c r="AD171" s="8"/>
      <c r="AE171" s="25"/>
      <c r="AF171" s="11"/>
      <c r="AG171" s="25"/>
      <c r="AH171" s="11"/>
      <c r="AI171" s="11">
        <v>64</v>
      </c>
      <c r="AJ171" s="19">
        <v>0</v>
      </c>
      <c r="AK171" s="12">
        <f>(AJ171+AI171)/30*7</f>
        <v>14.933333333333334</v>
      </c>
      <c r="AL171" s="6">
        <f>IF(AK171-C171&lt;0,0,AK171-C171)</f>
        <v>0</v>
      </c>
      <c r="AM171" s="6">
        <f>IF(AL171-R171-S171&lt;0,0,AL171-R171-S171)</f>
        <v>0</v>
      </c>
      <c r="AN171" s="5" t="str">
        <f t="shared" si="5"/>
        <v/>
      </c>
      <c r="AO171" s="5">
        <v>0</v>
      </c>
      <c r="AP171" s="9"/>
      <c r="AQ171" s="5" t="s">
        <v>1210</v>
      </c>
      <c r="AR171" s="5" t="s">
        <v>1230</v>
      </c>
      <c r="AS171" s="8"/>
      <c r="AT171" s="8"/>
      <c r="AU171" s="8"/>
      <c r="AV171" s="8"/>
      <c r="AW171" s="8"/>
      <c r="AX171" s="8"/>
      <c r="AY171" s="8"/>
      <c r="AZ171" s="8"/>
    </row>
    <row r="172" spans="1:52">
      <c r="A172" s="5" t="s">
        <v>811</v>
      </c>
      <c r="B172" s="5">
        <v>1640</v>
      </c>
      <c r="C172" s="19">
        <v>19</v>
      </c>
      <c r="E172" s="14"/>
      <c r="F172" s="11"/>
      <c r="G172" s="11"/>
      <c r="H172" s="11"/>
      <c r="I172" s="11"/>
      <c r="J172" s="25"/>
      <c r="K172" s="11"/>
      <c r="L172" s="11"/>
      <c r="M172" s="19">
        <v>0</v>
      </c>
      <c r="O172" s="6"/>
      <c r="P172" s="16">
        <v>0</v>
      </c>
      <c r="Q172" s="16">
        <v>0</v>
      </c>
      <c r="R172" s="22"/>
      <c r="S172" s="22">
        <f t="shared" si="4"/>
        <v>0</v>
      </c>
      <c r="T172" s="5">
        <v>1623</v>
      </c>
      <c r="U172" s="5">
        <v>685</v>
      </c>
      <c r="Y172" s="8"/>
      <c r="Z172" s="8"/>
      <c r="AA172" s="8"/>
      <c r="AB172" s="8"/>
      <c r="AC172" s="8"/>
      <c r="AD172" s="8"/>
      <c r="AE172" s="25"/>
      <c r="AF172" s="11"/>
      <c r="AG172" s="25"/>
      <c r="AH172" s="11"/>
      <c r="AI172" s="11">
        <v>64</v>
      </c>
      <c r="AJ172" s="19">
        <v>0</v>
      </c>
      <c r="AK172" s="12">
        <f>(AJ172+AI172)/30*7</f>
        <v>14.933333333333334</v>
      </c>
      <c r="AL172" s="6">
        <f>IF(AK172-C172&lt;0,0,AK172-C172)</f>
        <v>0</v>
      </c>
      <c r="AM172" s="6">
        <f>IF(AL172-R172-S172&lt;0,0,AL172-R172-S172)</f>
        <v>0</v>
      </c>
      <c r="AN172" s="5" t="str">
        <f t="shared" si="5"/>
        <v/>
      </c>
      <c r="AO172" s="5">
        <v>0</v>
      </c>
      <c r="AP172" s="9"/>
      <c r="AQ172" s="5" t="s">
        <v>1210</v>
      </c>
      <c r="AR172" s="5" t="s">
        <v>1210</v>
      </c>
      <c r="AS172" s="8"/>
      <c r="AT172" s="8"/>
      <c r="AU172" s="8"/>
      <c r="AV172" s="8"/>
      <c r="AW172" s="8"/>
      <c r="AX172" s="8"/>
      <c r="AY172" s="8"/>
      <c r="AZ172" s="8"/>
    </row>
    <row r="173" spans="1:52">
      <c r="A173" s="5" t="s">
        <v>866</v>
      </c>
      <c r="B173" s="5">
        <v>572</v>
      </c>
      <c r="C173" s="19">
        <v>29</v>
      </c>
      <c r="E173" s="14"/>
      <c r="F173" s="11"/>
      <c r="G173" s="11"/>
      <c r="H173" s="11"/>
      <c r="I173" s="11"/>
      <c r="J173" s="25"/>
      <c r="K173" s="11"/>
      <c r="L173" s="11"/>
      <c r="M173" s="19">
        <v>0</v>
      </c>
      <c r="O173" s="6"/>
      <c r="P173" s="16">
        <v>897</v>
      </c>
      <c r="Q173" s="16">
        <v>0</v>
      </c>
      <c r="R173" s="22"/>
      <c r="S173" s="22">
        <f t="shared" si="4"/>
        <v>0</v>
      </c>
      <c r="U173" s="5" t="s">
        <v>1210</v>
      </c>
      <c r="Y173" s="8"/>
      <c r="Z173" s="8"/>
      <c r="AA173" s="8"/>
      <c r="AB173" s="8"/>
      <c r="AC173" s="8"/>
      <c r="AD173" s="8"/>
      <c r="AE173" s="25"/>
      <c r="AF173" s="11"/>
      <c r="AG173" s="25"/>
      <c r="AH173" s="11"/>
      <c r="AI173" s="11">
        <v>63</v>
      </c>
      <c r="AJ173" s="19">
        <v>0</v>
      </c>
      <c r="AK173" s="12">
        <f>(AJ173+AI173)/30*7</f>
        <v>14.700000000000001</v>
      </c>
      <c r="AL173" s="6">
        <f>IF(AK173-C173&lt;0,0,AK173-C173)</f>
        <v>0</v>
      </c>
      <c r="AM173" s="6">
        <f>IF(AL173-R173-S173&lt;0,0,AL173-R173-S173)</f>
        <v>0</v>
      </c>
      <c r="AN173" s="5" t="str">
        <f t="shared" si="5"/>
        <v/>
      </c>
      <c r="AO173" s="5">
        <v>0</v>
      </c>
      <c r="AP173" s="9"/>
      <c r="AR173" s="5" t="s">
        <v>1230</v>
      </c>
      <c r="AS173" s="8"/>
      <c r="AT173" s="8"/>
      <c r="AU173" s="8"/>
      <c r="AV173" s="8"/>
      <c r="AW173" s="8"/>
      <c r="AX173" s="8"/>
      <c r="AY173" s="8"/>
      <c r="AZ173" s="8"/>
    </row>
    <row r="174" spans="1:52">
      <c r="A174" s="5" t="s">
        <v>943</v>
      </c>
      <c r="B174" s="5">
        <v>170</v>
      </c>
      <c r="C174" s="19">
        <v>19</v>
      </c>
      <c r="E174" s="14"/>
      <c r="F174" s="11"/>
      <c r="G174" s="11"/>
      <c r="H174" s="11"/>
      <c r="I174" s="11"/>
      <c r="J174" s="25"/>
      <c r="K174" s="11"/>
      <c r="L174" s="11"/>
      <c r="M174" s="19">
        <v>0</v>
      </c>
      <c r="O174" s="6"/>
      <c r="P174" s="16">
        <v>0</v>
      </c>
      <c r="Q174" s="16">
        <v>0</v>
      </c>
      <c r="R174" s="22"/>
      <c r="S174" s="22">
        <f t="shared" si="4"/>
        <v>0</v>
      </c>
      <c r="T174" s="5" t="s">
        <v>1210</v>
      </c>
      <c r="U174" s="5" t="s">
        <v>1210</v>
      </c>
      <c r="Y174" s="8"/>
      <c r="Z174" s="8"/>
      <c r="AA174" s="8"/>
      <c r="AB174" s="8"/>
      <c r="AC174" s="8"/>
      <c r="AD174" s="8"/>
      <c r="AE174" s="25"/>
      <c r="AF174" s="11"/>
      <c r="AG174" s="25"/>
      <c r="AH174" s="11"/>
      <c r="AI174" s="11">
        <v>63</v>
      </c>
      <c r="AJ174" s="19">
        <v>0</v>
      </c>
      <c r="AK174" s="12">
        <f>(AJ174+AI174)/30*7</f>
        <v>14.700000000000001</v>
      </c>
      <c r="AL174" s="6">
        <f>IF(AK174-C174&lt;0,0,AK174-C174)</f>
        <v>0</v>
      </c>
      <c r="AM174" s="6">
        <f>IF(AL174-R174-S174&lt;0,0,AL174-R174-S174)</f>
        <v>0</v>
      </c>
      <c r="AN174" s="5" t="str">
        <f t="shared" si="5"/>
        <v/>
      </c>
      <c r="AO174" s="5">
        <v>0</v>
      </c>
      <c r="AP174" s="9"/>
      <c r="AQ174" s="5" t="s">
        <v>1210</v>
      </c>
      <c r="AR174" s="5" t="s">
        <v>1210</v>
      </c>
      <c r="AS174" s="8"/>
      <c r="AT174" s="8"/>
      <c r="AU174" s="8"/>
      <c r="AV174" s="8"/>
      <c r="AW174" s="8"/>
      <c r="AX174" s="8"/>
      <c r="AY174" s="8"/>
      <c r="AZ174" s="8"/>
    </row>
    <row r="175" spans="1:52">
      <c r="A175" s="5" t="s">
        <v>1138</v>
      </c>
      <c r="B175" s="5">
        <v>352</v>
      </c>
      <c r="C175" s="19">
        <v>40</v>
      </c>
      <c r="E175" s="14"/>
      <c r="F175" s="11"/>
      <c r="G175" s="11"/>
      <c r="H175" s="11"/>
      <c r="I175" s="11"/>
      <c r="J175" s="25"/>
      <c r="K175" s="11"/>
      <c r="L175" s="11"/>
      <c r="M175" s="19">
        <v>0</v>
      </c>
      <c r="O175" s="6"/>
      <c r="P175" s="16">
        <v>0</v>
      </c>
      <c r="Q175" s="16">
        <v>0</v>
      </c>
      <c r="R175" s="22"/>
      <c r="S175" s="22">
        <f t="shared" si="4"/>
        <v>0</v>
      </c>
      <c r="T175" s="5" t="s">
        <v>1210</v>
      </c>
      <c r="U175" s="5" t="s">
        <v>1210</v>
      </c>
      <c r="Y175" s="8"/>
      <c r="Z175" s="8"/>
      <c r="AA175" s="8"/>
      <c r="AB175" s="8"/>
      <c r="AC175" s="8"/>
      <c r="AD175" s="8"/>
      <c r="AE175" s="25"/>
      <c r="AF175" s="11"/>
      <c r="AG175" s="25"/>
      <c r="AH175" s="11"/>
      <c r="AI175" s="11">
        <v>63</v>
      </c>
      <c r="AJ175" s="19">
        <v>0</v>
      </c>
      <c r="AK175" s="12">
        <f>(AJ175+AI175)/30*7</f>
        <v>14.700000000000001</v>
      </c>
      <c r="AL175" s="6">
        <f>IF(AK175-C175&lt;0,0,AK175-C175)</f>
        <v>0</v>
      </c>
      <c r="AM175" s="6">
        <f>IF(AL175-R175-S175&lt;0,0,AL175-R175-S175)</f>
        <v>0</v>
      </c>
      <c r="AN175" s="5" t="str">
        <f t="shared" si="5"/>
        <v/>
      </c>
      <c r="AO175" s="5">
        <v>0</v>
      </c>
      <c r="AP175" s="9"/>
      <c r="AQ175" s="5" t="s">
        <v>1210</v>
      </c>
      <c r="AR175" s="5" t="s">
        <v>1210</v>
      </c>
      <c r="AS175" s="8"/>
      <c r="AT175" s="8"/>
      <c r="AU175" s="8"/>
      <c r="AV175" s="8"/>
      <c r="AW175" s="8"/>
      <c r="AX175" s="8"/>
      <c r="AY175" s="8"/>
      <c r="AZ175" s="8"/>
    </row>
    <row r="176" spans="1:52">
      <c r="A176" s="5" t="s">
        <v>979</v>
      </c>
      <c r="B176" s="5">
        <v>607</v>
      </c>
      <c r="C176" s="19">
        <v>24</v>
      </c>
      <c r="E176" s="14"/>
      <c r="F176" s="11"/>
      <c r="G176" s="11"/>
      <c r="H176" s="11"/>
      <c r="I176" s="11"/>
      <c r="J176" s="25"/>
      <c r="K176" s="11"/>
      <c r="L176" s="11"/>
      <c r="M176" s="19">
        <v>0</v>
      </c>
      <c r="O176" s="6"/>
      <c r="P176" s="16">
        <v>0</v>
      </c>
      <c r="Q176" s="16">
        <v>0</v>
      </c>
      <c r="R176" s="22"/>
      <c r="S176" s="22">
        <f t="shared" si="4"/>
        <v>0</v>
      </c>
      <c r="T176" s="5" t="s">
        <v>1210</v>
      </c>
      <c r="U176" s="5" t="s">
        <v>1210</v>
      </c>
      <c r="Y176" s="8"/>
      <c r="Z176" s="8"/>
      <c r="AA176" s="8"/>
      <c r="AB176" s="8"/>
      <c r="AC176" s="8"/>
      <c r="AD176" s="8"/>
      <c r="AE176" s="25"/>
      <c r="AF176" s="11"/>
      <c r="AG176" s="25"/>
      <c r="AH176" s="11"/>
      <c r="AI176" s="11">
        <v>63</v>
      </c>
      <c r="AJ176" s="19">
        <v>0</v>
      </c>
      <c r="AK176" s="12">
        <f>(AJ176+AI176)/30*7</f>
        <v>14.700000000000001</v>
      </c>
      <c r="AL176" s="6">
        <f>IF(AK176-C176&lt;0,0,AK176-C176)</f>
        <v>0</v>
      </c>
      <c r="AM176" s="6">
        <f>IF(AL176-R176-S176&lt;0,0,AL176-R176-S176)</f>
        <v>0</v>
      </c>
      <c r="AN176" s="5" t="str">
        <f t="shared" si="5"/>
        <v/>
      </c>
      <c r="AO176" s="5">
        <v>0</v>
      </c>
      <c r="AP176" s="9"/>
      <c r="AQ176" s="5" t="s">
        <v>1210</v>
      </c>
      <c r="AR176" s="5" t="s">
        <v>1210</v>
      </c>
      <c r="AS176" s="8"/>
      <c r="AT176" s="8"/>
      <c r="AU176" s="8"/>
      <c r="AV176" s="8"/>
      <c r="AW176" s="8"/>
      <c r="AX176" s="8"/>
      <c r="AY176" s="8"/>
      <c r="AZ176" s="8"/>
    </row>
    <row r="177" spans="1:52">
      <c r="A177" s="5" t="s">
        <v>1006</v>
      </c>
      <c r="B177" s="5">
        <v>744</v>
      </c>
      <c r="C177" s="19">
        <v>37</v>
      </c>
      <c r="E177" s="14"/>
      <c r="F177" s="11"/>
      <c r="G177" s="11"/>
      <c r="H177" s="11"/>
      <c r="I177" s="11"/>
      <c r="J177" s="25"/>
      <c r="K177" s="11"/>
      <c r="L177" s="11"/>
      <c r="M177" s="19">
        <v>0</v>
      </c>
      <c r="O177" s="6"/>
      <c r="P177" s="16">
        <v>0</v>
      </c>
      <c r="Q177" s="16">
        <v>0</v>
      </c>
      <c r="R177" s="22"/>
      <c r="S177" s="22">
        <f t="shared" si="4"/>
        <v>0</v>
      </c>
      <c r="T177" s="5">
        <v>476</v>
      </c>
      <c r="U177" s="5">
        <v>555</v>
      </c>
      <c r="Y177" s="8"/>
      <c r="Z177" s="8"/>
      <c r="AA177" s="8"/>
      <c r="AB177" s="8"/>
      <c r="AC177" s="8"/>
      <c r="AD177" s="8"/>
      <c r="AE177" s="25"/>
      <c r="AF177" s="11"/>
      <c r="AG177" s="25"/>
      <c r="AH177" s="11"/>
      <c r="AI177" s="11">
        <v>63</v>
      </c>
      <c r="AJ177" s="19">
        <v>0</v>
      </c>
      <c r="AK177" s="12">
        <f>(AJ177+AI177)/30*7</f>
        <v>14.700000000000001</v>
      </c>
      <c r="AL177" s="6">
        <f>IF(AK177-C177&lt;0,0,AK177-C177)</f>
        <v>0</v>
      </c>
      <c r="AM177" s="6">
        <f>IF(AL177-R177-S177&lt;0,0,AL177-R177-S177)</f>
        <v>0</v>
      </c>
      <c r="AN177" s="5" t="str">
        <f t="shared" si="5"/>
        <v/>
      </c>
      <c r="AO177" s="5">
        <v>0</v>
      </c>
      <c r="AP177" s="9"/>
      <c r="AQ177" s="5" t="s">
        <v>1210</v>
      </c>
      <c r="AR177" s="5" t="s">
        <v>1210</v>
      </c>
      <c r="AS177" s="8"/>
      <c r="AT177" s="8"/>
      <c r="AU177" s="8"/>
      <c r="AV177" s="8"/>
      <c r="AW177" s="8"/>
      <c r="AX177" s="8"/>
      <c r="AY177" s="8"/>
      <c r="AZ177" s="8"/>
    </row>
    <row r="178" spans="1:52">
      <c r="A178" s="5" t="s">
        <v>1023</v>
      </c>
      <c r="B178" s="5">
        <v>851</v>
      </c>
      <c r="C178" s="19">
        <v>34</v>
      </c>
      <c r="E178" s="14"/>
      <c r="F178" s="11"/>
      <c r="G178" s="11"/>
      <c r="H178" s="11"/>
      <c r="I178" s="11"/>
      <c r="J178" s="25"/>
      <c r="K178" s="11"/>
      <c r="L178" s="11"/>
      <c r="M178" s="19">
        <v>0</v>
      </c>
      <c r="O178" s="6"/>
      <c r="P178" s="16">
        <v>0</v>
      </c>
      <c r="Q178" s="16">
        <v>0</v>
      </c>
      <c r="R178" s="22"/>
      <c r="S178" s="22">
        <f t="shared" si="4"/>
        <v>0</v>
      </c>
      <c r="T178" s="5">
        <v>228</v>
      </c>
      <c r="U178" s="5">
        <v>934</v>
      </c>
      <c r="Y178" s="8"/>
      <c r="Z178" s="8"/>
      <c r="AA178" s="8"/>
      <c r="AB178" s="8"/>
      <c r="AC178" s="8"/>
      <c r="AD178" s="8"/>
      <c r="AE178" s="25"/>
      <c r="AF178" s="11"/>
      <c r="AG178" s="25"/>
      <c r="AH178" s="11"/>
      <c r="AI178" s="11">
        <v>63</v>
      </c>
      <c r="AJ178" s="19">
        <v>0</v>
      </c>
      <c r="AK178" s="12">
        <f>(AJ178+AI178)/30*7</f>
        <v>14.700000000000001</v>
      </c>
      <c r="AL178" s="6">
        <f>IF(AK178-C178&lt;0,0,AK178-C178)</f>
        <v>0</v>
      </c>
      <c r="AM178" s="6">
        <f>IF(AL178-R178-S178&lt;0,0,AL178-R178-S178)</f>
        <v>0</v>
      </c>
      <c r="AN178" s="5" t="str">
        <f t="shared" si="5"/>
        <v/>
      </c>
      <c r="AO178" s="5">
        <v>0</v>
      </c>
      <c r="AP178" s="9"/>
      <c r="AQ178" s="5" t="s">
        <v>1210</v>
      </c>
      <c r="AR178" s="5" t="s">
        <v>1210</v>
      </c>
      <c r="AS178" s="8"/>
      <c r="AT178" s="8"/>
      <c r="AU178" s="8"/>
      <c r="AV178" s="8"/>
      <c r="AW178" s="8"/>
      <c r="AX178" s="8"/>
      <c r="AY178" s="8"/>
      <c r="AZ178" s="8"/>
    </row>
    <row r="179" spans="1:52">
      <c r="A179" s="5" t="s">
        <v>1058</v>
      </c>
      <c r="B179" s="5">
        <v>1067</v>
      </c>
      <c r="C179" s="19">
        <v>36</v>
      </c>
      <c r="E179" s="14"/>
      <c r="F179" s="11"/>
      <c r="G179" s="11"/>
      <c r="H179" s="11"/>
      <c r="I179" s="11"/>
      <c r="J179" s="25"/>
      <c r="K179" s="11"/>
      <c r="L179" s="11"/>
      <c r="M179" s="19">
        <v>0</v>
      </c>
      <c r="O179" s="6"/>
      <c r="P179" s="16">
        <v>400</v>
      </c>
      <c r="Q179" s="16">
        <v>0</v>
      </c>
      <c r="R179" s="22"/>
      <c r="S179" s="22">
        <f t="shared" si="4"/>
        <v>0</v>
      </c>
      <c r="T179" s="5">
        <v>1334</v>
      </c>
      <c r="U179" s="5">
        <v>762</v>
      </c>
      <c r="Y179" s="8"/>
      <c r="Z179" s="8"/>
      <c r="AA179" s="8"/>
      <c r="AB179" s="8"/>
      <c r="AC179" s="8"/>
      <c r="AD179" s="8"/>
      <c r="AE179" s="25"/>
      <c r="AF179" s="11"/>
      <c r="AG179" s="25"/>
      <c r="AH179" s="11"/>
      <c r="AI179" s="11">
        <v>63</v>
      </c>
      <c r="AJ179" s="19">
        <v>0</v>
      </c>
      <c r="AK179" s="12">
        <f>(AJ179+AI179)/30*7</f>
        <v>14.700000000000001</v>
      </c>
      <c r="AL179" s="6">
        <f>IF(AK179-C179&lt;0,0,AK179-C179)</f>
        <v>0</v>
      </c>
      <c r="AM179" s="6">
        <f>IF(AL179-R179-S179&lt;0,0,AL179-R179-S179)</f>
        <v>0</v>
      </c>
      <c r="AN179" s="5" t="str">
        <f t="shared" si="5"/>
        <v/>
      </c>
      <c r="AO179" s="5">
        <v>0</v>
      </c>
      <c r="AP179" s="9"/>
      <c r="AQ179" s="5" t="s">
        <v>1210</v>
      </c>
      <c r="AR179" s="5" t="s">
        <v>1230</v>
      </c>
      <c r="AS179" s="8"/>
      <c r="AT179" s="8"/>
      <c r="AU179" s="8"/>
      <c r="AV179" s="8"/>
      <c r="AW179" s="8"/>
      <c r="AX179" s="8"/>
      <c r="AY179" s="8"/>
      <c r="AZ179" s="8"/>
    </row>
    <row r="180" spans="1:52">
      <c r="A180" s="5" t="s">
        <v>817</v>
      </c>
      <c r="B180" s="5" t="s">
        <v>1172</v>
      </c>
      <c r="C180" s="19">
        <v>36</v>
      </c>
      <c r="E180" s="14"/>
      <c r="F180" s="11"/>
      <c r="G180" s="11"/>
      <c r="H180" s="11"/>
      <c r="I180" s="11"/>
      <c r="J180" s="25"/>
      <c r="K180" s="11"/>
      <c r="L180" s="11"/>
      <c r="M180" s="19">
        <v>0</v>
      </c>
      <c r="O180" s="6"/>
      <c r="P180" s="16">
        <v>0</v>
      </c>
      <c r="Q180" s="16">
        <v>0</v>
      </c>
      <c r="R180" s="22"/>
      <c r="S180" s="22">
        <f t="shared" si="4"/>
        <v>0</v>
      </c>
      <c r="T180" s="5" t="s">
        <v>1210</v>
      </c>
      <c r="U180" s="5" t="s">
        <v>1210</v>
      </c>
      <c r="Y180" s="8"/>
      <c r="Z180" s="8"/>
      <c r="AA180" s="8"/>
      <c r="AB180" s="8"/>
      <c r="AC180" s="8"/>
      <c r="AD180" s="8"/>
      <c r="AE180" s="25"/>
      <c r="AF180" s="11"/>
      <c r="AG180" s="25"/>
      <c r="AH180" s="11"/>
      <c r="AI180" s="11">
        <v>63</v>
      </c>
      <c r="AJ180" s="19">
        <v>0</v>
      </c>
      <c r="AK180" s="12">
        <f>(AJ180+AI180)/30*7</f>
        <v>14.700000000000001</v>
      </c>
      <c r="AL180" s="6">
        <f>IF(AK180-C180&lt;0,0,AK180-C180)</f>
        <v>0</v>
      </c>
      <c r="AM180" s="6">
        <f>IF(AL180-R180-S180&lt;0,0,AL180-R180-S180)</f>
        <v>0</v>
      </c>
      <c r="AN180" s="5" t="str">
        <f t="shared" si="5"/>
        <v/>
      </c>
      <c r="AO180" s="5">
        <v>0</v>
      </c>
      <c r="AP180" s="9"/>
      <c r="AQ180" s="5" t="s">
        <v>1210</v>
      </c>
      <c r="AR180" s="5" t="s">
        <v>1210</v>
      </c>
      <c r="AS180" s="8"/>
      <c r="AT180" s="8"/>
      <c r="AU180" s="8"/>
      <c r="AV180" s="8"/>
      <c r="AW180" s="8"/>
      <c r="AX180" s="8"/>
      <c r="AY180" s="8"/>
      <c r="AZ180" s="8"/>
    </row>
    <row r="181" spans="1:52">
      <c r="A181" s="5" t="s">
        <v>1105</v>
      </c>
      <c r="B181" s="5">
        <v>1792</v>
      </c>
      <c r="C181" s="19">
        <v>37</v>
      </c>
      <c r="E181" s="14"/>
      <c r="F181" s="11"/>
      <c r="G181" s="11"/>
      <c r="H181" s="11"/>
      <c r="I181" s="11"/>
      <c r="J181" s="25"/>
      <c r="K181" s="11"/>
      <c r="L181" s="11"/>
      <c r="M181" s="19">
        <v>0</v>
      </c>
      <c r="O181" s="6"/>
      <c r="P181" s="16">
        <v>0</v>
      </c>
      <c r="Q181" s="16">
        <v>0</v>
      </c>
      <c r="R181" s="22"/>
      <c r="S181" s="22">
        <f t="shared" si="4"/>
        <v>0</v>
      </c>
      <c r="T181" s="5" t="s">
        <v>1210</v>
      </c>
      <c r="U181" s="5" t="s">
        <v>1210</v>
      </c>
      <c r="Y181" s="8"/>
      <c r="Z181" s="8"/>
      <c r="AA181" s="8"/>
      <c r="AB181" s="8"/>
      <c r="AC181" s="8"/>
      <c r="AD181" s="8"/>
      <c r="AE181" s="25"/>
      <c r="AF181" s="11"/>
      <c r="AG181" s="25"/>
      <c r="AH181" s="11"/>
      <c r="AI181" s="11">
        <v>62</v>
      </c>
      <c r="AJ181" s="19">
        <v>0</v>
      </c>
      <c r="AK181" s="12">
        <f>(AJ181+AI181)/30*7</f>
        <v>14.466666666666669</v>
      </c>
      <c r="AL181" s="6">
        <f>IF(AK181-C181&lt;0,0,AK181-C181)</f>
        <v>0</v>
      </c>
      <c r="AM181" s="6">
        <f>IF(AL181-R181-S181&lt;0,0,AL181-R181-S181)</f>
        <v>0</v>
      </c>
      <c r="AN181" s="5" t="str">
        <f t="shared" si="5"/>
        <v/>
      </c>
      <c r="AO181" s="5">
        <v>0</v>
      </c>
      <c r="AP181" s="9"/>
      <c r="AQ181" s="5" t="s">
        <v>1210</v>
      </c>
      <c r="AR181" s="5" t="s">
        <v>1210</v>
      </c>
      <c r="AS181" s="8"/>
      <c r="AT181" s="8"/>
      <c r="AU181" s="8"/>
      <c r="AV181" s="8"/>
      <c r="AW181" s="8"/>
      <c r="AX181" s="8"/>
      <c r="AY181" s="8"/>
      <c r="AZ181" s="8"/>
    </row>
    <row r="182" spans="1:52">
      <c r="A182" s="5" t="s">
        <v>543</v>
      </c>
      <c r="B182" s="5">
        <v>203</v>
      </c>
      <c r="C182" s="19">
        <v>32</v>
      </c>
      <c r="E182" s="14"/>
      <c r="F182" s="11"/>
      <c r="G182" s="11"/>
      <c r="H182" s="11"/>
      <c r="I182" s="11"/>
      <c r="J182" s="25"/>
      <c r="K182" s="11"/>
      <c r="L182" s="11"/>
      <c r="M182" s="19">
        <v>0</v>
      </c>
      <c r="O182" s="6"/>
      <c r="P182" s="16">
        <v>0</v>
      </c>
      <c r="Q182" s="16">
        <v>0</v>
      </c>
      <c r="R182" s="22"/>
      <c r="S182" s="22">
        <f t="shared" si="4"/>
        <v>0</v>
      </c>
      <c r="T182" s="5" t="s">
        <v>1210</v>
      </c>
      <c r="U182" s="5" t="s">
        <v>1210</v>
      </c>
      <c r="Y182" s="8"/>
      <c r="Z182" s="8"/>
      <c r="AA182" s="8"/>
      <c r="AB182" s="8"/>
      <c r="AC182" s="8"/>
      <c r="AD182" s="8"/>
      <c r="AE182" s="25"/>
      <c r="AF182" s="11"/>
      <c r="AG182" s="25"/>
      <c r="AH182" s="11"/>
      <c r="AI182" s="11">
        <v>62</v>
      </c>
      <c r="AJ182" s="19">
        <v>0</v>
      </c>
      <c r="AK182" s="12">
        <f>(AJ182+AI182)/30*7</f>
        <v>14.466666666666669</v>
      </c>
      <c r="AL182" s="6">
        <f>IF(AK182-C182&lt;0,0,AK182-C182)</f>
        <v>0</v>
      </c>
      <c r="AM182" s="6">
        <f>IF(AL182-R182-S182&lt;0,0,AL182-R182-S182)</f>
        <v>0</v>
      </c>
      <c r="AN182" s="5" t="str">
        <f t="shared" si="5"/>
        <v/>
      </c>
      <c r="AO182" s="5">
        <v>0</v>
      </c>
      <c r="AP182" s="9"/>
      <c r="AQ182" s="5" t="s">
        <v>1210</v>
      </c>
      <c r="AR182" s="5" t="s">
        <v>1210</v>
      </c>
      <c r="AS182" s="8"/>
      <c r="AT182" s="8"/>
      <c r="AU182" s="8"/>
      <c r="AV182" s="8"/>
      <c r="AW182" s="8"/>
      <c r="AX182" s="8"/>
      <c r="AY182" s="8"/>
      <c r="AZ182" s="8"/>
    </row>
    <row r="183" spans="1:52">
      <c r="A183" s="5" t="s">
        <v>718</v>
      </c>
      <c r="B183" s="5">
        <v>1836</v>
      </c>
      <c r="C183" s="19">
        <v>21</v>
      </c>
      <c r="E183" s="14"/>
      <c r="F183" s="11"/>
      <c r="G183" s="11"/>
      <c r="H183" s="11"/>
      <c r="I183" s="11"/>
      <c r="J183" s="25"/>
      <c r="K183" s="11"/>
      <c r="L183" s="11"/>
      <c r="M183" s="19">
        <v>0</v>
      </c>
      <c r="O183" s="6"/>
      <c r="P183" s="16">
        <v>0</v>
      </c>
      <c r="Q183" s="16">
        <v>0</v>
      </c>
      <c r="R183" s="22"/>
      <c r="S183" s="22">
        <f t="shared" si="4"/>
        <v>0</v>
      </c>
      <c r="T183" s="5">
        <v>1001</v>
      </c>
      <c r="U183" s="5">
        <v>812</v>
      </c>
      <c r="Y183" s="8"/>
      <c r="Z183" s="8"/>
      <c r="AA183" s="8"/>
      <c r="AB183" s="8"/>
      <c r="AC183" s="8"/>
      <c r="AD183" s="8"/>
      <c r="AE183" s="25"/>
      <c r="AF183" s="11"/>
      <c r="AG183" s="25"/>
      <c r="AH183" s="11"/>
      <c r="AI183" s="11">
        <v>62</v>
      </c>
      <c r="AJ183" s="19">
        <v>0</v>
      </c>
      <c r="AK183" s="12">
        <f>(AJ183+AI183)/30*7</f>
        <v>14.466666666666669</v>
      </c>
      <c r="AL183" s="6">
        <f>IF(AK183-C183&lt;0,0,AK183-C183)</f>
        <v>0</v>
      </c>
      <c r="AM183" s="6">
        <f>IF(AL183-R183-S183&lt;0,0,AL183-R183-S183)</f>
        <v>0</v>
      </c>
      <c r="AN183" s="5" t="str">
        <f t="shared" si="5"/>
        <v/>
      </c>
      <c r="AO183" s="5">
        <v>0</v>
      </c>
      <c r="AP183" s="9"/>
      <c r="AQ183" s="5" t="s">
        <v>1210</v>
      </c>
      <c r="AR183" s="5" t="s">
        <v>1210</v>
      </c>
      <c r="AS183" s="8"/>
      <c r="AT183" s="8"/>
      <c r="AU183" s="8"/>
      <c r="AV183" s="8"/>
      <c r="AW183" s="8"/>
      <c r="AX183" s="8"/>
      <c r="AY183" s="8"/>
      <c r="AZ183" s="8"/>
    </row>
    <row r="184" spans="1:52">
      <c r="A184" s="5" t="s">
        <v>575</v>
      </c>
      <c r="B184" s="5">
        <v>495</v>
      </c>
      <c r="C184" s="19">
        <v>35</v>
      </c>
      <c r="E184" s="14"/>
      <c r="F184" s="11"/>
      <c r="G184" s="11"/>
      <c r="H184" s="11"/>
      <c r="I184" s="11"/>
      <c r="J184" s="25"/>
      <c r="K184" s="11"/>
      <c r="L184" s="11"/>
      <c r="M184" s="19">
        <v>0</v>
      </c>
      <c r="O184" s="6"/>
      <c r="P184" s="16">
        <v>0</v>
      </c>
      <c r="Q184" s="16">
        <v>0</v>
      </c>
      <c r="R184" s="22"/>
      <c r="S184" s="22">
        <f t="shared" si="4"/>
        <v>0</v>
      </c>
      <c r="T184" s="5" t="s">
        <v>1210</v>
      </c>
      <c r="U184" s="5" t="s">
        <v>1210</v>
      </c>
      <c r="Y184" s="8"/>
      <c r="Z184" s="8"/>
      <c r="AA184" s="8"/>
      <c r="AB184" s="8"/>
      <c r="AC184" s="8"/>
      <c r="AD184" s="8"/>
      <c r="AE184" s="25"/>
      <c r="AF184" s="11"/>
      <c r="AG184" s="25"/>
      <c r="AH184" s="11"/>
      <c r="AI184" s="11">
        <v>61</v>
      </c>
      <c r="AJ184" s="19">
        <v>0</v>
      </c>
      <c r="AK184" s="12">
        <f>(AJ184+AI184)/30*7</f>
        <v>14.233333333333333</v>
      </c>
      <c r="AL184" s="6">
        <f>IF(AK184-C184&lt;0,0,AK184-C184)</f>
        <v>0</v>
      </c>
      <c r="AM184" s="6">
        <f>IF(AL184-R184-S184&lt;0,0,AL184-R184-S184)</f>
        <v>0</v>
      </c>
      <c r="AN184" s="5" t="str">
        <f t="shared" si="5"/>
        <v/>
      </c>
      <c r="AO184" s="5">
        <v>0</v>
      </c>
      <c r="AP184" s="9"/>
      <c r="AQ184" s="5" t="s">
        <v>1210</v>
      </c>
      <c r="AR184" s="5" t="s">
        <v>1210</v>
      </c>
      <c r="AS184" s="8"/>
      <c r="AT184" s="8"/>
      <c r="AU184" s="8"/>
      <c r="AV184" s="8"/>
      <c r="AW184" s="8"/>
      <c r="AX184" s="8"/>
      <c r="AY184" s="8"/>
      <c r="AZ184" s="8"/>
    </row>
    <row r="185" spans="1:52">
      <c r="A185" s="5" t="s">
        <v>601</v>
      </c>
      <c r="B185" s="5">
        <v>689</v>
      </c>
      <c r="C185" s="19">
        <v>29</v>
      </c>
      <c r="E185" s="14"/>
      <c r="F185" s="11"/>
      <c r="G185" s="11"/>
      <c r="H185" s="11"/>
      <c r="I185" s="11"/>
      <c r="J185" s="25"/>
      <c r="K185" s="11"/>
      <c r="L185" s="11"/>
      <c r="M185" s="19">
        <v>0</v>
      </c>
      <c r="O185" s="6"/>
      <c r="P185" s="16">
        <v>0</v>
      </c>
      <c r="Q185" s="16">
        <v>0</v>
      </c>
      <c r="R185" s="22"/>
      <c r="S185" s="22">
        <f t="shared" si="4"/>
        <v>0</v>
      </c>
      <c r="T185" s="5" t="s">
        <v>1210</v>
      </c>
      <c r="U185" s="5" t="s">
        <v>1210</v>
      </c>
      <c r="Y185" s="8"/>
      <c r="Z185" s="8"/>
      <c r="AA185" s="8"/>
      <c r="AB185" s="8"/>
      <c r="AC185" s="8"/>
      <c r="AD185" s="8"/>
      <c r="AE185" s="25"/>
      <c r="AF185" s="11"/>
      <c r="AG185" s="25"/>
      <c r="AH185" s="11"/>
      <c r="AI185" s="11">
        <v>61</v>
      </c>
      <c r="AJ185" s="19">
        <v>0</v>
      </c>
      <c r="AK185" s="12">
        <f>(AJ185+AI185)/30*7</f>
        <v>14.233333333333333</v>
      </c>
      <c r="AL185" s="6">
        <f>IF(AK185-C185&lt;0,0,AK185-C185)</f>
        <v>0</v>
      </c>
      <c r="AM185" s="6">
        <f>IF(AL185-R185-S185&lt;0,0,AL185-R185-S185)</f>
        <v>0</v>
      </c>
      <c r="AN185" s="5" t="str">
        <f t="shared" si="5"/>
        <v/>
      </c>
      <c r="AO185" s="5">
        <v>0</v>
      </c>
      <c r="AP185" s="9"/>
      <c r="AQ185" s="5" t="s">
        <v>1210</v>
      </c>
      <c r="AR185" s="5" t="s">
        <v>1210</v>
      </c>
      <c r="AS185" s="8"/>
      <c r="AT185" s="8"/>
      <c r="AU185" s="8"/>
      <c r="AV185" s="8"/>
      <c r="AW185" s="8"/>
      <c r="AX185" s="8"/>
      <c r="AY185" s="8"/>
      <c r="AZ185" s="8"/>
    </row>
    <row r="186" spans="1:52">
      <c r="A186" s="5" t="s">
        <v>131</v>
      </c>
      <c r="B186" s="5">
        <v>1297</v>
      </c>
      <c r="C186" s="19">
        <v>25</v>
      </c>
      <c r="E186" s="14"/>
      <c r="F186" s="11"/>
      <c r="G186" s="11"/>
      <c r="H186" s="11"/>
      <c r="I186" s="11"/>
      <c r="J186" s="25"/>
      <c r="K186" s="11"/>
      <c r="L186" s="11"/>
      <c r="M186" s="19">
        <v>0</v>
      </c>
      <c r="O186" s="6"/>
      <c r="P186" s="16">
        <v>0</v>
      </c>
      <c r="Q186" s="16">
        <v>0</v>
      </c>
      <c r="R186" s="22"/>
      <c r="S186" s="22">
        <f t="shared" si="4"/>
        <v>0</v>
      </c>
      <c r="T186" s="5">
        <v>954</v>
      </c>
      <c r="U186" s="5">
        <v>548</v>
      </c>
      <c r="Y186" s="8"/>
      <c r="Z186" s="8"/>
      <c r="AA186" s="8"/>
      <c r="AB186" s="8"/>
      <c r="AC186" s="8"/>
      <c r="AD186" s="8"/>
      <c r="AE186" s="25"/>
      <c r="AF186" s="11"/>
      <c r="AG186" s="25"/>
      <c r="AH186" s="11"/>
      <c r="AI186" s="11">
        <v>61</v>
      </c>
      <c r="AJ186" s="19">
        <v>0</v>
      </c>
      <c r="AK186" s="12">
        <f>(AJ186+AI186)/30*7</f>
        <v>14.233333333333333</v>
      </c>
      <c r="AL186" s="6">
        <f>IF(AK186-C186&lt;0,0,AK186-C186)</f>
        <v>0</v>
      </c>
      <c r="AM186" s="6">
        <f>IF(AL186-R186-S186&lt;0,0,AL186-R186-S186)</f>
        <v>0</v>
      </c>
      <c r="AN186" s="5" t="str">
        <f t="shared" si="5"/>
        <v/>
      </c>
      <c r="AO186" s="5">
        <v>0</v>
      </c>
      <c r="AP186" s="9"/>
      <c r="AQ186" s="5" t="s">
        <v>1210</v>
      </c>
      <c r="AR186" s="5" t="s">
        <v>1210</v>
      </c>
      <c r="AS186" s="8"/>
      <c r="AT186" s="8"/>
      <c r="AU186" s="8"/>
      <c r="AV186" s="8"/>
      <c r="AW186" s="8"/>
      <c r="AX186" s="8"/>
      <c r="AY186" s="8"/>
      <c r="AZ186" s="8"/>
    </row>
    <row r="187" spans="1:52">
      <c r="A187" s="5" t="s">
        <v>878</v>
      </c>
      <c r="B187" s="5">
        <v>1377</v>
      </c>
      <c r="C187" s="19">
        <v>32</v>
      </c>
      <c r="E187" s="14"/>
      <c r="F187" s="11"/>
      <c r="G187" s="11"/>
      <c r="H187" s="11"/>
      <c r="I187" s="11"/>
      <c r="J187" s="25"/>
      <c r="K187" s="11"/>
      <c r="L187" s="11"/>
      <c r="M187" s="19">
        <v>0</v>
      </c>
      <c r="O187" s="6"/>
      <c r="P187" s="16">
        <v>0</v>
      </c>
      <c r="Q187" s="16">
        <v>0</v>
      </c>
      <c r="R187" s="22"/>
      <c r="S187" s="22">
        <f t="shared" si="4"/>
        <v>0</v>
      </c>
      <c r="T187" s="5">
        <v>1719</v>
      </c>
      <c r="U187" s="5">
        <v>524</v>
      </c>
      <c r="Y187" s="8"/>
      <c r="Z187" s="8"/>
      <c r="AA187" s="8"/>
      <c r="AB187" s="8"/>
      <c r="AC187" s="8"/>
      <c r="AD187" s="8"/>
      <c r="AE187" s="25"/>
      <c r="AF187" s="11"/>
      <c r="AG187" s="25"/>
      <c r="AH187" s="11"/>
      <c r="AI187" s="11">
        <v>61</v>
      </c>
      <c r="AJ187" s="19">
        <v>0</v>
      </c>
      <c r="AK187" s="12">
        <f>(AJ187+AI187)/30*7</f>
        <v>14.233333333333333</v>
      </c>
      <c r="AL187" s="6">
        <f>IF(AK187-C187&lt;0,0,AK187-C187)</f>
        <v>0</v>
      </c>
      <c r="AM187" s="6">
        <f>IF(AL187-R187-S187&lt;0,0,AL187-R187-S187)</f>
        <v>0</v>
      </c>
      <c r="AN187" s="5" t="str">
        <f t="shared" si="5"/>
        <v/>
      </c>
      <c r="AO187" s="5">
        <v>0</v>
      </c>
      <c r="AP187" s="9"/>
      <c r="AQ187" s="5" t="s">
        <v>1210</v>
      </c>
      <c r="AR187" s="5" t="s">
        <v>1210</v>
      </c>
      <c r="AS187" s="8"/>
      <c r="AT187" s="8"/>
      <c r="AU187" s="8"/>
      <c r="AV187" s="8"/>
      <c r="AW187" s="8"/>
      <c r="AX187" s="8"/>
      <c r="AY187" s="8"/>
      <c r="AZ187" s="8"/>
    </row>
    <row r="188" spans="1:52">
      <c r="A188" s="5" t="s">
        <v>850</v>
      </c>
      <c r="B188" s="5">
        <v>1612</v>
      </c>
      <c r="C188" s="19">
        <v>36</v>
      </c>
      <c r="E188" s="14"/>
      <c r="F188" s="11"/>
      <c r="G188" s="11"/>
      <c r="H188" s="11"/>
      <c r="I188" s="11"/>
      <c r="J188" s="25"/>
      <c r="K188" s="11"/>
      <c r="L188" s="11"/>
      <c r="M188" s="19">
        <v>0</v>
      </c>
      <c r="O188" s="6"/>
      <c r="P188" s="16">
        <v>0</v>
      </c>
      <c r="Q188" s="16">
        <v>0</v>
      </c>
      <c r="R188" s="22"/>
      <c r="S188" s="22">
        <f t="shared" si="4"/>
        <v>0</v>
      </c>
      <c r="T188" s="5">
        <v>1719</v>
      </c>
      <c r="U188" s="5">
        <v>524</v>
      </c>
      <c r="Y188" s="8"/>
      <c r="Z188" s="8"/>
      <c r="AA188" s="8"/>
      <c r="AB188" s="8"/>
      <c r="AC188" s="8"/>
      <c r="AD188" s="8"/>
      <c r="AE188" s="25"/>
      <c r="AF188" s="11"/>
      <c r="AG188" s="25"/>
      <c r="AH188" s="11"/>
      <c r="AI188" s="11">
        <v>61</v>
      </c>
      <c r="AJ188" s="19">
        <v>0</v>
      </c>
      <c r="AK188" s="12">
        <f>(AJ188+AI188)/30*7</f>
        <v>14.233333333333333</v>
      </c>
      <c r="AL188" s="6">
        <f>IF(AK188-C188&lt;0,0,AK188-C188)</f>
        <v>0</v>
      </c>
      <c r="AM188" s="6">
        <f>IF(AL188-R188-S188&lt;0,0,AL188-R188-S188)</f>
        <v>0</v>
      </c>
      <c r="AN188" s="5" t="str">
        <f t="shared" si="5"/>
        <v/>
      </c>
      <c r="AO188" s="5">
        <v>0</v>
      </c>
      <c r="AP188" s="9"/>
      <c r="AQ188" s="5" t="s">
        <v>1210</v>
      </c>
      <c r="AR188" s="5" t="s">
        <v>1210</v>
      </c>
      <c r="AS188" s="8"/>
      <c r="AT188" s="8"/>
      <c r="AU188" s="8"/>
      <c r="AV188" s="8"/>
      <c r="AW188" s="8"/>
      <c r="AX188" s="8"/>
      <c r="AY188" s="8"/>
      <c r="AZ188" s="8"/>
    </row>
    <row r="189" spans="1:52">
      <c r="A189" s="5" t="s">
        <v>855</v>
      </c>
      <c r="B189" s="5">
        <v>1464</v>
      </c>
      <c r="C189" s="19">
        <v>32</v>
      </c>
      <c r="E189" s="14"/>
      <c r="F189" s="11"/>
      <c r="G189" s="11"/>
      <c r="H189" s="11"/>
      <c r="I189" s="11"/>
      <c r="J189" s="25"/>
      <c r="K189" s="11"/>
      <c r="L189" s="11"/>
      <c r="M189" s="19">
        <v>0</v>
      </c>
      <c r="O189" s="6"/>
      <c r="P189" s="16">
        <v>0</v>
      </c>
      <c r="Q189" s="16">
        <v>0</v>
      </c>
      <c r="R189" s="22"/>
      <c r="S189" s="22">
        <f t="shared" si="4"/>
        <v>0</v>
      </c>
      <c r="T189" s="5">
        <v>1463</v>
      </c>
      <c r="U189" s="5">
        <v>750</v>
      </c>
      <c r="Y189" s="8"/>
      <c r="Z189" s="8"/>
      <c r="AA189" s="8"/>
      <c r="AB189" s="8"/>
      <c r="AC189" s="8"/>
      <c r="AD189" s="8"/>
      <c r="AE189" s="25"/>
      <c r="AF189" s="11"/>
      <c r="AG189" s="25"/>
      <c r="AH189" s="11"/>
      <c r="AI189" s="11">
        <v>60</v>
      </c>
      <c r="AJ189" s="19">
        <v>0</v>
      </c>
      <c r="AK189" s="12">
        <f>(AJ189+AI189)/30*7</f>
        <v>14</v>
      </c>
      <c r="AL189" s="6">
        <f>IF(AK189-C189&lt;0,0,AK189-C189)</f>
        <v>0</v>
      </c>
      <c r="AM189" s="6">
        <f>IF(AL189-R189-S189&lt;0,0,AL189-R189-S189)</f>
        <v>0</v>
      </c>
      <c r="AN189" s="5" t="str">
        <f t="shared" si="5"/>
        <v/>
      </c>
      <c r="AO189" s="5">
        <v>0</v>
      </c>
      <c r="AP189" s="9"/>
      <c r="AQ189" s="5" t="s">
        <v>1210</v>
      </c>
      <c r="AR189" s="5" t="s">
        <v>1210</v>
      </c>
      <c r="AS189" s="8"/>
      <c r="AT189" s="8"/>
      <c r="AU189" s="8"/>
      <c r="AV189" s="8"/>
      <c r="AW189" s="8"/>
      <c r="AX189" s="8"/>
      <c r="AY189" s="8"/>
      <c r="AZ189" s="8"/>
    </row>
    <row r="190" spans="1:52">
      <c r="A190" s="5" t="s">
        <v>618</v>
      </c>
      <c r="B190" s="5" t="s">
        <v>1158</v>
      </c>
      <c r="C190" s="19">
        <v>20</v>
      </c>
      <c r="E190" s="14"/>
      <c r="F190" s="11"/>
      <c r="G190" s="11"/>
      <c r="H190" s="11"/>
      <c r="I190" s="11"/>
      <c r="J190" s="25"/>
      <c r="K190" s="11"/>
      <c r="L190" s="11"/>
      <c r="M190" s="19">
        <v>0</v>
      </c>
      <c r="O190" s="6"/>
      <c r="P190" s="16">
        <v>0</v>
      </c>
      <c r="Q190" s="16">
        <v>0</v>
      </c>
      <c r="R190" s="22"/>
      <c r="S190" s="22">
        <f t="shared" si="4"/>
        <v>0</v>
      </c>
      <c r="T190" s="5" t="s">
        <v>1210</v>
      </c>
      <c r="U190" s="5" t="s">
        <v>1210</v>
      </c>
      <c r="Y190" s="8"/>
      <c r="Z190" s="8"/>
      <c r="AA190" s="8"/>
      <c r="AB190" s="8"/>
      <c r="AC190" s="8"/>
      <c r="AD190" s="8"/>
      <c r="AE190" s="25"/>
      <c r="AF190" s="11"/>
      <c r="AG190" s="25"/>
      <c r="AH190" s="11"/>
      <c r="AI190" s="11">
        <v>60</v>
      </c>
      <c r="AJ190" s="19">
        <v>0</v>
      </c>
      <c r="AK190" s="12">
        <f>(AJ190+AI190)/30*7</f>
        <v>14</v>
      </c>
      <c r="AL190" s="6">
        <f>IF(AK190-C190&lt;0,0,AK190-C190)</f>
        <v>0</v>
      </c>
      <c r="AM190" s="6">
        <f>IF(AL190-R190-S190&lt;0,0,AL190-R190-S190)</f>
        <v>0</v>
      </c>
      <c r="AN190" s="5" t="str">
        <f t="shared" si="5"/>
        <v/>
      </c>
      <c r="AO190" s="5">
        <v>0</v>
      </c>
      <c r="AP190" s="9"/>
      <c r="AQ190" s="5" t="s">
        <v>1210</v>
      </c>
      <c r="AR190" s="5" t="s">
        <v>1210</v>
      </c>
      <c r="AS190" s="8"/>
      <c r="AT190" s="8"/>
      <c r="AU190" s="8"/>
      <c r="AV190" s="8"/>
      <c r="AW190" s="8"/>
      <c r="AX190" s="8"/>
      <c r="AY190" s="8"/>
      <c r="AZ190" s="8"/>
    </row>
    <row r="191" spans="1:52">
      <c r="A191" s="5" t="s">
        <v>959</v>
      </c>
      <c r="B191" s="5" t="s">
        <v>1192</v>
      </c>
      <c r="C191" s="19">
        <v>26</v>
      </c>
      <c r="E191" s="14"/>
      <c r="F191" s="11"/>
      <c r="G191" s="11"/>
      <c r="H191" s="11"/>
      <c r="I191" s="11"/>
      <c r="J191" s="25"/>
      <c r="K191" s="11"/>
      <c r="L191" s="11"/>
      <c r="M191" s="19">
        <v>0</v>
      </c>
      <c r="O191" s="6"/>
      <c r="P191" s="16">
        <v>0</v>
      </c>
      <c r="Q191" s="16">
        <v>0</v>
      </c>
      <c r="R191" s="22"/>
      <c r="S191" s="22">
        <f t="shared" si="4"/>
        <v>0</v>
      </c>
      <c r="T191" s="5" t="s">
        <v>1210</v>
      </c>
      <c r="U191" s="5" t="s">
        <v>1210</v>
      </c>
      <c r="Y191" s="8"/>
      <c r="Z191" s="8"/>
      <c r="AA191" s="8"/>
      <c r="AB191" s="8"/>
      <c r="AC191" s="8"/>
      <c r="AD191" s="8"/>
      <c r="AE191" s="25"/>
      <c r="AF191" s="11"/>
      <c r="AG191" s="25"/>
      <c r="AH191" s="11"/>
      <c r="AI191" s="11">
        <v>60</v>
      </c>
      <c r="AJ191" s="19">
        <v>0</v>
      </c>
      <c r="AK191" s="12">
        <f>(AJ191+AI191)/30*7</f>
        <v>14</v>
      </c>
      <c r="AL191" s="6">
        <f>IF(AK191-C191&lt;0,0,AK191-C191)</f>
        <v>0</v>
      </c>
      <c r="AM191" s="6">
        <f>IF(AL191-R191-S191&lt;0,0,AL191-R191-S191)</f>
        <v>0</v>
      </c>
      <c r="AN191" s="5" t="str">
        <f t="shared" si="5"/>
        <v/>
      </c>
      <c r="AO191" s="5">
        <v>0</v>
      </c>
      <c r="AP191" s="9"/>
      <c r="AQ191" s="5" t="s">
        <v>1210</v>
      </c>
      <c r="AR191" s="5" t="s">
        <v>1210</v>
      </c>
      <c r="AS191" s="8"/>
      <c r="AT191" s="8"/>
      <c r="AU191" s="8"/>
      <c r="AV191" s="8"/>
      <c r="AW191" s="8"/>
      <c r="AX191" s="8"/>
      <c r="AY191" s="8"/>
      <c r="AZ191" s="8"/>
    </row>
    <row r="192" spans="1:52">
      <c r="A192" s="5" t="s">
        <v>470</v>
      </c>
      <c r="B192" s="5">
        <v>493</v>
      </c>
      <c r="C192" s="19">
        <v>37</v>
      </c>
      <c r="E192" s="14"/>
      <c r="F192" s="11"/>
      <c r="G192" s="11"/>
      <c r="H192" s="11"/>
      <c r="I192" s="11"/>
      <c r="J192" s="25"/>
      <c r="K192" s="11"/>
      <c r="L192" s="11"/>
      <c r="M192" s="19">
        <v>0</v>
      </c>
      <c r="O192" s="6"/>
      <c r="P192" s="16">
        <v>0</v>
      </c>
      <c r="Q192" s="16">
        <v>0</v>
      </c>
      <c r="R192" s="22"/>
      <c r="S192" s="22">
        <f t="shared" si="4"/>
        <v>0</v>
      </c>
      <c r="U192" s="5" t="s">
        <v>1210</v>
      </c>
      <c r="Y192" s="8"/>
      <c r="Z192" s="8"/>
      <c r="AA192" s="8"/>
      <c r="AB192" s="8"/>
      <c r="AC192" s="8"/>
      <c r="AD192" s="8"/>
      <c r="AE192" s="25"/>
      <c r="AF192" s="11"/>
      <c r="AG192" s="25"/>
      <c r="AH192" s="11"/>
      <c r="AI192" s="11">
        <v>59</v>
      </c>
      <c r="AJ192" s="19">
        <v>0</v>
      </c>
      <c r="AK192" s="12">
        <f>(AJ192+AI192)/30*7</f>
        <v>13.766666666666666</v>
      </c>
      <c r="AL192" s="6">
        <f>IF(AK192-C192&lt;0,0,AK192-C192)</f>
        <v>0</v>
      </c>
      <c r="AM192" s="6">
        <f>IF(AL192-R192-S192&lt;0,0,AL192-R192-S192)</f>
        <v>0</v>
      </c>
      <c r="AN192" s="5" t="str">
        <f t="shared" si="5"/>
        <v/>
      </c>
      <c r="AO192" s="5">
        <v>0</v>
      </c>
      <c r="AP192" s="9"/>
      <c r="AQ192" s="5" t="s">
        <v>1210</v>
      </c>
      <c r="AR192" s="5" t="s">
        <v>1210</v>
      </c>
      <c r="AS192" s="8"/>
      <c r="AT192" s="8"/>
      <c r="AU192" s="8"/>
      <c r="AV192" s="8"/>
      <c r="AW192" s="8"/>
      <c r="AX192" s="8"/>
      <c r="AY192" s="8"/>
      <c r="AZ192" s="8"/>
    </row>
    <row r="193" spans="1:52">
      <c r="A193" s="5" t="s">
        <v>784</v>
      </c>
      <c r="B193" s="5">
        <v>1049</v>
      </c>
      <c r="C193" s="19">
        <v>30</v>
      </c>
      <c r="E193" s="14"/>
      <c r="F193" s="11"/>
      <c r="G193" s="11"/>
      <c r="H193" s="11"/>
      <c r="I193" s="11"/>
      <c r="J193" s="25"/>
      <c r="K193" s="11"/>
      <c r="L193" s="11"/>
      <c r="M193" s="19">
        <v>0</v>
      </c>
      <c r="O193" s="6"/>
      <c r="P193" s="16">
        <v>0</v>
      </c>
      <c r="Q193" s="16">
        <v>0</v>
      </c>
      <c r="R193" s="22"/>
      <c r="S193" s="22">
        <f t="shared" si="4"/>
        <v>0</v>
      </c>
      <c r="T193" s="5">
        <v>1001</v>
      </c>
      <c r="U193" s="5">
        <v>812</v>
      </c>
      <c r="Y193" s="8"/>
      <c r="Z193" s="8"/>
      <c r="AA193" s="8"/>
      <c r="AB193" s="8"/>
      <c r="AC193" s="8"/>
      <c r="AD193" s="8"/>
      <c r="AE193" s="25"/>
      <c r="AF193" s="11"/>
      <c r="AG193" s="25"/>
      <c r="AH193" s="11"/>
      <c r="AI193" s="11">
        <v>59</v>
      </c>
      <c r="AJ193" s="19">
        <v>0</v>
      </c>
      <c r="AK193" s="12">
        <f>(AJ193+AI193)/30*7</f>
        <v>13.766666666666666</v>
      </c>
      <c r="AL193" s="6">
        <f>IF(AK193-C193&lt;0,0,AK193-C193)</f>
        <v>0</v>
      </c>
      <c r="AM193" s="6">
        <f>IF(AL193-R193-S193&lt;0,0,AL193-R193-S193)</f>
        <v>0</v>
      </c>
      <c r="AN193" s="5" t="str">
        <f t="shared" si="5"/>
        <v/>
      </c>
      <c r="AO193" s="5">
        <v>0</v>
      </c>
      <c r="AP193" s="9"/>
      <c r="AQ193" s="5" t="s">
        <v>1210</v>
      </c>
      <c r="AR193" s="5" t="s">
        <v>1210</v>
      </c>
      <c r="AS193" s="8"/>
      <c r="AT193" s="8"/>
      <c r="AU193" s="8"/>
      <c r="AV193" s="8"/>
      <c r="AW193" s="8"/>
      <c r="AX193" s="8"/>
      <c r="AY193" s="8"/>
      <c r="AZ193" s="8"/>
    </row>
    <row r="194" spans="1:52">
      <c r="A194" s="5" t="s">
        <v>670</v>
      </c>
      <c r="B194" s="5">
        <v>523</v>
      </c>
      <c r="C194" s="19">
        <v>17</v>
      </c>
      <c r="E194" s="14"/>
      <c r="F194" s="11"/>
      <c r="G194" s="11"/>
      <c r="H194" s="11"/>
      <c r="I194" s="11"/>
      <c r="J194" s="25"/>
      <c r="K194" s="11"/>
      <c r="L194" s="11"/>
      <c r="M194" s="19">
        <v>0</v>
      </c>
      <c r="O194" s="6"/>
      <c r="P194" s="16">
        <v>0</v>
      </c>
      <c r="Q194" s="16">
        <v>0</v>
      </c>
      <c r="R194" s="22"/>
      <c r="S194" s="22">
        <f t="shared" si="4"/>
        <v>0</v>
      </c>
      <c r="T194" s="5" t="s">
        <v>1210</v>
      </c>
      <c r="U194" s="5" t="s">
        <v>1210</v>
      </c>
      <c r="Y194" s="8"/>
      <c r="Z194" s="8"/>
      <c r="AA194" s="8"/>
      <c r="AB194" s="8"/>
      <c r="AC194" s="8"/>
      <c r="AD194" s="8"/>
      <c r="AE194" s="25"/>
      <c r="AF194" s="11"/>
      <c r="AG194" s="25"/>
      <c r="AH194" s="11"/>
      <c r="AI194" s="11">
        <v>58</v>
      </c>
      <c r="AJ194" s="19">
        <v>0</v>
      </c>
      <c r="AK194" s="12">
        <f>(AJ194+AI194)/30*7</f>
        <v>13.533333333333333</v>
      </c>
      <c r="AL194" s="6">
        <f>IF(AK194-C194&lt;0,0,AK194-C194)</f>
        <v>0</v>
      </c>
      <c r="AM194" s="6">
        <f>IF(AL194-R194-S194&lt;0,0,AL194-R194-S194)</f>
        <v>0</v>
      </c>
      <c r="AN194" s="5" t="str">
        <f t="shared" si="5"/>
        <v/>
      </c>
      <c r="AO194" s="5">
        <v>0</v>
      </c>
      <c r="AP194" s="9"/>
      <c r="AQ194" s="5" t="s">
        <v>1210</v>
      </c>
      <c r="AR194" s="5" t="s">
        <v>1210</v>
      </c>
      <c r="AS194" s="8"/>
      <c r="AT194" s="8"/>
      <c r="AU194" s="8"/>
      <c r="AV194" s="8"/>
      <c r="AW194" s="8"/>
      <c r="AX194" s="8"/>
      <c r="AY194" s="8"/>
      <c r="AZ194" s="8"/>
    </row>
    <row r="195" spans="1:52">
      <c r="A195" s="5" t="s">
        <v>415</v>
      </c>
      <c r="B195" s="5">
        <v>1164</v>
      </c>
      <c r="C195" s="19">
        <v>32</v>
      </c>
      <c r="E195" s="14"/>
      <c r="F195" s="11"/>
      <c r="G195" s="11"/>
      <c r="H195" s="11"/>
      <c r="I195" s="11"/>
      <c r="J195" s="25"/>
      <c r="K195" s="11"/>
      <c r="L195" s="11"/>
      <c r="M195" s="19">
        <v>0</v>
      </c>
      <c r="O195" s="6"/>
      <c r="P195" s="16">
        <v>0</v>
      </c>
      <c r="Q195" s="16">
        <v>0</v>
      </c>
      <c r="R195" s="22"/>
      <c r="S195" s="22">
        <f t="shared" si="4"/>
        <v>0</v>
      </c>
      <c r="T195" s="5">
        <v>1192</v>
      </c>
      <c r="U195" s="5">
        <v>274</v>
      </c>
      <c r="Y195" s="8"/>
      <c r="Z195" s="8"/>
      <c r="AA195" s="8"/>
      <c r="AB195" s="8"/>
      <c r="AC195" s="8"/>
      <c r="AD195" s="8"/>
      <c r="AE195" s="25"/>
      <c r="AF195" s="11"/>
      <c r="AG195" s="25"/>
      <c r="AH195" s="11"/>
      <c r="AI195" s="11">
        <v>58</v>
      </c>
      <c r="AJ195" s="19">
        <v>0</v>
      </c>
      <c r="AK195" s="12">
        <f>(AJ195+AI195)/30*7</f>
        <v>13.533333333333333</v>
      </c>
      <c r="AL195" s="6">
        <f>IF(AK195-C195&lt;0,0,AK195-C195)</f>
        <v>0</v>
      </c>
      <c r="AM195" s="6">
        <f>IF(AL195-R195-S195&lt;0,0,AL195-R195-S195)</f>
        <v>0</v>
      </c>
      <c r="AN195" s="5" t="str">
        <f t="shared" si="5"/>
        <v/>
      </c>
      <c r="AO195" s="5">
        <v>0</v>
      </c>
      <c r="AP195" s="9"/>
      <c r="AQ195" s="5" t="s">
        <v>1210</v>
      </c>
      <c r="AR195" s="5" t="s">
        <v>1210</v>
      </c>
      <c r="AS195" s="8"/>
      <c r="AT195" s="8"/>
      <c r="AU195" s="8"/>
      <c r="AV195" s="8"/>
      <c r="AW195" s="8"/>
      <c r="AX195" s="8"/>
      <c r="AY195" s="8"/>
      <c r="AZ195" s="8"/>
    </row>
    <row r="196" spans="1:52">
      <c r="A196" s="5" t="s">
        <v>669</v>
      </c>
      <c r="B196" s="5">
        <v>1272</v>
      </c>
      <c r="C196" s="19">
        <v>34</v>
      </c>
      <c r="E196" s="14"/>
      <c r="F196" s="11"/>
      <c r="G196" s="11"/>
      <c r="H196" s="11"/>
      <c r="I196" s="11"/>
      <c r="J196" s="25"/>
      <c r="K196" s="11"/>
      <c r="L196" s="11"/>
      <c r="M196" s="19">
        <v>0</v>
      </c>
      <c r="O196" s="6"/>
      <c r="P196" s="16">
        <v>0</v>
      </c>
      <c r="Q196" s="16">
        <v>0</v>
      </c>
      <c r="R196" s="22"/>
      <c r="S196" s="22">
        <f t="shared" ref="S196:S259" si="6">IF(AL196&gt;0,IF(Q196&gt;=AL196,ROUND(AL196,0),Q196),0)</f>
        <v>0</v>
      </c>
      <c r="T196" s="5" t="s">
        <v>1210</v>
      </c>
      <c r="U196" s="5" t="s">
        <v>1210</v>
      </c>
      <c r="Y196" s="8"/>
      <c r="Z196" s="8"/>
      <c r="AA196" s="8"/>
      <c r="AB196" s="8"/>
      <c r="AC196" s="8"/>
      <c r="AD196" s="8"/>
      <c r="AE196" s="25"/>
      <c r="AF196" s="11"/>
      <c r="AG196" s="25"/>
      <c r="AH196" s="11"/>
      <c r="AI196" s="11">
        <v>58</v>
      </c>
      <c r="AJ196" s="19">
        <v>0</v>
      </c>
      <c r="AK196" s="12">
        <f>(AJ196+AI196)/30*7</f>
        <v>13.533333333333333</v>
      </c>
      <c r="AL196" s="6">
        <f>IF(AK196-C196&lt;0,0,AK196-C196)</f>
        <v>0</v>
      </c>
      <c r="AM196" s="6">
        <f>IF(AL196-R196-S196&lt;0,0,AL196-R196-S196)</f>
        <v>0</v>
      </c>
      <c r="AN196" s="5" t="str">
        <f t="shared" ref="AN196:AN259" si="7">IF(AM196&gt;0,IF(LEN(U196)=0,IF(ROUND(AM196-AO196,0)&gt;0,ROUND(AM196-AO196,0),""),IF(U196+AO196&gt;=AM196,"",ROUND(AM196-U196-AO196,0))),"")</f>
        <v/>
      </c>
      <c r="AO196" s="5">
        <v>0</v>
      </c>
      <c r="AP196" s="9"/>
      <c r="AQ196" s="5" t="s">
        <v>1210</v>
      </c>
      <c r="AR196" s="5" t="s">
        <v>1210</v>
      </c>
      <c r="AS196" s="8"/>
      <c r="AT196" s="8"/>
      <c r="AU196" s="8"/>
      <c r="AV196" s="8"/>
      <c r="AW196" s="8"/>
      <c r="AX196" s="8"/>
      <c r="AY196" s="8"/>
      <c r="AZ196" s="8"/>
    </row>
    <row r="197" spans="1:52">
      <c r="A197" s="5" t="s">
        <v>944</v>
      </c>
      <c r="B197" s="5" t="s">
        <v>1188</v>
      </c>
      <c r="C197" s="19">
        <v>32</v>
      </c>
      <c r="E197" s="14"/>
      <c r="F197" s="11"/>
      <c r="G197" s="11"/>
      <c r="H197" s="11"/>
      <c r="I197" s="11"/>
      <c r="J197" s="25"/>
      <c r="K197" s="11"/>
      <c r="L197" s="11"/>
      <c r="M197" s="19">
        <v>0</v>
      </c>
      <c r="O197" s="6"/>
      <c r="P197" s="16">
        <v>0</v>
      </c>
      <c r="Q197" s="16">
        <v>0</v>
      </c>
      <c r="R197" s="22"/>
      <c r="S197" s="22">
        <f t="shared" si="6"/>
        <v>0</v>
      </c>
      <c r="T197" s="5" t="s">
        <v>1210</v>
      </c>
      <c r="U197" s="5" t="s">
        <v>1210</v>
      </c>
      <c r="Y197" s="8"/>
      <c r="Z197" s="8"/>
      <c r="AA197" s="8"/>
      <c r="AB197" s="8"/>
      <c r="AC197" s="8"/>
      <c r="AD197" s="8"/>
      <c r="AE197" s="25"/>
      <c r="AF197" s="11"/>
      <c r="AG197" s="25"/>
      <c r="AH197" s="11"/>
      <c r="AI197" s="11">
        <v>58</v>
      </c>
      <c r="AJ197" s="19">
        <v>0</v>
      </c>
      <c r="AK197" s="12">
        <f>(AJ197+AI197)/30*7</f>
        <v>13.533333333333333</v>
      </c>
      <c r="AL197" s="6">
        <f>IF(AK197-C197&lt;0,0,AK197-C197)</f>
        <v>0</v>
      </c>
      <c r="AM197" s="6">
        <f>IF(AL197-R197-S197&lt;0,0,AL197-R197-S197)</f>
        <v>0</v>
      </c>
      <c r="AN197" s="5" t="str">
        <f t="shared" si="7"/>
        <v/>
      </c>
      <c r="AO197" s="5">
        <v>0</v>
      </c>
      <c r="AP197" s="9"/>
      <c r="AQ197" s="5" t="s">
        <v>1210</v>
      </c>
      <c r="AR197" s="5" t="s">
        <v>1210</v>
      </c>
      <c r="AS197" s="8"/>
      <c r="AT197" s="8"/>
      <c r="AU197" s="8"/>
      <c r="AV197" s="8"/>
      <c r="AW197" s="8"/>
      <c r="AX197" s="8"/>
      <c r="AY197" s="8"/>
      <c r="AZ197" s="8"/>
    </row>
    <row r="198" spans="1:52">
      <c r="A198" s="5" t="s">
        <v>939</v>
      </c>
      <c r="B198" s="5">
        <v>429</v>
      </c>
      <c r="C198" s="19">
        <v>18</v>
      </c>
      <c r="E198" s="14"/>
      <c r="F198" s="11"/>
      <c r="G198" s="11"/>
      <c r="H198" s="11"/>
      <c r="I198" s="11"/>
      <c r="J198" s="25"/>
      <c r="K198" s="11"/>
      <c r="L198" s="11"/>
      <c r="M198" s="19">
        <v>0</v>
      </c>
      <c r="O198" s="6"/>
      <c r="P198" s="16">
        <v>0</v>
      </c>
      <c r="Q198" s="16">
        <v>0</v>
      </c>
      <c r="R198" s="22"/>
      <c r="S198" s="22">
        <f t="shared" si="6"/>
        <v>0</v>
      </c>
      <c r="T198" s="5" t="s">
        <v>1210</v>
      </c>
      <c r="U198" s="5" t="s">
        <v>1210</v>
      </c>
      <c r="Y198" s="8"/>
      <c r="Z198" s="8"/>
      <c r="AA198" s="8"/>
      <c r="AB198" s="8"/>
      <c r="AC198" s="8"/>
      <c r="AD198" s="8"/>
      <c r="AE198" s="25"/>
      <c r="AF198" s="11"/>
      <c r="AG198" s="25"/>
      <c r="AH198" s="11"/>
      <c r="AI198" s="11">
        <v>57</v>
      </c>
      <c r="AJ198" s="19">
        <v>0</v>
      </c>
      <c r="AK198" s="12">
        <f>(AJ198+AI198)/30*7</f>
        <v>13.299999999999999</v>
      </c>
      <c r="AL198" s="6">
        <f>IF(AK198-C198&lt;0,0,AK198-C198)</f>
        <v>0</v>
      </c>
      <c r="AM198" s="6">
        <f>IF(AL198-R198-S198&lt;0,0,AL198-R198-S198)</f>
        <v>0</v>
      </c>
      <c r="AN198" s="5" t="str">
        <f t="shared" si="7"/>
        <v/>
      </c>
      <c r="AO198" s="5">
        <v>0</v>
      </c>
      <c r="AP198" s="9"/>
      <c r="AQ198" s="5" t="s">
        <v>1210</v>
      </c>
      <c r="AR198" s="5" t="s">
        <v>1210</v>
      </c>
      <c r="AS198" s="8"/>
      <c r="AT198" s="8"/>
      <c r="AU198" s="8"/>
      <c r="AV198" s="8"/>
      <c r="AW198" s="8"/>
      <c r="AX198" s="8"/>
      <c r="AY198" s="8"/>
      <c r="AZ198" s="8"/>
    </row>
    <row r="199" spans="1:52">
      <c r="A199" s="5" t="s">
        <v>584</v>
      </c>
      <c r="B199" s="5">
        <v>560</v>
      </c>
      <c r="C199" s="19">
        <v>30</v>
      </c>
      <c r="E199" s="14"/>
      <c r="F199" s="11"/>
      <c r="G199" s="11"/>
      <c r="H199" s="11"/>
      <c r="I199" s="11"/>
      <c r="J199" s="25"/>
      <c r="K199" s="11"/>
      <c r="L199" s="11"/>
      <c r="M199" s="19">
        <v>0</v>
      </c>
      <c r="O199" s="6"/>
      <c r="P199" s="16">
        <v>494</v>
      </c>
      <c r="Q199" s="16">
        <v>0</v>
      </c>
      <c r="R199" s="22"/>
      <c r="S199" s="22">
        <f t="shared" si="6"/>
        <v>0</v>
      </c>
      <c r="T199" s="5">
        <v>273</v>
      </c>
      <c r="U199" s="5">
        <v>687</v>
      </c>
      <c r="Y199" s="8"/>
      <c r="Z199" s="8"/>
      <c r="AA199" s="8"/>
      <c r="AB199" s="8"/>
      <c r="AC199" s="8"/>
      <c r="AD199" s="8"/>
      <c r="AE199" s="25"/>
      <c r="AF199" s="11"/>
      <c r="AG199" s="25"/>
      <c r="AH199" s="11"/>
      <c r="AI199" s="11">
        <v>57</v>
      </c>
      <c r="AJ199" s="19">
        <v>0</v>
      </c>
      <c r="AK199" s="12">
        <f>(AJ199+AI199)/30*7</f>
        <v>13.299999999999999</v>
      </c>
      <c r="AL199" s="6">
        <f>IF(AK199-C199&lt;0,0,AK199-C199)</f>
        <v>0</v>
      </c>
      <c r="AM199" s="6">
        <f>IF(AL199-R199-S199&lt;0,0,AL199-R199-S199)</f>
        <v>0</v>
      </c>
      <c r="AN199" s="5" t="str">
        <f t="shared" si="7"/>
        <v/>
      </c>
      <c r="AO199" s="5">
        <v>0</v>
      </c>
      <c r="AP199" s="9"/>
      <c r="AQ199" s="5" t="s">
        <v>1210</v>
      </c>
      <c r="AR199" s="5" t="s">
        <v>1230</v>
      </c>
      <c r="AS199" s="8"/>
      <c r="AT199" s="8"/>
      <c r="AU199" s="8"/>
      <c r="AV199" s="8"/>
      <c r="AW199" s="8"/>
      <c r="AX199" s="8"/>
      <c r="AY199" s="8"/>
      <c r="AZ199" s="8"/>
    </row>
    <row r="200" spans="1:52">
      <c r="A200" s="5" t="s">
        <v>861</v>
      </c>
      <c r="B200" s="5">
        <v>637</v>
      </c>
      <c r="C200" s="19">
        <v>38</v>
      </c>
      <c r="E200" s="14"/>
      <c r="F200" s="11"/>
      <c r="G200" s="11"/>
      <c r="H200" s="11"/>
      <c r="I200" s="11"/>
      <c r="J200" s="25"/>
      <c r="K200" s="11"/>
      <c r="L200" s="11"/>
      <c r="M200" s="19">
        <v>0</v>
      </c>
      <c r="O200" s="6"/>
      <c r="P200" s="16">
        <v>0</v>
      </c>
      <c r="Q200" s="16">
        <v>0</v>
      </c>
      <c r="R200" s="22"/>
      <c r="S200" s="22">
        <f t="shared" si="6"/>
        <v>0</v>
      </c>
      <c r="T200" s="5">
        <v>893</v>
      </c>
      <c r="U200" s="5">
        <v>202</v>
      </c>
      <c r="Y200" s="8"/>
      <c r="Z200" s="8"/>
      <c r="AA200" s="8"/>
      <c r="AB200" s="8"/>
      <c r="AC200" s="8"/>
      <c r="AD200" s="8"/>
      <c r="AE200" s="25"/>
      <c r="AF200" s="11"/>
      <c r="AG200" s="25"/>
      <c r="AH200" s="11"/>
      <c r="AI200" s="11">
        <v>57</v>
      </c>
      <c r="AJ200" s="19">
        <v>0</v>
      </c>
      <c r="AK200" s="12">
        <f>(AJ200+AI200)/30*7</f>
        <v>13.299999999999999</v>
      </c>
      <c r="AL200" s="6">
        <f>IF(AK200-C200&lt;0,0,AK200-C200)</f>
        <v>0</v>
      </c>
      <c r="AM200" s="6">
        <f>IF(AL200-R200-S200&lt;0,0,AL200-R200-S200)</f>
        <v>0</v>
      </c>
      <c r="AN200" s="5" t="str">
        <f t="shared" si="7"/>
        <v/>
      </c>
      <c r="AO200" s="5">
        <v>0</v>
      </c>
      <c r="AP200" s="9"/>
      <c r="AQ200" s="5" t="s">
        <v>1210</v>
      </c>
      <c r="AR200" s="5" t="s">
        <v>1210</v>
      </c>
      <c r="AS200" s="8"/>
      <c r="AT200" s="8"/>
      <c r="AU200" s="8"/>
      <c r="AV200" s="8"/>
      <c r="AW200" s="8"/>
      <c r="AX200" s="8"/>
      <c r="AY200" s="8"/>
      <c r="AZ200" s="8"/>
    </row>
    <row r="201" spans="1:52">
      <c r="A201" s="5" t="s">
        <v>633</v>
      </c>
      <c r="B201" s="5">
        <v>674</v>
      </c>
      <c r="C201" s="19">
        <v>32</v>
      </c>
      <c r="E201" s="14"/>
      <c r="F201" s="11"/>
      <c r="G201" s="11"/>
      <c r="H201" s="11"/>
      <c r="I201" s="11"/>
      <c r="J201" s="25"/>
      <c r="K201" s="11"/>
      <c r="L201" s="11"/>
      <c r="M201" s="19">
        <v>0</v>
      </c>
      <c r="O201" s="6"/>
      <c r="P201" s="16">
        <v>0</v>
      </c>
      <c r="Q201" s="16">
        <v>0</v>
      </c>
      <c r="R201" s="22"/>
      <c r="S201" s="22">
        <f t="shared" si="6"/>
        <v>0</v>
      </c>
      <c r="T201" s="5" t="s">
        <v>1147</v>
      </c>
      <c r="U201" s="5">
        <v>449</v>
      </c>
      <c r="Y201" s="8"/>
      <c r="Z201" s="8"/>
      <c r="AA201" s="8"/>
      <c r="AB201" s="8"/>
      <c r="AC201" s="8"/>
      <c r="AD201" s="8"/>
      <c r="AE201" s="25"/>
      <c r="AF201" s="11"/>
      <c r="AG201" s="25"/>
      <c r="AH201" s="11"/>
      <c r="AI201" s="11">
        <v>57</v>
      </c>
      <c r="AJ201" s="19">
        <v>0</v>
      </c>
      <c r="AK201" s="12">
        <f>(AJ201+AI201)/30*7</f>
        <v>13.299999999999999</v>
      </c>
      <c r="AL201" s="6">
        <f>IF(AK201-C201&lt;0,0,AK201-C201)</f>
        <v>0</v>
      </c>
      <c r="AM201" s="6">
        <f>IF(AL201-R201-S201&lt;0,0,AL201-R201-S201)</f>
        <v>0</v>
      </c>
      <c r="AN201" s="5" t="str">
        <f t="shared" si="7"/>
        <v/>
      </c>
      <c r="AO201" s="5">
        <v>0</v>
      </c>
      <c r="AP201" s="9"/>
      <c r="AQ201" s="5" t="s">
        <v>1210</v>
      </c>
      <c r="AR201" s="5" t="s">
        <v>1210</v>
      </c>
      <c r="AS201" s="8"/>
      <c r="AT201" s="8"/>
      <c r="AU201" s="8"/>
      <c r="AV201" s="8"/>
      <c r="AW201" s="8"/>
      <c r="AX201" s="8"/>
      <c r="AY201" s="8"/>
      <c r="AZ201" s="8"/>
    </row>
    <row r="202" spans="1:52">
      <c r="A202" s="5" t="s">
        <v>971</v>
      </c>
      <c r="B202" s="5">
        <v>280</v>
      </c>
      <c r="C202" s="19">
        <v>29</v>
      </c>
      <c r="E202" s="14"/>
      <c r="F202" s="11"/>
      <c r="G202" s="11"/>
      <c r="H202" s="11"/>
      <c r="I202" s="11"/>
      <c r="J202" s="25"/>
      <c r="K202" s="11"/>
      <c r="L202" s="11"/>
      <c r="M202" s="19">
        <v>0</v>
      </c>
      <c r="O202" s="6"/>
      <c r="P202" s="16">
        <v>0</v>
      </c>
      <c r="Q202" s="16">
        <v>0</v>
      </c>
      <c r="R202" s="22"/>
      <c r="S202" s="22">
        <f t="shared" si="6"/>
        <v>0</v>
      </c>
      <c r="T202" s="5">
        <v>569</v>
      </c>
      <c r="U202" s="5">
        <v>0</v>
      </c>
      <c r="Y202" s="8"/>
      <c r="Z202" s="8"/>
      <c r="AA202" s="8"/>
      <c r="AB202" s="8"/>
      <c r="AC202" s="8"/>
      <c r="AD202" s="8"/>
      <c r="AE202" s="25"/>
      <c r="AF202" s="11"/>
      <c r="AG202" s="25"/>
      <c r="AH202" s="11"/>
      <c r="AI202" s="11">
        <v>56</v>
      </c>
      <c r="AJ202" s="19">
        <v>0</v>
      </c>
      <c r="AK202" s="12">
        <f>(AJ202+AI202)/30*7</f>
        <v>13.066666666666666</v>
      </c>
      <c r="AL202" s="6">
        <f>IF(AK202-C202&lt;0,0,AK202-C202)</f>
        <v>0</v>
      </c>
      <c r="AM202" s="6">
        <f>IF(AL202-R202-S202&lt;0,0,AL202-R202-S202)</f>
        <v>0</v>
      </c>
      <c r="AN202" s="5" t="str">
        <f t="shared" si="7"/>
        <v/>
      </c>
      <c r="AO202" s="5">
        <v>0</v>
      </c>
      <c r="AP202" s="9"/>
      <c r="AQ202" s="5" t="s">
        <v>1210</v>
      </c>
      <c r="AR202" s="5" t="s">
        <v>1210</v>
      </c>
      <c r="AS202" s="8"/>
      <c r="AT202" s="8"/>
      <c r="AU202" s="8"/>
      <c r="AV202" s="8"/>
      <c r="AW202" s="8"/>
      <c r="AX202" s="8"/>
      <c r="AY202" s="8"/>
      <c r="AZ202" s="8"/>
    </row>
    <row r="203" spans="1:52">
      <c r="A203" s="5" t="s">
        <v>916</v>
      </c>
      <c r="B203" s="5">
        <v>943</v>
      </c>
      <c r="C203" s="19">
        <v>34</v>
      </c>
      <c r="E203" s="14"/>
      <c r="F203" s="11"/>
      <c r="G203" s="11"/>
      <c r="H203" s="11"/>
      <c r="I203" s="11"/>
      <c r="J203" s="25"/>
      <c r="K203" s="11"/>
      <c r="L203" s="11"/>
      <c r="M203" s="19">
        <v>0</v>
      </c>
      <c r="O203" s="6"/>
      <c r="P203" s="16">
        <v>0</v>
      </c>
      <c r="Q203" s="16">
        <v>0</v>
      </c>
      <c r="R203" s="22"/>
      <c r="S203" s="22">
        <f t="shared" si="6"/>
        <v>0</v>
      </c>
      <c r="T203" s="5">
        <v>914</v>
      </c>
      <c r="U203" s="5">
        <v>429</v>
      </c>
      <c r="Y203" s="8"/>
      <c r="Z203" s="8"/>
      <c r="AA203" s="8"/>
      <c r="AB203" s="8"/>
      <c r="AC203" s="8"/>
      <c r="AD203" s="8"/>
      <c r="AE203" s="25"/>
      <c r="AF203" s="11"/>
      <c r="AG203" s="25"/>
      <c r="AH203" s="11"/>
      <c r="AI203" s="11">
        <v>56</v>
      </c>
      <c r="AJ203" s="19">
        <v>0</v>
      </c>
      <c r="AK203" s="12">
        <f>(AJ203+AI203)/30*7</f>
        <v>13.066666666666666</v>
      </c>
      <c r="AL203" s="6">
        <f>IF(AK203-C203&lt;0,0,AK203-C203)</f>
        <v>0</v>
      </c>
      <c r="AM203" s="6">
        <f>IF(AL203-R203-S203&lt;0,0,AL203-R203-S203)</f>
        <v>0</v>
      </c>
      <c r="AN203" s="5" t="str">
        <f t="shared" si="7"/>
        <v/>
      </c>
      <c r="AO203" s="5">
        <v>0</v>
      </c>
      <c r="AP203" s="9"/>
      <c r="AQ203" s="5" t="s">
        <v>1210</v>
      </c>
      <c r="AR203" s="5" t="s">
        <v>1210</v>
      </c>
      <c r="AS203" s="8"/>
      <c r="AT203" s="8"/>
      <c r="AU203" s="8"/>
      <c r="AV203" s="8"/>
      <c r="AW203" s="8"/>
      <c r="AX203" s="8"/>
      <c r="AY203" s="8"/>
      <c r="AZ203" s="8"/>
    </row>
    <row r="204" spans="1:52">
      <c r="A204" s="5" t="s">
        <v>692</v>
      </c>
      <c r="B204" s="5">
        <v>1594</v>
      </c>
      <c r="C204" s="19">
        <v>19</v>
      </c>
      <c r="E204" s="14"/>
      <c r="F204" s="11"/>
      <c r="G204" s="11"/>
      <c r="H204" s="11"/>
      <c r="I204" s="11"/>
      <c r="J204" s="25"/>
      <c r="K204" s="11"/>
      <c r="L204" s="11"/>
      <c r="M204" s="19">
        <v>0</v>
      </c>
      <c r="O204" s="6"/>
      <c r="P204" s="16">
        <v>0</v>
      </c>
      <c r="Q204" s="16">
        <v>0</v>
      </c>
      <c r="R204" s="22"/>
      <c r="S204" s="22">
        <f t="shared" si="6"/>
        <v>0</v>
      </c>
      <c r="T204" s="5">
        <v>1848</v>
      </c>
      <c r="U204" s="5">
        <v>542</v>
      </c>
      <c r="Y204" s="8"/>
      <c r="Z204" s="8"/>
      <c r="AA204" s="8"/>
      <c r="AB204" s="8"/>
      <c r="AC204" s="8"/>
      <c r="AD204" s="8"/>
      <c r="AE204" s="25"/>
      <c r="AF204" s="11"/>
      <c r="AG204" s="25"/>
      <c r="AH204" s="11"/>
      <c r="AI204" s="11">
        <v>56</v>
      </c>
      <c r="AJ204" s="19">
        <v>0</v>
      </c>
      <c r="AK204" s="12">
        <f>(AJ204+AI204)/30*7</f>
        <v>13.066666666666666</v>
      </c>
      <c r="AL204" s="6">
        <f>IF(AK204-C204&lt;0,0,AK204-C204)</f>
        <v>0</v>
      </c>
      <c r="AM204" s="6">
        <f>IF(AL204-R204-S204&lt;0,0,AL204-R204-S204)</f>
        <v>0</v>
      </c>
      <c r="AN204" s="5" t="str">
        <f t="shared" si="7"/>
        <v/>
      </c>
      <c r="AO204" s="5">
        <v>0</v>
      </c>
      <c r="AP204" s="9"/>
      <c r="AQ204" s="5" t="s">
        <v>1210</v>
      </c>
      <c r="AR204" s="5" t="s">
        <v>1210</v>
      </c>
      <c r="AS204" s="8"/>
      <c r="AT204" s="8"/>
      <c r="AU204" s="8"/>
      <c r="AV204" s="8"/>
      <c r="AW204" s="8"/>
      <c r="AX204" s="8"/>
      <c r="AY204" s="8"/>
      <c r="AZ204" s="8"/>
    </row>
    <row r="205" spans="1:52">
      <c r="A205" s="5" t="s">
        <v>563</v>
      </c>
      <c r="B205" s="5">
        <v>1595</v>
      </c>
      <c r="C205" s="19">
        <v>22</v>
      </c>
      <c r="E205" s="14"/>
      <c r="F205" s="11"/>
      <c r="G205" s="11"/>
      <c r="H205" s="11"/>
      <c r="I205" s="11"/>
      <c r="J205" s="25"/>
      <c r="K205" s="11"/>
      <c r="L205" s="11"/>
      <c r="M205" s="19">
        <v>0</v>
      </c>
      <c r="O205" s="6"/>
      <c r="P205" s="16">
        <v>0</v>
      </c>
      <c r="Q205" s="16">
        <v>0</v>
      </c>
      <c r="R205" s="22"/>
      <c r="S205" s="22">
        <f t="shared" si="6"/>
        <v>0</v>
      </c>
      <c r="T205" s="5">
        <v>1971</v>
      </c>
      <c r="U205" s="5">
        <v>593</v>
      </c>
      <c r="Y205" s="8"/>
      <c r="Z205" s="8"/>
      <c r="AA205" s="8"/>
      <c r="AB205" s="8"/>
      <c r="AC205" s="8"/>
      <c r="AD205" s="8"/>
      <c r="AE205" s="25"/>
      <c r="AF205" s="11"/>
      <c r="AG205" s="25"/>
      <c r="AH205" s="11"/>
      <c r="AI205" s="11">
        <v>56</v>
      </c>
      <c r="AJ205" s="19">
        <v>0</v>
      </c>
      <c r="AK205" s="12">
        <f>(AJ205+AI205)/30*7</f>
        <v>13.066666666666666</v>
      </c>
      <c r="AL205" s="6">
        <f>IF(AK205-C205&lt;0,0,AK205-C205)</f>
        <v>0</v>
      </c>
      <c r="AM205" s="6">
        <f>IF(AL205-R205-S205&lt;0,0,AL205-R205-S205)</f>
        <v>0</v>
      </c>
      <c r="AN205" s="5" t="str">
        <f t="shared" si="7"/>
        <v/>
      </c>
      <c r="AO205" s="5">
        <v>0</v>
      </c>
      <c r="AP205" s="9"/>
      <c r="AQ205" s="5" t="s">
        <v>1210</v>
      </c>
      <c r="AR205" s="5" t="s">
        <v>1210</v>
      </c>
      <c r="AS205" s="8"/>
      <c r="AT205" s="8"/>
      <c r="AU205" s="8"/>
      <c r="AV205" s="8"/>
      <c r="AW205" s="8"/>
      <c r="AX205" s="8"/>
      <c r="AY205" s="8"/>
      <c r="AZ205" s="8"/>
    </row>
    <row r="206" spans="1:52">
      <c r="A206" s="5" t="s">
        <v>1086</v>
      </c>
      <c r="B206" s="5">
        <v>1818</v>
      </c>
      <c r="C206" s="19">
        <v>31</v>
      </c>
      <c r="E206" s="14"/>
      <c r="F206" s="11"/>
      <c r="G206" s="11"/>
      <c r="H206" s="11"/>
      <c r="I206" s="11"/>
      <c r="J206" s="25"/>
      <c r="K206" s="11"/>
      <c r="L206" s="11"/>
      <c r="M206" s="19">
        <v>0</v>
      </c>
      <c r="O206" s="6"/>
      <c r="P206" s="16">
        <v>0</v>
      </c>
      <c r="Q206" s="16">
        <v>0</v>
      </c>
      <c r="R206" s="22"/>
      <c r="S206" s="22">
        <f t="shared" si="6"/>
        <v>0</v>
      </c>
      <c r="T206" s="5" t="s">
        <v>1210</v>
      </c>
      <c r="U206" s="5" t="s">
        <v>1210</v>
      </c>
      <c r="Y206" s="8"/>
      <c r="Z206" s="8"/>
      <c r="AA206" s="8"/>
      <c r="AB206" s="8"/>
      <c r="AC206" s="8"/>
      <c r="AD206" s="8"/>
      <c r="AE206" s="25"/>
      <c r="AF206" s="11"/>
      <c r="AG206" s="25"/>
      <c r="AH206" s="11"/>
      <c r="AI206" s="11">
        <v>56</v>
      </c>
      <c r="AJ206" s="19">
        <v>0</v>
      </c>
      <c r="AK206" s="12">
        <f>(AJ206+AI206)/30*7</f>
        <v>13.066666666666666</v>
      </c>
      <c r="AL206" s="6">
        <f>IF(AK206-C206&lt;0,0,AK206-C206)</f>
        <v>0</v>
      </c>
      <c r="AM206" s="6">
        <f>IF(AL206-R206-S206&lt;0,0,AL206-R206-S206)</f>
        <v>0</v>
      </c>
      <c r="AN206" s="5" t="str">
        <f t="shared" si="7"/>
        <v/>
      </c>
      <c r="AO206" s="5">
        <v>0</v>
      </c>
      <c r="AP206" s="9"/>
      <c r="AQ206" s="5" t="s">
        <v>1210</v>
      </c>
      <c r="AR206" s="5" t="s">
        <v>1210</v>
      </c>
      <c r="AS206" s="8"/>
      <c r="AT206" s="8"/>
      <c r="AU206" s="8"/>
      <c r="AV206" s="8"/>
      <c r="AW206" s="8"/>
      <c r="AX206" s="8"/>
      <c r="AY206" s="8"/>
      <c r="AZ206" s="8"/>
    </row>
    <row r="207" spans="1:52">
      <c r="A207" s="5" t="s">
        <v>685</v>
      </c>
      <c r="B207" s="5" t="s">
        <v>1165</v>
      </c>
      <c r="C207" s="19">
        <v>34</v>
      </c>
      <c r="E207" s="14"/>
      <c r="F207" s="11"/>
      <c r="G207" s="11"/>
      <c r="H207" s="11"/>
      <c r="I207" s="11"/>
      <c r="J207" s="25"/>
      <c r="K207" s="11"/>
      <c r="L207" s="11"/>
      <c r="M207" s="19">
        <v>0</v>
      </c>
      <c r="O207" s="6"/>
      <c r="P207" s="16">
        <v>0</v>
      </c>
      <c r="Q207" s="16">
        <v>0</v>
      </c>
      <c r="R207" s="22"/>
      <c r="S207" s="22">
        <f t="shared" si="6"/>
        <v>0</v>
      </c>
      <c r="T207" s="5" t="s">
        <v>1210</v>
      </c>
      <c r="U207" s="5" t="s">
        <v>1210</v>
      </c>
      <c r="Y207" s="8"/>
      <c r="Z207" s="8"/>
      <c r="AA207" s="8"/>
      <c r="AB207" s="8"/>
      <c r="AC207" s="8"/>
      <c r="AD207" s="8"/>
      <c r="AE207" s="25"/>
      <c r="AF207" s="11"/>
      <c r="AG207" s="25"/>
      <c r="AH207" s="11"/>
      <c r="AI207" s="11">
        <v>56</v>
      </c>
      <c r="AJ207" s="19">
        <v>0</v>
      </c>
      <c r="AK207" s="12">
        <f>(AJ207+AI207)/30*7</f>
        <v>13.066666666666666</v>
      </c>
      <c r="AL207" s="6">
        <f>IF(AK207-C207&lt;0,0,AK207-C207)</f>
        <v>0</v>
      </c>
      <c r="AM207" s="6">
        <f>IF(AL207-R207-S207&lt;0,0,AL207-R207-S207)</f>
        <v>0</v>
      </c>
      <c r="AN207" s="5" t="str">
        <f t="shared" si="7"/>
        <v/>
      </c>
      <c r="AO207" s="5">
        <v>0</v>
      </c>
      <c r="AP207" s="9"/>
      <c r="AQ207" s="5" t="s">
        <v>1210</v>
      </c>
      <c r="AR207" s="5" t="s">
        <v>1210</v>
      </c>
      <c r="AS207" s="8"/>
      <c r="AT207" s="8"/>
      <c r="AU207" s="8"/>
      <c r="AV207" s="8"/>
      <c r="AW207" s="8"/>
      <c r="AX207" s="8"/>
      <c r="AY207" s="8"/>
      <c r="AZ207" s="8"/>
    </row>
    <row r="208" spans="1:52">
      <c r="A208" s="5" t="s">
        <v>910</v>
      </c>
      <c r="B208" s="5">
        <v>462</v>
      </c>
      <c r="C208" s="19">
        <v>20</v>
      </c>
      <c r="E208" s="14"/>
      <c r="F208" s="11"/>
      <c r="G208" s="11"/>
      <c r="H208" s="11"/>
      <c r="I208" s="11"/>
      <c r="J208" s="25"/>
      <c r="K208" s="11"/>
      <c r="L208" s="11"/>
      <c r="M208" s="19">
        <v>0</v>
      </c>
      <c r="O208" s="6"/>
      <c r="P208" s="16">
        <v>0</v>
      </c>
      <c r="Q208" s="16">
        <v>0</v>
      </c>
      <c r="R208" s="22"/>
      <c r="S208" s="22">
        <f t="shared" si="6"/>
        <v>0</v>
      </c>
      <c r="T208" s="5">
        <v>700</v>
      </c>
      <c r="U208" s="5">
        <v>687</v>
      </c>
      <c r="Y208" s="8"/>
      <c r="Z208" s="8"/>
      <c r="AA208" s="8"/>
      <c r="AB208" s="8"/>
      <c r="AC208" s="8"/>
      <c r="AD208" s="8"/>
      <c r="AE208" s="25"/>
      <c r="AF208" s="11"/>
      <c r="AG208" s="25"/>
      <c r="AH208" s="11"/>
      <c r="AI208" s="11">
        <v>55</v>
      </c>
      <c r="AJ208" s="19">
        <v>0</v>
      </c>
      <c r="AK208" s="12">
        <f>(AJ208+AI208)/30*7</f>
        <v>12.833333333333332</v>
      </c>
      <c r="AL208" s="6">
        <f>IF(AK208-C208&lt;0,0,AK208-C208)</f>
        <v>0</v>
      </c>
      <c r="AM208" s="6">
        <f>IF(AL208-R208-S208&lt;0,0,AL208-R208-S208)</f>
        <v>0</v>
      </c>
      <c r="AN208" s="5" t="str">
        <f t="shared" si="7"/>
        <v/>
      </c>
      <c r="AO208" s="5">
        <v>0</v>
      </c>
      <c r="AP208" s="9"/>
      <c r="AQ208" s="5" t="s">
        <v>1210</v>
      </c>
      <c r="AR208" s="5" t="s">
        <v>1210</v>
      </c>
      <c r="AS208" s="8"/>
      <c r="AT208" s="8"/>
      <c r="AU208" s="8"/>
      <c r="AV208" s="8"/>
      <c r="AW208" s="8"/>
      <c r="AX208" s="8"/>
      <c r="AY208" s="8"/>
      <c r="AZ208" s="8"/>
    </row>
    <row r="209" spans="1:52">
      <c r="A209" s="5" t="s">
        <v>599</v>
      </c>
      <c r="B209" s="5">
        <v>1102</v>
      </c>
      <c r="C209" s="19">
        <v>20</v>
      </c>
      <c r="E209" s="14"/>
      <c r="F209" s="11"/>
      <c r="G209" s="11"/>
      <c r="H209" s="11"/>
      <c r="I209" s="11"/>
      <c r="J209" s="25"/>
      <c r="K209" s="11"/>
      <c r="L209" s="11"/>
      <c r="M209" s="19">
        <v>0</v>
      </c>
      <c r="O209" s="6"/>
      <c r="P209" s="16">
        <v>0</v>
      </c>
      <c r="Q209" s="16">
        <v>0</v>
      </c>
      <c r="R209" s="22"/>
      <c r="S209" s="22">
        <f t="shared" si="6"/>
        <v>0</v>
      </c>
      <c r="T209" s="5">
        <v>1584</v>
      </c>
      <c r="U209" s="5">
        <v>957</v>
      </c>
      <c r="Y209" s="8"/>
      <c r="Z209" s="8"/>
      <c r="AA209" s="8"/>
      <c r="AB209" s="8"/>
      <c r="AC209" s="8"/>
      <c r="AD209" s="8"/>
      <c r="AE209" s="25"/>
      <c r="AF209" s="11"/>
      <c r="AG209" s="25"/>
      <c r="AH209" s="11"/>
      <c r="AI209" s="11">
        <v>55</v>
      </c>
      <c r="AJ209" s="19">
        <v>0</v>
      </c>
      <c r="AK209" s="12">
        <f>(AJ209+AI209)/30*7</f>
        <v>12.833333333333332</v>
      </c>
      <c r="AL209" s="6">
        <f>IF(AK209-C209&lt;0,0,AK209-C209)</f>
        <v>0</v>
      </c>
      <c r="AM209" s="6">
        <f>IF(AL209-R209-S209&lt;0,0,AL209-R209-S209)</f>
        <v>0</v>
      </c>
      <c r="AN209" s="5" t="str">
        <f t="shared" si="7"/>
        <v/>
      </c>
      <c r="AO209" s="5">
        <v>0</v>
      </c>
      <c r="AP209" s="9"/>
      <c r="AQ209" s="5" t="s">
        <v>1210</v>
      </c>
      <c r="AR209" s="5" t="s">
        <v>1210</v>
      </c>
      <c r="AS209" s="8"/>
      <c r="AT209" s="8"/>
      <c r="AU209" s="8"/>
      <c r="AV209" s="8"/>
      <c r="AW209" s="8"/>
      <c r="AX209" s="8"/>
      <c r="AY209" s="8"/>
      <c r="AZ209" s="8"/>
    </row>
    <row r="210" spans="1:52">
      <c r="A210" s="5" t="s">
        <v>752</v>
      </c>
      <c r="B210" s="5">
        <v>1439</v>
      </c>
      <c r="C210" s="19">
        <v>16</v>
      </c>
      <c r="E210" s="14"/>
      <c r="F210" s="11"/>
      <c r="G210" s="11"/>
      <c r="H210" s="11"/>
      <c r="I210" s="11"/>
      <c r="J210" s="25"/>
      <c r="K210" s="11"/>
      <c r="L210" s="11"/>
      <c r="M210" s="19">
        <v>0</v>
      </c>
      <c r="O210" s="6"/>
      <c r="P210" s="16">
        <v>0</v>
      </c>
      <c r="Q210" s="16">
        <v>0</v>
      </c>
      <c r="R210" s="22"/>
      <c r="S210" s="22">
        <f t="shared" si="6"/>
        <v>0</v>
      </c>
      <c r="T210" s="5">
        <v>1916</v>
      </c>
      <c r="U210" s="5">
        <v>863</v>
      </c>
      <c r="Y210" s="8"/>
      <c r="Z210" s="8"/>
      <c r="AA210" s="8"/>
      <c r="AB210" s="8"/>
      <c r="AC210" s="8"/>
      <c r="AD210" s="8"/>
      <c r="AE210" s="25"/>
      <c r="AF210" s="11"/>
      <c r="AG210" s="25"/>
      <c r="AH210" s="11"/>
      <c r="AI210" s="11">
        <v>55</v>
      </c>
      <c r="AJ210" s="19">
        <v>0</v>
      </c>
      <c r="AK210" s="12">
        <f>(AJ210+AI210)/30*7</f>
        <v>12.833333333333332</v>
      </c>
      <c r="AL210" s="6">
        <f>IF(AK210-C210&lt;0,0,AK210-C210)</f>
        <v>0</v>
      </c>
      <c r="AM210" s="6">
        <f>IF(AL210-R210-S210&lt;0,0,AL210-R210-S210)</f>
        <v>0</v>
      </c>
      <c r="AN210" s="5" t="str">
        <f t="shared" si="7"/>
        <v/>
      </c>
      <c r="AO210" s="5">
        <v>0</v>
      </c>
      <c r="AP210" s="9"/>
      <c r="AQ210" s="5" t="s">
        <v>1210</v>
      </c>
      <c r="AR210" s="5" t="s">
        <v>1210</v>
      </c>
      <c r="AS210" s="8"/>
      <c r="AT210" s="8"/>
      <c r="AU210" s="8"/>
      <c r="AV210" s="8"/>
      <c r="AW210" s="8"/>
      <c r="AX210" s="8"/>
      <c r="AY210" s="8"/>
      <c r="AZ210" s="8"/>
    </row>
    <row r="211" spans="1:52">
      <c r="A211" s="5" t="s">
        <v>603</v>
      </c>
      <c r="B211" s="5">
        <v>423</v>
      </c>
      <c r="C211" s="19">
        <v>24</v>
      </c>
      <c r="E211" s="14"/>
      <c r="F211" s="11"/>
      <c r="G211" s="11"/>
      <c r="H211" s="11"/>
      <c r="I211" s="11"/>
      <c r="J211" s="25"/>
      <c r="K211" s="11"/>
      <c r="L211" s="11"/>
      <c r="M211" s="19">
        <v>0</v>
      </c>
      <c r="O211" s="6"/>
      <c r="P211" s="16">
        <v>0</v>
      </c>
      <c r="Q211" s="16">
        <v>0</v>
      </c>
      <c r="R211" s="22"/>
      <c r="S211" s="22">
        <f t="shared" si="6"/>
        <v>0</v>
      </c>
      <c r="T211" s="5" t="s">
        <v>1210</v>
      </c>
      <c r="U211" s="5" t="s">
        <v>1210</v>
      </c>
      <c r="Y211" s="8"/>
      <c r="Z211" s="8"/>
      <c r="AA211" s="8"/>
      <c r="AB211" s="8"/>
      <c r="AC211" s="8"/>
      <c r="AD211" s="8"/>
      <c r="AE211" s="25"/>
      <c r="AF211" s="11"/>
      <c r="AG211" s="25"/>
      <c r="AH211" s="11"/>
      <c r="AI211" s="11">
        <v>53</v>
      </c>
      <c r="AJ211" s="19">
        <v>0</v>
      </c>
      <c r="AK211" s="12">
        <f>(AJ211+AI211)/30*7</f>
        <v>12.366666666666667</v>
      </c>
      <c r="AL211" s="6">
        <f>IF(AK211-C211&lt;0,0,AK211-C211)</f>
        <v>0</v>
      </c>
      <c r="AM211" s="6">
        <f>IF(AL211-R211-S211&lt;0,0,AL211-R211-S211)</f>
        <v>0</v>
      </c>
      <c r="AN211" s="5" t="str">
        <f t="shared" si="7"/>
        <v/>
      </c>
      <c r="AO211" s="5">
        <v>0</v>
      </c>
      <c r="AP211" s="9"/>
      <c r="AQ211" s="5" t="s">
        <v>1210</v>
      </c>
      <c r="AR211" s="5" t="s">
        <v>1230</v>
      </c>
      <c r="AS211" s="8"/>
      <c r="AT211" s="8"/>
      <c r="AU211" s="8"/>
      <c r="AV211" s="8"/>
      <c r="AW211" s="8"/>
      <c r="AX211" s="8"/>
      <c r="AY211" s="8"/>
      <c r="AZ211" s="8"/>
    </row>
    <row r="212" spans="1:52">
      <c r="A212" s="5" t="s">
        <v>935</v>
      </c>
      <c r="B212" s="5">
        <v>691</v>
      </c>
      <c r="C212" s="19">
        <v>40</v>
      </c>
      <c r="E212" s="14"/>
      <c r="F212" s="11"/>
      <c r="G212" s="11"/>
      <c r="H212" s="11"/>
      <c r="I212" s="11"/>
      <c r="J212" s="25"/>
      <c r="K212" s="11"/>
      <c r="L212" s="11"/>
      <c r="M212" s="19">
        <v>0</v>
      </c>
      <c r="O212" s="6"/>
      <c r="P212" s="16">
        <v>0</v>
      </c>
      <c r="Q212" s="16">
        <v>0</v>
      </c>
      <c r="R212" s="22"/>
      <c r="S212" s="22">
        <f t="shared" si="6"/>
        <v>0</v>
      </c>
      <c r="T212" s="5">
        <v>855</v>
      </c>
      <c r="U212" s="5">
        <v>417</v>
      </c>
      <c r="Y212" s="8"/>
      <c r="Z212" s="8"/>
      <c r="AA212" s="8"/>
      <c r="AB212" s="8"/>
      <c r="AC212" s="8"/>
      <c r="AD212" s="8"/>
      <c r="AE212" s="25"/>
      <c r="AF212" s="11"/>
      <c r="AG212" s="25"/>
      <c r="AH212" s="11"/>
      <c r="AI212" s="11">
        <v>53</v>
      </c>
      <c r="AJ212" s="19">
        <v>0</v>
      </c>
      <c r="AK212" s="12">
        <f>(AJ212+AI212)/30*7</f>
        <v>12.366666666666667</v>
      </c>
      <c r="AL212" s="6">
        <f>IF(AK212-C212&lt;0,0,AK212-C212)</f>
        <v>0</v>
      </c>
      <c r="AM212" s="6">
        <f>IF(AL212-R212-S212&lt;0,0,AL212-R212-S212)</f>
        <v>0</v>
      </c>
      <c r="AN212" s="5" t="str">
        <f t="shared" si="7"/>
        <v/>
      </c>
      <c r="AO212" s="5">
        <v>0</v>
      </c>
      <c r="AP212" s="9"/>
      <c r="AQ212" s="5" t="s">
        <v>1210</v>
      </c>
      <c r="AR212" s="5" t="s">
        <v>1210</v>
      </c>
      <c r="AS212" s="8"/>
      <c r="AT212" s="8"/>
      <c r="AU212" s="8"/>
      <c r="AV212" s="8"/>
      <c r="AW212" s="8"/>
      <c r="AX212" s="8"/>
      <c r="AY212" s="8"/>
      <c r="AZ212" s="8"/>
    </row>
    <row r="213" spans="1:52">
      <c r="A213" s="5" t="s">
        <v>701</v>
      </c>
      <c r="B213" s="5">
        <v>797</v>
      </c>
      <c r="C213" s="19">
        <v>19</v>
      </c>
      <c r="E213" s="14"/>
      <c r="F213" s="11"/>
      <c r="G213" s="11"/>
      <c r="H213" s="11"/>
      <c r="I213" s="11"/>
      <c r="J213" s="25"/>
      <c r="K213" s="11"/>
      <c r="L213" s="11"/>
      <c r="M213" s="19">
        <v>0</v>
      </c>
      <c r="O213" s="6"/>
      <c r="P213" s="16">
        <v>0</v>
      </c>
      <c r="Q213" s="16">
        <v>0</v>
      </c>
      <c r="R213" s="22"/>
      <c r="S213" s="22">
        <f t="shared" si="6"/>
        <v>0</v>
      </c>
      <c r="T213" s="5">
        <v>1035</v>
      </c>
      <c r="U213" s="5">
        <v>621</v>
      </c>
      <c r="Y213" s="8"/>
      <c r="Z213" s="8"/>
      <c r="AA213" s="8"/>
      <c r="AB213" s="8"/>
      <c r="AC213" s="8"/>
      <c r="AD213" s="8"/>
      <c r="AE213" s="25"/>
      <c r="AF213" s="11"/>
      <c r="AG213" s="25"/>
      <c r="AH213" s="11"/>
      <c r="AI213" s="11">
        <v>53</v>
      </c>
      <c r="AJ213" s="19">
        <v>0</v>
      </c>
      <c r="AK213" s="12">
        <f>(AJ213+AI213)/30*7</f>
        <v>12.366666666666667</v>
      </c>
      <c r="AL213" s="6">
        <f>IF(AK213-C213&lt;0,0,AK213-C213)</f>
        <v>0</v>
      </c>
      <c r="AM213" s="6">
        <f>IF(AL213-R213-S213&lt;0,0,AL213-R213-S213)</f>
        <v>0</v>
      </c>
      <c r="AN213" s="5" t="str">
        <f t="shared" si="7"/>
        <v/>
      </c>
      <c r="AO213" s="5">
        <v>0</v>
      </c>
      <c r="AP213" s="9"/>
      <c r="AQ213" s="5" t="s">
        <v>1210</v>
      </c>
      <c r="AR213" s="5" t="s">
        <v>1210</v>
      </c>
      <c r="AS213" s="8"/>
      <c r="AT213" s="8"/>
      <c r="AU213" s="8"/>
      <c r="AV213" s="8"/>
      <c r="AW213" s="8"/>
      <c r="AX213" s="8"/>
      <c r="AY213" s="8"/>
      <c r="AZ213" s="8"/>
    </row>
    <row r="214" spans="1:52">
      <c r="A214" s="5" t="s">
        <v>1029</v>
      </c>
      <c r="B214" s="5">
        <v>1335</v>
      </c>
      <c r="C214" s="19">
        <v>37</v>
      </c>
      <c r="E214" s="14"/>
      <c r="F214" s="11"/>
      <c r="G214" s="11"/>
      <c r="H214" s="11"/>
      <c r="I214" s="11"/>
      <c r="J214" s="25"/>
      <c r="K214" s="11"/>
      <c r="L214" s="11"/>
      <c r="M214" s="19">
        <v>0</v>
      </c>
      <c r="O214" s="6"/>
      <c r="P214" s="16">
        <v>0</v>
      </c>
      <c r="Q214" s="16">
        <v>0</v>
      </c>
      <c r="R214" s="22"/>
      <c r="S214" s="22">
        <f t="shared" si="6"/>
        <v>0</v>
      </c>
      <c r="T214" s="5" t="s">
        <v>1210</v>
      </c>
      <c r="U214" s="5" t="s">
        <v>1210</v>
      </c>
      <c r="Y214" s="8"/>
      <c r="Z214" s="8"/>
      <c r="AA214" s="8"/>
      <c r="AB214" s="8"/>
      <c r="AC214" s="8"/>
      <c r="AD214" s="8"/>
      <c r="AE214" s="25"/>
      <c r="AF214" s="11"/>
      <c r="AG214" s="25"/>
      <c r="AH214" s="11"/>
      <c r="AI214" s="11">
        <v>53</v>
      </c>
      <c r="AJ214" s="19">
        <v>0</v>
      </c>
      <c r="AK214" s="12">
        <f>(AJ214+AI214)/30*7</f>
        <v>12.366666666666667</v>
      </c>
      <c r="AL214" s="6">
        <f>IF(AK214-C214&lt;0,0,AK214-C214)</f>
        <v>0</v>
      </c>
      <c r="AM214" s="6">
        <f>IF(AL214-R214-S214&lt;0,0,AL214-R214-S214)</f>
        <v>0</v>
      </c>
      <c r="AN214" s="5" t="str">
        <f t="shared" si="7"/>
        <v/>
      </c>
      <c r="AO214" s="5">
        <v>0</v>
      </c>
      <c r="AP214" s="9"/>
      <c r="AQ214" s="5" t="s">
        <v>1210</v>
      </c>
      <c r="AR214" s="5" t="s">
        <v>1210</v>
      </c>
      <c r="AS214" s="8"/>
      <c r="AT214" s="8"/>
      <c r="AU214" s="8"/>
      <c r="AV214" s="8"/>
      <c r="AW214" s="8"/>
      <c r="AX214" s="8"/>
      <c r="AY214" s="8"/>
      <c r="AZ214" s="8"/>
    </row>
    <row r="215" spans="1:52">
      <c r="A215" s="5" t="s">
        <v>1118</v>
      </c>
      <c r="B215" s="5" t="s">
        <v>1205</v>
      </c>
      <c r="C215" s="19">
        <v>19</v>
      </c>
      <c r="E215" s="14"/>
      <c r="F215" s="11"/>
      <c r="G215" s="11"/>
      <c r="H215" s="11"/>
      <c r="I215" s="11"/>
      <c r="J215" s="25"/>
      <c r="K215" s="11"/>
      <c r="L215" s="11"/>
      <c r="M215" s="19">
        <v>0</v>
      </c>
      <c r="O215" s="6"/>
      <c r="P215" s="16">
        <v>0</v>
      </c>
      <c r="Q215" s="16">
        <v>0</v>
      </c>
      <c r="R215" s="22"/>
      <c r="S215" s="22">
        <f t="shared" si="6"/>
        <v>0</v>
      </c>
      <c r="T215" s="5" t="s">
        <v>1210</v>
      </c>
      <c r="U215" s="5" t="s">
        <v>1210</v>
      </c>
      <c r="Y215" s="8"/>
      <c r="Z215" s="8"/>
      <c r="AA215" s="8"/>
      <c r="AB215" s="8"/>
      <c r="AC215" s="8"/>
      <c r="AD215" s="8"/>
      <c r="AE215" s="25"/>
      <c r="AF215" s="11"/>
      <c r="AG215" s="25"/>
      <c r="AH215" s="11"/>
      <c r="AI215" s="11">
        <v>53</v>
      </c>
      <c r="AJ215" s="19">
        <v>0</v>
      </c>
      <c r="AK215" s="12">
        <f>(AJ215+AI215)/30*7</f>
        <v>12.366666666666667</v>
      </c>
      <c r="AL215" s="6">
        <f>IF(AK215-C215&lt;0,0,AK215-C215)</f>
        <v>0</v>
      </c>
      <c r="AM215" s="6">
        <f>IF(AL215-R215-S215&lt;0,0,AL215-R215-S215)</f>
        <v>0</v>
      </c>
      <c r="AN215" s="5" t="str">
        <f t="shared" si="7"/>
        <v/>
      </c>
      <c r="AO215" s="5">
        <v>0</v>
      </c>
      <c r="AP215" s="9"/>
      <c r="AQ215" s="5" t="s">
        <v>1210</v>
      </c>
      <c r="AR215" s="5" t="s">
        <v>1210</v>
      </c>
      <c r="AS215" s="8"/>
      <c r="AT215" s="8"/>
      <c r="AU215" s="8"/>
      <c r="AV215" s="8"/>
      <c r="AW215" s="8"/>
      <c r="AX215" s="8"/>
      <c r="AY215" s="8"/>
      <c r="AZ215" s="8"/>
    </row>
    <row r="216" spans="1:52">
      <c r="A216" s="5" t="s">
        <v>832</v>
      </c>
      <c r="B216" s="5">
        <v>389</v>
      </c>
      <c r="C216" s="19">
        <v>19</v>
      </c>
      <c r="E216" s="14"/>
      <c r="F216" s="11"/>
      <c r="G216" s="11"/>
      <c r="H216" s="11"/>
      <c r="I216" s="11"/>
      <c r="J216" s="25"/>
      <c r="K216" s="11"/>
      <c r="L216" s="11"/>
      <c r="M216" s="19">
        <v>0</v>
      </c>
      <c r="O216" s="6"/>
      <c r="P216" s="16">
        <v>0</v>
      </c>
      <c r="Q216" s="16">
        <v>0</v>
      </c>
      <c r="R216" s="22"/>
      <c r="S216" s="22">
        <f t="shared" si="6"/>
        <v>0</v>
      </c>
      <c r="T216" s="5" t="s">
        <v>1210</v>
      </c>
      <c r="U216" s="5" t="s">
        <v>1210</v>
      </c>
      <c r="Y216" s="8"/>
      <c r="Z216" s="8"/>
      <c r="AA216" s="8"/>
      <c r="AB216" s="8"/>
      <c r="AC216" s="8"/>
      <c r="AD216" s="8"/>
      <c r="AE216" s="25"/>
      <c r="AF216" s="11"/>
      <c r="AG216" s="25"/>
      <c r="AH216" s="11"/>
      <c r="AI216" s="11">
        <v>52</v>
      </c>
      <c r="AJ216" s="19">
        <v>0</v>
      </c>
      <c r="AK216" s="12">
        <f>(AJ216+AI216)/30*7</f>
        <v>12.133333333333333</v>
      </c>
      <c r="AL216" s="6">
        <f>IF(AK216-C216&lt;0,0,AK216-C216)</f>
        <v>0</v>
      </c>
      <c r="AM216" s="6">
        <f>IF(AL216-R216-S216&lt;0,0,AL216-R216-S216)</f>
        <v>0</v>
      </c>
      <c r="AN216" s="5" t="str">
        <f t="shared" si="7"/>
        <v/>
      </c>
      <c r="AO216" s="5">
        <v>0</v>
      </c>
      <c r="AP216" s="9"/>
      <c r="AQ216" s="5" t="s">
        <v>1210</v>
      </c>
      <c r="AR216" s="5" t="s">
        <v>1210</v>
      </c>
      <c r="AS216" s="8"/>
      <c r="AT216" s="8"/>
      <c r="AU216" s="8"/>
      <c r="AV216" s="8"/>
      <c r="AW216" s="8"/>
      <c r="AX216" s="8"/>
      <c r="AY216" s="8"/>
      <c r="AZ216" s="8"/>
    </row>
    <row r="217" spans="1:52">
      <c r="A217" s="5" t="s">
        <v>814</v>
      </c>
      <c r="B217" s="5">
        <v>430</v>
      </c>
      <c r="C217" s="19">
        <v>32</v>
      </c>
      <c r="E217" s="14"/>
      <c r="F217" s="11"/>
      <c r="G217" s="11"/>
      <c r="H217" s="11"/>
      <c r="I217" s="11"/>
      <c r="J217" s="25"/>
      <c r="K217" s="11"/>
      <c r="L217" s="11"/>
      <c r="M217" s="19">
        <v>0</v>
      </c>
      <c r="O217" s="6"/>
      <c r="P217" s="16">
        <v>0</v>
      </c>
      <c r="Q217" s="16">
        <v>0</v>
      </c>
      <c r="R217" s="22"/>
      <c r="S217" s="22">
        <f t="shared" si="6"/>
        <v>0</v>
      </c>
      <c r="T217" s="5">
        <v>815</v>
      </c>
      <c r="U217" s="5">
        <v>780</v>
      </c>
      <c r="Y217" s="8"/>
      <c r="Z217" s="8"/>
      <c r="AA217" s="8"/>
      <c r="AB217" s="8"/>
      <c r="AC217" s="8"/>
      <c r="AD217" s="8"/>
      <c r="AE217" s="25"/>
      <c r="AF217" s="11"/>
      <c r="AG217" s="25"/>
      <c r="AH217" s="11"/>
      <c r="AI217" s="11">
        <v>52</v>
      </c>
      <c r="AJ217" s="19">
        <v>0</v>
      </c>
      <c r="AK217" s="12">
        <f>(AJ217+AI217)/30*7</f>
        <v>12.133333333333333</v>
      </c>
      <c r="AL217" s="6">
        <f>IF(AK217-C217&lt;0,0,AK217-C217)</f>
        <v>0</v>
      </c>
      <c r="AM217" s="6">
        <f>IF(AL217-R217-S217&lt;0,0,AL217-R217-S217)</f>
        <v>0</v>
      </c>
      <c r="AN217" s="5" t="str">
        <f t="shared" si="7"/>
        <v/>
      </c>
      <c r="AO217" s="5">
        <v>0</v>
      </c>
      <c r="AP217" s="9"/>
      <c r="AQ217" s="5" t="s">
        <v>1210</v>
      </c>
      <c r="AR217" s="5" t="s">
        <v>1210</v>
      </c>
      <c r="AS217" s="8"/>
      <c r="AT217" s="8"/>
      <c r="AU217" s="8"/>
      <c r="AV217" s="8"/>
      <c r="AW217" s="8"/>
      <c r="AX217" s="8"/>
      <c r="AY217" s="8"/>
      <c r="AZ217" s="8"/>
    </row>
    <row r="218" spans="1:52">
      <c r="A218" s="5" t="s">
        <v>922</v>
      </c>
      <c r="B218" s="5">
        <v>894</v>
      </c>
      <c r="C218" s="19">
        <v>30</v>
      </c>
      <c r="E218" s="14"/>
      <c r="F218" s="11"/>
      <c r="G218" s="11"/>
      <c r="H218" s="11"/>
      <c r="I218" s="11"/>
      <c r="J218" s="25"/>
      <c r="K218" s="11"/>
      <c r="L218" s="11"/>
      <c r="M218" s="19">
        <v>0</v>
      </c>
      <c r="O218" s="6"/>
      <c r="P218" s="16">
        <v>0</v>
      </c>
      <c r="Q218" s="16">
        <v>0</v>
      </c>
      <c r="R218" s="22"/>
      <c r="S218" s="22">
        <f t="shared" si="6"/>
        <v>0</v>
      </c>
      <c r="T218" s="5">
        <v>340</v>
      </c>
      <c r="U218" s="5">
        <v>902</v>
      </c>
      <c r="Y218" s="8"/>
      <c r="Z218" s="8"/>
      <c r="AA218" s="8"/>
      <c r="AB218" s="8"/>
      <c r="AC218" s="8"/>
      <c r="AD218" s="8"/>
      <c r="AE218" s="25"/>
      <c r="AF218" s="11"/>
      <c r="AG218" s="25"/>
      <c r="AH218" s="11"/>
      <c r="AI218" s="11">
        <v>52</v>
      </c>
      <c r="AJ218" s="19">
        <v>0</v>
      </c>
      <c r="AK218" s="12">
        <f>(AJ218+AI218)/30*7</f>
        <v>12.133333333333333</v>
      </c>
      <c r="AL218" s="6">
        <f>IF(AK218-C218&lt;0,0,AK218-C218)</f>
        <v>0</v>
      </c>
      <c r="AM218" s="6">
        <f>IF(AL218-R218-S218&lt;0,0,AL218-R218-S218)</f>
        <v>0</v>
      </c>
      <c r="AN218" s="5" t="str">
        <f t="shared" si="7"/>
        <v/>
      </c>
      <c r="AO218" s="5">
        <v>0</v>
      </c>
      <c r="AP218" s="9"/>
      <c r="AQ218" s="5" t="s">
        <v>1210</v>
      </c>
      <c r="AR218" s="5" t="s">
        <v>1210</v>
      </c>
      <c r="AS218" s="8"/>
      <c r="AT218" s="8"/>
      <c r="AU218" s="8"/>
      <c r="AV218" s="8"/>
      <c r="AW218" s="8"/>
      <c r="AX218" s="8"/>
      <c r="AY218" s="8"/>
      <c r="AZ218" s="8"/>
    </row>
    <row r="219" spans="1:52">
      <c r="A219" s="5" t="s">
        <v>884</v>
      </c>
      <c r="B219" s="5">
        <v>1109</v>
      </c>
      <c r="C219" s="19">
        <v>24</v>
      </c>
      <c r="E219" s="14"/>
      <c r="F219" s="11"/>
      <c r="G219" s="11"/>
      <c r="H219" s="11"/>
      <c r="I219" s="11"/>
      <c r="J219" s="25"/>
      <c r="K219" s="11"/>
      <c r="L219" s="11"/>
      <c r="M219" s="19">
        <v>0</v>
      </c>
      <c r="O219" s="6"/>
      <c r="P219" s="16">
        <v>0</v>
      </c>
      <c r="Q219" s="16">
        <v>0</v>
      </c>
      <c r="R219" s="22"/>
      <c r="S219" s="22">
        <f t="shared" si="6"/>
        <v>0</v>
      </c>
      <c r="T219" s="5">
        <v>981</v>
      </c>
      <c r="U219" s="5">
        <v>296</v>
      </c>
      <c r="Y219" s="8"/>
      <c r="Z219" s="8"/>
      <c r="AA219" s="8"/>
      <c r="AB219" s="8"/>
      <c r="AC219" s="8"/>
      <c r="AD219" s="8"/>
      <c r="AE219" s="25"/>
      <c r="AF219" s="11"/>
      <c r="AG219" s="25"/>
      <c r="AH219" s="11"/>
      <c r="AI219" s="11">
        <v>52</v>
      </c>
      <c r="AJ219" s="19">
        <v>0</v>
      </c>
      <c r="AK219" s="12">
        <f>(AJ219+AI219)/30*7</f>
        <v>12.133333333333333</v>
      </c>
      <c r="AL219" s="6">
        <f>IF(AK219-C219&lt;0,0,AK219-C219)</f>
        <v>0</v>
      </c>
      <c r="AM219" s="6">
        <f>IF(AL219-R219-S219&lt;0,0,AL219-R219-S219)</f>
        <v>0</v>
      </c>
      <c r="AN219" s="5" t="str">
        <f t="shared" si="7"/>
        <v/>
      </c>
      <c r="AO219" s="5">
        <v>0</v>
      </c>
      <c r="AP219" s="9"/>
      <c r="AQ219" s="5" t="s">
        <v>1210</v>
      </c>
      <c r="AR219" s="5" t="s">
        <v>1210</v>
      </c>
      <c r="AS219" s="8"/>
      <c r="AT219" s="8"/>
      <c r="AU219" s="8"/>
      <c r="AV219" s="8"/>
      <c r="AW219" s="8"/>
      <c r="AX219" s="8"/>
      <c r="AY219" s="8"/>
      <c r="AZ219" s="8"/>
    </row>
    <row r="220" spans="1:52">
      <c r="A220" s="5" t="s">
        <v>1126</v>
      </c>
      <c r="B220" s="5">
        <v>567</v>
      </c>
      <c r="C220" s="19">
        <v>37</v>
      </c>
      <c r="E220" s="14"/>
      <c r="F220" s="11"/>
      <c r="G220" s="11"/>
      <c r="H220" s="11"/>
      <c r="I220" s="11"/>
      <c r="J220" s="25"/>
      <c r="K220" s="11"/>
      <c r="L220" s="11"/>
      <c r="M220" s="19">
        <v>0</v>
      </c>
      <c r="O220" s="6"/>
      <c r="P220" s="16">
        <v>0</v>
      </c>
      <c r="Q220" s="16">
        <v>0</v>
      </c>
      <c r="R220" s="22"/>
      <c r="S220" s="22">
        <f t="shared" si="6"/>
        <v>0</v>
      </c>
      <c r="T220" s="5" t="s">
        <v>1210</v>
      </c>
      <c r="U220" s="5" t="s">
        <v>1210</v>
      </c>
      <c r="Y220" s="8"/>
      <c r="Z220" s="8"/>
      <c r="AA220" s="8"/>
      <c r="AB220" s="8"/>
      <c r="AC220" s="8"/>
      <c r="AD220" s="8"/>
      <c r="AE220" s="25"/>
      <c r="AF220" s="11"/>
      <c r="AG220" s="25"/>
      <c r="AH220" s="11"/>
      <c r="AI220" s="11">
        <v>51</v>
      </c>
      <c r="AJ220" s="19">
        <v>0</v>
      </c>
      <c r="AK220" s="12">
        <f>(AJ220+AI220)/30*7</f>
        <v>11.9</v>
      </c>
      <c r="AL220" s="6">
        <f>IF(AK220-C220&lt;0,0,AK220-C220)</f>
        <v>0</v>
      </c>
      <c r="AM220" s="6">
        <f>IF(AL220-R220-S220&lt;0,0,AL220-R220-S220)</f>
        <v>0</v>
      </c>
      <c r="AN220" s="5" t="str">
        <f t="shared" si="7"/>
        <v/>
      </c>
      <c r="AO220" s="5">
        <v>0</v>
      </c>
      <c r="AP220" s="9"/>
      <c r="AQ220" s="5" t="s">
        <v>1210</v>
      </c>
      <c r="AR220" s="5" t="s">
        <v>1210</v>
      </c>
      <c r="AS220" s="8"/>
      <c r="AT220" s="8"/>
      <c r="AU220" s="8"/>
      <c r="AV220" s="8"/>
      <c r="AW220" s="8"/>
      <c r="AX220" s="8"/>
      <c r="AY220" s="8"/>
      <c r="AZ220" s="8"/>
    </row>
    <row r="221" spans="1:52">
      <c r="A221" s="5" t="s">
        <v>626</v>
      </c>
      <c r="B221" s="5">
        <v>621</v>
      </c>
      <c r="C221" s="19">
        <v>39</v>
      </c>
      <c r="E221" s="14"/>
      <c r="F221" s="11"/>
      <c r="G221" s="11"/>
      <c r="H221" s="11"/>
      <c r="I221" s="11"/>
      <c r="J221" s="25"/>
      <c r="K221" s="11"/>
      <c r="L221" s="11"/>
      <c r="M221" s="19">
        <v>0</v>
      </c>
      <c r="O221" s="6"/>
      <c r="P221" s="16">
        <v>0</v>
      </c>
      <c r="Q221" s="16">
        <v>0</v>
      </c>
      <c r="R221" s="22"/>
      <c r="S221" s="22">
        <f t="shared" si="6"/>
        <v>0</v>
      </c>
      <c r="T221" s="5">
        <v>948</v>
      </c>
      <c r="U221" s="5">
        <v>716</v>
      </c>
      <c r="Y221" s="8"/>
      <c r="Z221" s="8"/>
      <c r="AA221" s="8"/>
      <c r="AB221" s="8"/>
      <c r="AC221" s="8"/>
      <c r="AD221" s="8"/>
      <c r="AE221" s="25"/>
      <c r="AF221" s="11"/>
      <c r="AG221" s="25"/>
      <c r="AH221" s="11"/>
      <c r="AI221" s="11">
        <v>51</v>
      </c>
      <c r="AJ221" s="19">
        <v>0</v>
      </c>
      <c r="AK221" s="12">
        <f>(AJ221+AI221)/30*7</f>
        <v>11.9</v>
      </c>
      <c r="AL221" s="6">
        <f>IF(AK221-C221&lt;0,0,AK221-C221)</f>
        <v>0</v>
      </c>
      <c r="AM221" s="6">
        <f>IF(AL221-R221-S221&lt;0,0,AL221-R221-S221)</f>
        <v>0</v>
      </c>
      <c r="AN221" s="5" t="str">
        <f t="shared" si="7"/>
        <v/>
      </c>
      <c r="AO221" s="5">
        <v>0</v>
      </c>
      <c r="AP221" s="9"/>
      <c r="AQ221" s="5" t="s">
        <v>1210</v>
      </c>
      <c r="AR221" s="5" t="s">
        <v>1210</v>
      </c>
      <c r="AS221" s="8"/>
      <c r="AT221" s="8"/>
      <c r="AU221" s="8"/>
      <c r="AV221" s="8"/>
      <c r="AW221" s="8"/>
      <c r="AX221" s="8"/>
      <c r="AY221" s="8"/>
      <c r="AZ221" s="8"/>
    </row>
    <row r="222" spans="1:52">
      <c r="A222" s="5" t="s">
        <v>1028</v>
      </c>
      <c r="B222" s="5">
        <v>977</v>
      </c>
      <c r="C222" s="19">
        <v>30</v>
      </c>
      <c r="E222" s="14"/>
      <c r="F222" s="11"/>
      <c r="G222" s="11"/>
      <c r="H222" s="11"/>
      <c r="I222" s="11"/>
      <c r="J222" s="25"/>
      <c r="K222" s="11"/>
      <c r="L222" s="11"/>
      <c r="M222" s="19">
        <v>0</v>
      </c>
      <c r="O222" s="6"/>
      <c r="P222" s="16">
        <v>0</v>
      </c>
      <c r="Q222" s="16">
        <v>0</v>
      </c>
      <c r="R222" s="22"/>
      <c r="S222" s="22">
        <f t="shared" si="6"/>
        <v>0</v>
      </c>
      <c r="T222" s="5">
        <v>1014</v>
      </c>
      <c r="U222" s="5">
        <v>788</v>
      </c>
      <c r="Y222" s="8"/>
      <c r="Z222" s="8"/>
      <c r="AA222" s="8"/>
      <c r="AB222" s="8"/>
      <c r="AC222" s="8"/>
      <c r="AD222" s="8"/>
      <c r="AE222" s="25"/>
      <c r="AF222" s="11"/>
      <c r="AG222" s="25"/>
      <c r="AH222" s="11"/>
      <c r="AI222" s="11">
        <v>51</v>
      </c>
      <c r="AJ222" s="19">
        <v>0</v>
      </c>
      <c r="AK222" s="12">
        <f>(AJ222+AI222)/30*7</f>
        <v>11.9</v>
      </c>
      <c r="AL222" s="6">
        <f>IF(AK222-C222&lt;0,0,AK222-C222)</f>
        <v>0</v>
      </c>
      <c r="AM222" s="6">
        <f>IF(AL222-R222-S222&lt;0,0,AL222-R222-S222)</f>
        <v>0</v>
      </c>
      <c r="AN222" s="5" t="str">
        <f t="shared" si="7"/>
        <v/>
      </c>
      <c r="AO222" s="5">
        <v>0</v>
      </c>
      <c r="AP222" s="9"/>
      <c r="AQ222" s="5" t="s">
        <v>1210</v>
      </c>
      <c r="AR222" s="5" t="s">
        <v>1210</v>
      </c>
      <c r="AS222" s="8"/>
      <c r="AT222" s="8"/>
      <c r="AU222" s="8"/>
      <c r="AV222" s="8"/>
      <c r="AW222" s="8"/>
      <c r="AX222" s="8"/>
      <c r="AY222" s="8"/>
      <c r="AZ222" s="8"/>
    </row>
    <row r="223" spans="1:52">
      <c r="A223" s="5" t="s">
        <v>996</v>
      </c>
      <c r="B223" s="5">
        <v>1000</v>
      </c>
      <c r="C223" s="19">
        <v>27</v>
      </c>
      <c r="E223" s="14"/>
      <c r="F223" s="11"/>
      <c r="G223" s="11"/>
      <c r="H223" s="11"/>
      <c r="I223" s="11"/>
      <c r="J223" s="25"/>
      <c r="K223" s="11"/>
      <c r="L223" s="11"/>
      <c r="M223" s="19">
        <v>0</v>
      </c>
      <c r="O223" s="6"/>
      <c r="P223" s="16">
        <v>0</v>
      </c>
      <c r="Q223" s="16">
        <v>0</v>
      </c>
      <c r="R223" s="22"/>
      <c r="S223" s="22">
        <f t="shared" si="6"/>
        <v>0</v>
      </c>
      <c r="T223" s="5">
        <v>1075</v>
      </c>
      <c r="U223" s="5">
        <v>624</v>
      </c>
      <c r="Y223" s="8"/>
      <c r="Z223" s="8"/>
      <c r="AA223" s="8"/>
      <c r="AB223" s="8"/>
      <c r="AC223" s="8"/>
      <c r="AD223" s="8"/>
      <c r="AE223" s="25"/>
      <c r="AF223" s="11"/>
      <c r="AG223" s="25"/>
      <c r="AH223" s="11"/>
      <c r="AI223" s="11">
        <v>51</v>
      </c>
      <c r="AJ223" s="19">
        <v>0</v>
      </c>
      <c r="AK223" s="12">
        <f>(AJ223+AI223)/30*7</f>
        <v>11.9</v>
      </c>
      <c r="AL223" s="6">
        <f>IF(AK223-C223&lt;0,0,AK223-C223)</f>
        <v>0</v>
      </c>
      <c r="AM223" s="6">
        <f>IF(AL223-R223-S223&lt;0,0,AL223-R223-S223)</f>
        <v>0</v>
      </c>
      <c r="AN223" s="5" t="str">
        <f t="shared" si="7"/>
        <v/>
      </c>
      <c r="AO223" s="5">
        <v>0</v>
      </c>
      <c r="AP223" s="9"/>
      <c r="AQ223" s="5" t="s">
        <v>1210</v>
      </c>
      <c r="AR223" s="5" t="s">
        <v>1230</v>
      </c>
      <c r="AS223" s="8"/>
      <c r="AT223" s="8"/>
      <c r="AU223" s="8"/>
      <c r="AV223" s="8"/>
      <c r="AW223" s="8"/>
      <c r="AX223" s="8"/>
      <c r="AY223" s="8"/>
      <c r="AZ223" s="8"/>
    </row>
    <row r="224" spans="1:52">
      <c r="A224" s="5" t="s">
        <v>1136</v>
      </c>
      <c r="B224" s="5">
        <v>524</v>
      </c>
      <c r="C224" s="19">
        <v>40</v>
      </c>
      <c r="E224" s="14"/>
      <c r="F224" s="11"/>
      <c r="G224" s="11"/>
      <c r="H224" s="11"/>
      <c r="I224" s="11"/>
      <c r="J224" s="25"/>
      <c r="K224" s="11"/>
      <c r="L224" s="11"/>
      <c r="M224" s="19">
        <v>0</v>
      </c>
      <c r="O224" s="6"/>
      <c r="P224" s="16">
        <v>0</v>
      </c>
      <c r="Q224" s="16">
        <v>0</v>
      </c>
      <c r="R224" s="22"/>
      <c r="S224" s="22">
        <f t="shared" si="6"/>
        <v>0</v>
      </c>
      <c r="T224" s="5">
        <v>521</v>
      </c>
      <c r="U224" s="5">
        <v>0</v>
      </c>
      <c r="Y224" s="8"/>
      <c r="Z224" s="8"/>
      <c r="AA224" s="8"/>
      <c r="AB224" s="8"/>
      <c r="AC224" s="8"/>
      <c r="AD224" s="8"/>
      <c r="AE224" s="25"/>
      <c r="AF224" s="11"/>
      <c r="AG224" s="25"/>
      <c r="AH224" s="11"/>
      <c r="AI224" s="11">
        <v>50</v>
      </c>
      <c r="AJ224" s="19">
        <v>0</v>
      </c>
      <c r="AK224" s="12">
        <f>(AJ224+AI224)/30*7</f>
        <v>11.666666666666668</v>
      </c>
      <c r="AL224" s="6">
        <f>IF(AK224-C224&lt;0,0,AK224-C224)</f>
        <v>0</v>
      </c>
      <c r="AM224" s="6">
        <f>IF(AL224-R224-S224&lt;0,0,AL224-R224-S224)</f>
        <v>0</v>
      </c>
      <c r="AN224" s="5" t="str">
        <f t="shared" si="7"/>
        <v/>
      </c>
      <c r="AO224" s="5">
        <v>0</v>
      </c>
      <c r="AP224" s="9"/>
      <c r="AQ224" s="5" t="s">
        <v>1210</v>
      </c>
      <c r="AR224" s="5" t="s">
        <v>1210</v>
      </c>
      <c r="AS224" s="8"/>
      <c r="AT224" s="8"/>
      <c r="AU224" s="8"/>
      <c r="AV224" s="8"/>
      <c r="AW224" s="8"/>
      <c r="AX224" s="8"/>
      <c r="AY224" s="8"/>
      <c r="AZ224" s="8"/>
    </row>
    <row r="225" spans="1:52">
      <c r="A225" s="5" t="s">
        <v>624</v>
      </c>
      <c r="B225" s="5">
        <v>591</v>
      </c>
      <c r="C225" s="19">
        <v>29</v>
      </c>
      <c r="E225" s="14"/>
      <c r="F225" s="11"/>
      <c r="G225" s="11"/>
      <c r="H225" s="11"/>
      <c r="I225" s="11"/>
      <c r="J225" s="25"/>
      <c r="K225" s="11"/>
      <c r="L225" s="11"/>
      <c r="M225" s="19">
        <v>0</v>
      </c>
      <c r="O225" s="6"/>
      <c r="P225" s="16">
        <v>0</v>
      </c>
      <c r="Q225" s="16">
        <v>0</v>
      </c>
      <c r="R225" s="22"/>
      <c r="S225" s="22">
        <f t="shared" si="6"/>
        <v>0</v>
      </c>
      <c r="T225" s="5">
        <v>730</v>
      </c>
      <c r="U225" s="5">
        <v>802</v>
      </c>
      <c r="Y225" s="8"/>
      <c r="Z225" s="8"/>
      <c r="AA225" s="8"/>
      <c r="AB225" s="8"/>
      <c r="AC225" s="8"/>
      <c r="AD225" s="8"/>
      <c r="AE225" s="25"/>
      <c r="AF225" s="11"/>
      <c r="AG225" s="25"/>
      <c r="AH225" s="11"/>
      <c r="AI225" s="11">
        <v>50</v>
      </c>
      <c r="AJ225" s="19">
        <v>0</v>
      </c>
      <c r="AK225" s="12">
        <f>(AJ225+AI225)/30*7</f>
        <v>11.666666666666668</v>
      </c>
      <c r="AL225" s="6">
        <f>IF(AK225-C225&lt;0,0,AK225-C225)</f>
        <v>0</v>
      </c>
      <c r="AM225" s="6">
        <f>IF(AL225-R225-S225&lt;0,0,AL225-R225-S225)</f>
        <v>0</v>
      </c>
      <c r="AN225" s="5" t="str">
        <f t="shared" si="7"/>
        <v/>
      </c>
      <c r="AO225" s="5">
        <v>0</v>
      </c>
      <c r="AP225" s="9"/>
      <c r="AQ225" s="5" t="s">
        <v>1210</v>
      </c>
      <c r="AR225" s="5" t="s">
        <v>1210</v>
      </c>
      <c r="AS225" s="8"/>
      <c r="AT225" s="8"/>
      <c r="AU225" s="8"/>
      <c r="AV225" s="8"/>
      <c r="AW225" s="8"/>
      <c r="AX225" s="8"/>
      <c r="AY225" s="8"/>
      <c r="AZ225" s="8"/>
    </row>
    <row r="226" spans="1:52">
      <c r="A226" s="5" t="s">
        <v>1031</v>
      </c>
      <c r="B226" s="5" t="s">
        <v>1198</v>
      </c>
      <c r="C226" s="19">
        <v>36</v>
      </c>
      <c r="E226" s="14"/>
      <c r="F226" s="11"/>
      <c r="G226" s="11"/>
      <c r="H226" s="11"/>
      <c r="I226" s="11"/>
      <c r="J226" s="25"/>
      <c r="K226" s="11"/>
      <c r="L226" s="11"/>
      <c r="M226" s="19">
        <v>0</v>
      </c>
      <c r="O226" s="6"/>
      <c r="P226" s="16">
        <v>0</v>
      </c>
      <c r="Q226" s="16">
        <v>0</v>
      </c>
      <c r="R226" s="22"/>
      <c r="S226" s="22">
        <f t="shared" si="6"/>
        <v>0</v>
      </c>
      <c r="T226" s="5" t="s">
        <v>1210</v>
      </c>
      <c r="U226" s="5" t="s">
        <v>1210</v>
      </c>
      <c r="Y226" s="8"/>
      <c r="Z226" s="8"/>
      <c r="AA226" s="8"/>
      <c r="AB226" s="8"/>
      <c r="AC226" s="8"/>
      <c r="AD226" s="8"/>
      <c r="AE226" s="25"/>
      <c r="AF226" s="11"/>
      <c r="AG226" s="25"/>
      <c r="AH226" s="11"/>
      <c r="AI226" s="11">
        <v>50</v>
      </c>
      <c r="AJ226" s="19">
        <v>0</v>
      </c>
      <c r="AK226" s="12">
        <f>(AJ226+AI226)/30*7</f>
        <v>11.666666666666668</v>
      </c>
      <c r="AL226" s="6">
        <f>IF(AK226-C226&lt;0,0,AK226-C226)</f>
        <v>0</v>
      </c>
      <c r="AM226" s="6">
        <f>IF(AL226-R226-S226&lt;0,0,AL226-R226-S226)</f>
        <v>0</v>
      </c>
      <c r="AN226" s="5" t="str">
        <f t="shared" si="7"/>
        <v/>
      </c>
      <c r="AO226" s="5">
        <v>0</v>
      </c>
      <c r="AP226" s="9"/>
      <c r="AQ226" s="5" t="s">
        <v>1210</v>
      </c>
      <c r="AR226" s="5" t="s">
        <v>1210</v>
      </c>
      <c r="AS226" s="8"/>
      <c r="AT226" s="8"/>
      <c r="AU226" s="8"/>
      <c r="AV226" s="8"/>
      <c r="AW226" s="8"/>
      <c r="AX226" s="8"/>
      <c r="AY226" s="8"/>
      <c r="AZ226" s="8"/>
    </row>
    <row r="227" spans="1:52">
      <c r="A227" s="5" t="s">
        <v>748</v>
      </c>
      <c r="B227" s="5">
        <v>537</v>
      </c>
      <c r="C227" s="19">
        <v>19</v>
      </c>
      <c r="E227" s="14"/>
      <c r="F227" s="11"/>
      <c r="G227" s="11"/>
      <c r="H227" s="11"/>
      <c r="I227" s="11"/>
      <c r="J227" s="25"/>
      <c r="K227" s="11"/>
      <c r="L227" s="11"/>
      <c r="M227" s="19">
        <v>0</v>
      </c>
      <c r="O227" s="6"/>
      <c r="P227" s="16">
        <v>0</v>
      </c>
      <c r="Q227" s="16">
        <v>0</v>
      </c>
      <c r="R227" s="22"/>
      <c r="S227" s="22">
        <f t="shared" si="6"/>
        <v>0</v>
      </c>
      <c r="T227" s="5">
        <v>536</v>
      </c>
      <c r="U227" s="5">
        <v>894</v>
      </c>
      <c r="Y227" s="8"/>
      <c r="Z227" s="8"/>
      <c r="AA227" s="8"/>
      <c r="AB227" s="8"/>
      <c r="AC227" s="8"/>
      <c r="AD227" s="8"/>
      <c r="AE227" s="25"/>
      <c r="AF227" s="11"/>
      <c r="AG227" s="25"/>
      <c r="AH227" s="11"/>
      <c r="AI227" s="11">
        <v>49</v>
      </c>
      <c r="AJ227" s="19">
        <v>0</v>
      </c>
      <c r="AK227" s="12">
        <f>(AJ227+AI227)/30*7</f>
        <v>11.433333333333334</v>
      </c>
      <c r="AL227" s="6">
        <f>IF(AK227-C227&lt;0,0,AK227-C227)</f>
        <v>0</v>
      </c>
      <c r="AM227" s="6">
        <f>IF(AL227-R227-S227&lt;0,0,AL227-R227-S227)</f>
        <v>0</v>
      </c>
      <c r="AN227" s="5" t="str">
        <f t="shared" si="7"/>
        <v/>
      </c>
      <c r="AO227" s="5">
        <v>0</v>
      </c>
      <c r="AP227" s="9"/>
      <c r="AQ227" s="5" t="s">
        <v>1210</v>
      </c>
      <c r="AR227" s="5" t="s">
        <v>1210</v>
      </c>
      <c r="AS227" s="8"/>
      <c r="AT227" s="8"/>
      <c r="AU227" s="8"/>
      <c r="AV227" s="8"/>
      <c r="AW227" s="8"/>
      <c r="AX227" s="8"/>
      <c r="AY227" s="8"/>
      <c r="AZ227" s="8"/>
    </row>
    <row r="228" spans="1:52">
      <c r="A228" s="5" t="s">
        <v>568</v>
      </c>
      <c r="B228" s="5">
        <v>706</v>
      </c>
      <c r="C228" s="19">
        <v>38</v>
      </c>
      <c r="E228" s="14"/>
      <c r="F228" s="11"/>
      <c r="G228" s="11"/>
      <c r="H228" s="11"/>
      <c r="I228" s="11"/>
      <c r="J228" s="25"/>
      <c r="K228" s="11"/>
      <c r="L228" s="11"/>
      <c r="M228" s="19">
        <v>0</v>
      </c>
      <c r="O228" s="6"/>
      <c r="P228" s="16">
        <v>0</v>
      </c>
      <c r="Q228" s="16">
        <v>0</v>
      </c>
      <c r="R228" s="22"/>
      <c r="S228" s="22">
        <f t="shared" si="6"/>
        <v>0</v>
      </c>
      <c r="T228" s="5" t="s">
        <v>1210</v>
      </c>
      <c r="U228" s="5" t="s">
        <v>1210</v>
      </c>
      <c r="Y228" s="8"/>
      <c r="Z228" s="8"/>
      <c r="AA228" s="8"/>
      <c r="AB228" s="8"/>
      <c r="AC228" s="8"/>
      <c r="AD228" s="8"/>
      <c r="AE228" s="25"/>
      <c r="AF228" s="11"/>
      <c r="AG228" s="25"/>
      <c r="AH228" s="11"/>
      <c r="AI228" s="11">
        <v>49</v>
      </c>
      <c r="AJ228" s="19">
        <v>0</v>
      </c>
      <c r="AK228" s="12">
        <f>(AJ228+AI228)/30*7</f>
        <v>11.433333333333334</v>
      </c>
      <c r="AL228" s="6">
        <f>IF(AK228-C228&lt;0,0,AK228-C228)</f>
        <v>0</v>
      </c>
      <c r="AM228" s="6">
        <f>IF(AL228-R228-S228&lt;0,0,AL228-R228-S228)</f>
        <v>0</v>
      </c>
      <c r="AN228" s="5" t="str">
        <f t="shared" si="7"/>
        <v/>
      </c>
      <c r="AO228" s="5">
        <v>0</v>
      </c>
      <c r="AP228" s="9"/>
      <c r="AQ228" s="5" t="s">
        <v>1210</v>
      </c>
      <c r="AR228" s="5" t="s">
        <v>1210</v>
      </c>
      <c r="AS228" s="8"/>
      <c r="AT228" s="8"/>
      <c r="AU228" s="8"/>
      <c r="AV228" s="8"/>
      <c r="AW228" s="8"/>
      <c r="AX228" s="8"/>
      <c r="AY228" s="8"/>
      <c r="AZ228" s="8"/>
    </row>
    <row r="229" spans="1:52">
      <c r="A229" s="5" t="s">
        <v>700</v>
      </c>
      <c r="B229" s="5">
        <v>1658</v>
      </c>
      <c r="C229" s="19">
        <v>33</v>
      </c>
      <c r="E229" s="14"/>
      <c r="F229" s="11"/>
      <c r="G229" s="11"/>
      <c r="H229" s="11"/>
      <c r="I229" s="11"/>
      <c r="J229" s="25"/>
      <c r="K229" s="11"/>
      <c r="L229" s="11"/>
      <c r="M229" s="19">
        <v>0</v>
      </c>
      <c r="O229" s="6"/>
      <c r="P229" s="16">
        <v>477</v>
      </c>
      <c r="Q229" s="16">
        <v>0</v>
      </c>
      <c r="R229" s="22"/>
      <c r="S229" s="22">
        <f t="shared" si="6"/>
        <v>0</v>
      </c>
      <c r="T229" s="5" t="s">
        <v>1210</v>
      </c>
      <c r="U229" s="5" t="s">
        <v>1210</v>
      </c>
      <c r="Y229" s="8"/>
      <c r="Z229" s="8"/>
      <c r="AA229" s="8"/>
      <c r="AB229" s="8"/>
      <c r="AC229" s="8"/>
      <c r="AD229" s="8"/>
      <c r="AE229" s="25"/>
      <c r="AF229" s="11"/>
      <c r="AG229" s="25"/>
      <c r="AH229" s="11"/>
      <c r="AI229" s="11">
        <v>49</v>
      </c>
      <c r="AJ229" s="19">
        <v>0</v>
      </c>
      <c r="AK229" s="12">
        <f>(AJ229+AI229)/30*7</f>
        <v>11.433333333333334</v>
      </c>
      <c r="AL229" s="6">
        <f>IF(AK229-C229&lt;0,0,AK229-C229)</f>
        <v>0</v>
      </c>
      <c r="AM229" s="6">
        <f>IF(AL229-R229-S229&lt;0,0,AL229-R229-S229)</f>
        <v>0</v>
      </c>
      <c r="AN229" s="5" t="str">
        <f t="shared" si="7"/>
        <v/>
      </c>
      <c r="AO229" s="5">
        <v>0</v>
      </c>
      <c r="AP229" s="9"/>
      <c r="AQ229" s="5" t="s">
        <v>1210</v>
      </c>
      <c r="AR229" s="5" t="s">
        <v>1230</v>
      </c>
      <c r="AS229" s="8"/>
      <c r="AT229" s="8"/>
      <c r="AU229" s="8"/>
      <c r="AV229" s="8"/>
      <c r="AW229" s="8"/>
      <c r="AX229" s="8"/>
      <c r="AY229" s="8"/>
      <c r="AZ229" s="8"/>
    </row>
    <row r="230" spans="1:52">
      <c r="A230" s="5" t="s">
        <v>987</v>
      </c>
      <c r="B230" s="5">
        <v>1804</v>
      </c>
      <c r="C230" s="19">
        <v>36</v>
      </c>
      <c r="E230" s="14"/>
      <c r="F230" s="11"/>
      <c r="G230" s="11"/>
      <c r="H230" s="11"/>
      <c r="I230" s="11"/>
      <c r="J230" s="25"/>
      <c r="K230" s="11"/>
      <c r="L230" s="11"/>
      <c r="M230" s="19">
        <v>0</v>
      </c>
      <c r="O230" s="6"/>
      <c r="P230" s="16">
        <v>0</v>
      </c>
      <c r="Q230" s="16">
        <v>0</v>
      </c>
      <c r="R230" s="22"/>
      <c r="S230" s="22">
        <f t="shared" si="6"/>
        <v>0</v>
      </c>
      <c r="T230" s="5">
        <v>1829</v>
      </c>
      <c r="U230" s="5">
        <v>644</v>
      </c>
      <c r="Y230" s="8"/>
      <c r="Z230" s="8"/>
      <c r="AA230" s="8"/>
      <c r="AB230" s="8"/>
      <c r="AC230" s="8"/>
      <c r="AD230" s="8"/>
      <c r="AE230" s="25"/>
      <c r="AF230" s="11"/>
      <c r="AG230" s="25"/>
      <c r="AH230" s="11"/>
      <c r="AI230" s="11">
        <v>49</v>
      </c>
      <c r="AJ230" s="19">
        <v>0</v>
      </c>
      <c r="AK230" s="12">
        <f>(AJ230+AI230)/30*7</f>
        <v>11.433333333333334</v>
      </c>
      <c r="AL230" s="6">
        <f>IF(AK230-C230&lt;0,0,AK230-C230)</f>
        <v>0</v>
      </c>
      <c r="AM230" s="6">
        <f>IF(AL230-R230-S230&lt;0,0,AL230-R230-S230)</f>
        <v>0</v>
      </c>
      <c r="AN230" s="5" t="str">
        <f t="shared" si="7"/>
        <v/>
      </c>
      <c r="AO230" s="5">
        <v>0</v>
      </c>
      <c r="AP230" s="9"/>
      <c r="AQ230" s="5" t="s">
        <v>1210</v>
      </c>
      <c r="AR230" s="5" t="s">
        <v>1210</v>
      </c>
      <c r="AS230" s="8"/>
      <c r="AT230" s="8"/>
      <c r="AU230" s="8"/>
      <c r="AV230" s="8"/>
      <c r="AW230" s="8"/>
      <c r="AX230" s="8"/>
      <c r="AY230" s="8"/>
      <c r="AZ230" s="8"/>
    </row>
    <row r="231" spans="1:52">
      <c r="A231" s="5" t="s">
        <v>675</v>
      </c>
      <c r="B231" s="5">
        <v>2039</v>
      </c>
      <c r="C231" s="19">
        <v>19</v>
      </c>
      <c r="E231" s="14"/>
      <c r="F231" s="11"/>
      <c r="G231" s="11"/>
      <c r="H231" s="11"/>
      <c r="I231" s="11"/>
      <c r="J231" s="25"/>
      <c r="K231" s="11"/>
      <c r="L231" s="11"/>
      <c r="M231" s="19">
        <v>0</v>
      </c>
      <c r="O231" s="6"/>
      <c r="P231" s="16">
        <v>0</v>
      </c>
      <c r="Q231" s="16">
        <v>0</v>
      </c>
      <c r="R231" s="22"/>
      <c r="S231" s="22">
        <f t="shared" si="6"/>
        <v>0</v>
      </c>
      <c r="T231" s="5">
        <v>1668</v>
      </c>
      <c r="U231" s="5">
        <v>441</v>
      </c>
      <c r="Y231" s="8"/>
      <c r="Z231" s="8"/>
      <c r="AA231" s="8"/>
      <c r="AB231" s="8"/>
      <c r="AC231" s="8"/>
      <c r="AD231" s="8"/>
      <c r="AE231" s="25"/>
      <c r="AF231" s="11"/>
      <c r="AG231" s="25"/>
      <c r="AH231" s="11"/>
      <c r="AI231" s="11">
        <v>49</v>
      </c>
      <c r="AJ231" s="19">
        <v>0</v>
      </c>
      <c r="AK231" s="12">
        <f>(AJ231+AI231)/30*7</f>
        <v>11.433333333333334</v>
      </c>
      <c r="AL231" s="6">
        <f>IF(AK231-C231&lt;0,0,AK231-C231)</f>
        <v>0</v>
      </c>
      <c r="AM231" s="6">
        <f>IF(AL231-R231-S231&lt;0,0,AL231-R231-S231)</f>
        <v>0</v>
      </c>
      <c r="AN231" s="5" t="str">
        <f t="shared" si="7"/>
        <v/>
      </c>
      <c r="AO231" s="5">
        <v>0</v>
      </c>
      <c r="AP231" s="9"/>
      <c r="AQ231" s="5" t="s">
        <v>1210</v>
      </c>
      <c r="AR231" s="5" t="s">
        <v>1210</v>
      </c>
      <c r="AS231" s="8"/>
      <c r="AT231" s="8"/>
      <c r="AU231" s="8"/>
      <c r="AV231" s="8"/>
      <c r="AW231" s="8"/>
      <c r="AX231" s="8"/>
      <c r="AY231" s="8"/>
      <c r="AZ231" s="8"/>
    </row>
    <row r="232" spans="1:52">
      <c r="A232" s="5" t="s">
        <v>995</v>
      </c>
      <c r="B232" s="5" t="s">
        <v>1195</v>
      </c>
      <c r="C232" s="19">
        <v>25</v>
      </c>
      <c r="E232" s="14"/>
      <c r="F232" s="11"/>
      <c r="G232" s="11"/>
      <c r="H232" s="11"/>
      <c r="I232" s="11"/>
      <c r="J232" s="25"/>
      <c r="K232" s="11"/>
      <c r="L232" s="11"/>
      <c r="M232" s="19">
        <v>0</v>
      </c>
      <c r="O232" s="6"/>
      <c r="P232" s="16">
        <v>0</v>
      </c>
      <c r="Q232" s="16">
        <v>0</v>
      </c>
      <c r="R232" s="22"/>
      <c r="S232" s="22">
        <f t="shared" si="6"/>
        <v>0</v>
      </c>
      <c r="T232" s="5" t="s">
        <v>1210</v>
      </c>
      <c r="U232" s="5" t="s">
        <v>1210</v>
      </c>
      <c r="Y232" s="8"/>
      <c r="Z232" s="8"/>
      <c r="AA232" s="8"/>
      <c r="AB232" s="8"/>
      <c r="AC232" s="8"/>
      <c r="AD232" s="8"/>
      <c r="AE232" s="25"/>
      <c r="AF232" s="11"/>
      <c r="AG232" s="25"/>
      <c r="AH232" s="11"/>
      <c r="AI232" s="11">
        <v>49</v>
      </c>
      <c r="AJ232" s="19">
        <v>0</v>
      </c>
      <c r="AK232" s="12">
        <f>(AJ232+AI232)/30*7</f>
        <v>11.433333333333334</v>
      </c>
      <c r="AL232" s="6">
        <f>IF(AK232-C232&lt;0,0,AK232-C232)</f>
        <v>0</v>
      </c>
      <c r="AM232" s="6">
        <f>IF(AL232-R232-S232&lt;0,0,AL232-R232-S232)</f>
        <v>0</v>
      </c>
      <c r="AN232" s="5" t="str">
        <f t="shared" si="7"/>
        <v/>
      </c>
      <c r="AO232" s="5">
        <v>0</v>
      </c>
      <c r="AP232" s="9"/>
      <c r="AQ232" s="5" t="s">
        <v>1210</v>
      </c>
      <c r="AR232" s="5" t="s">
        <v>1210</v>
      </c>
      <c r="AS232" s="8"/>
      <c r="AT232" s="8"/>
      <c r="AU232" s="8"/>
      <c r="AV232" s="8"/>
      <c r="AW232" s="8"/>
      <c r="AX232" s="8"/>
      <c r="AY232" s="8"/>
      <c r="AZ232" s="8"/>
    </row>
    <row r="233" spans="1:52">
      <c r="A233" s="5" t="s">
        <v>1083</v>
      </c>
      <c r="B233" s="5">
        <v>378</v>
      </c>
      <c r="C233" s="19">
        <v>16</v>
      </c>
      <c r="E233" s="14"/>
      <c r="F233" s="11"/>
      <c r="G233" s="11"/>
      <c r="H233" s="11"/>
      <c r="I233" s="11"/>
      <c r="J233" s="25"/>
      <c r="K233" s="11"/>
      <c r="L233" s="11"/>
      <c r="M233" s="19">
        <v>0</v>
      </c>
      <c r="O233" s="6"/>
      <c r="P233" s="16">
        <v>0</v>
      </c>
      <c r="Q233" s="16">
        <v>0</v>
      </c>
      <c r="R233" s="22"/>
      <c r="S233" s="22">
        <f t="shared" si="6"/>
        <v>0</v>
      </c>
      <c r="T233" s="5" t="s">
        <v>1210</v>
      </c>
      <c r="U233" s="5" t="s">
        <v>1210</v>
      </c>
      <c r="Y233" s="8"/>
      <c r="Z233" s="8"/>
      <c r="AA233" s="8"/>
      <c r="AB233" s="8"/>
      <c r="AC233" s="8"/>
      <c r="AD233" s="8"/>
      <c r="AE233" s="25"/>
      <c r="AF233" s="11"/>
      <c r="AG233" s="25"/>
      <c r="AH233" s="11"/>
      <c r="AI233" s="11">
        <v>48</v>
      </c>
      <c r="AJ233" s="19">
        <v>0</v>
      </c>
      <c r="AK233" s="12">
        <f>(AJ233+AI233)/30*7</f>
        <v>11.200000000000001</v>
      </c>
      <c r="AL233" s="6">
        <f>IF(AK233-C233&lt;0,0,AK233-C233)</f>
        <v>0</v>
      </c>
      <c r="AM233" s="6">
        <f>IF(AL233-R233-S233&lt;0,0,AL233-R233-S233)</f>
        <v>0</v>
      </c>
      <c r="AN233" s="5" t="str">
        <f t="shared" si="7"/>
        <v/>
      </c>
      <c r="AO233" s="5">
        <v>0</v>
      </c>
      <c r="AP233" s="9"/>
      <c r="AQ233" s="5" t="s">
        <v>1210</v>
      </c>
      <c r="AR233" s="5" t="s">
        <v>1210</v>
      </c>
      <c r="AS233" s="8"/>
      <c r="AT233" s="8"/>
      <c r="AU233" s="8"/>
      <c r="AV233" s="8"/>
      <c r="AW233" s="8"/>
      <c r="AX233" s="8"/>
      <c r="AY233" s="8"/>
      <c r="AZ233" s="8"/>
    </row>
    <row r="234" spans="1:52">
      <c r="A234" s="5" t="s">
        <v>1104</v>
      </c>
      <c r="B234" s="5">
        <v>845</v>
      </c>
      <c r="C234" s="19">
        <v>36</v>
      </c>
      <c r="E234" s="14"/>
      <c r="F234" s="11"/>
      <c r="G234" s="11"/>
      <c r="H234" s="11"/>
      <c r="I234" s="11"/>
      <c r="J234" s="25"/>
      <c r="K234" s="11"/>
      <c r="L234" s="11"/>
      <c r="M234" s="19">
        <v>0</v>
      </c>
      <c r="O234" s="6"/>
      <c r="P234" s="16">
        <v>0</v>
      </c>
      <c r="Q234" s="16">
        <v>0</v>
      </c>
      <c r="R234" s="22"/>
      <c r="S234" s="22">
        <f t="shared" si="6"/>
        <v>0</v>
      </c>
      <c r="T234" s="5">
        <v>370</v>
      </c>
      <c r="U234" s="5">
        <v>705</v>
      </c>
      <c r="Y234" s="8"/>
      <c r="Z234" s="8"/>
      <c r="AA234" s="8"/>
      <c r="AB234" s="8"/>
      <c r="AC234" s="8"/>
      <c r="AD234" s="8"/>
      <c r="AE234" s="25"/>
      <c r="AF234" s="11"/>
      <c r="AG234" s="25"/>
      <c r="AH234" s="11"/>
      <c r="AI234" s="11">
        <v>48</v>
      </c>
      <c r="AJ234" s="19">
        <v>0</v>
      </c>
      <c r="AK234" s="12">
        <f>(AJ234+AI234)/30*7</f>
        <v>11.200000000000001</v>
      </c>
      <c r="AL234" s="6">
        <f>IF(AK234-C234&lt;0,0,AK234-C234)</f>
        <v>0</v>
      </c>
      <c r="AM234" s="6">
        <f>IF(AL234-R234-S234&lt;0,0,AL234-R234-S234)</f>
        <v>0</v>
      </c>
      <c r="AN234" s="5" t="str">
        <f t="shared" si="7"/>
        <v/>
      </c>
      <c r="AO234" s="5">
        <v>0</v>
      </c>
      <c r="AP234" s="9"/>
      <c r="AQ234" s="5" t="s">
        <v>1210</v>
      </c>
      <c r="AR234" s="5" t="s">
        <v>1210</v>
      </c>
      <c r="AS234" s="8"/>
      <c r="AT234" s="8"/>
      <c r="AU234" s="8"/>
      <c r="AV234" s="8"/>
      <c r="AW234" s="8"/>
      <c r="AX234" s="8"/>
      <c r="AY234" s="8"/>
      <c r="AZ234" s="8"/>
    </row>
    <row r="235" spans="1:52">
      <c r="A235" s="5" t="s">
        <v>946</v>
      </c>
      <c r="B235" s="5">
        <v>1249</v>
      </c>
      <c r="C235" s="19">
        <v>23</v>
      </c>
      <c r="E235" s="14"/>
      <c r="F235" s="11"/>
      <c r="G235" s="11"/>
      <c r="H235" s="11"/>
      <c r="I235" s="11"/>
      <c r="J235" s="25"/>
      <c r="K235" s="11"/>
      <c r="L235" s="11"/>
      <c r="M235" s="19">
        <v>0</v>
      </c>
      <c r="O235" s="6"/>
      <c r="P235" s="16">
        <v>0</v>
      </c>
      <c r="Q235" s="16">
        <v>0</v>
      </c>
      <c r="R235" s="22"/>
      <c r="S235" s="22">
        <f t="shared" si="6"/>
        <v>0</v>
      </c>
      <c r="T235" s="5">
        <v>990</v>
      </c>
      <c r="U235" s="5">
        <v>461</v>
      </c>
      <c r="Y235" s="8"/>
      <c r="Z235" s="8"/>
      <c r="AA235" s="8"/>
      <c r="AB235" s="8"/>
      <c r="AC235" s="8"/>
      <c r="AD235" s="8"/>
      <c r="AE235" s="25"/>
      <c r="AF235" s="11"/>
      <c r="AG235" s="25"/>
      <c r="AH235" s="11"/>
      <c r="AI235" s="11">
        <v>48</v>
      </c>
      <c r="AJ235" s="19">
        <v>0</v>
      </c>
      <c r="AK235" s="12">
        <f>(AJ235+AI235)/30*7</f>
        <v>11.200000000000001</v>
      </c>
      <c r="AL235" s="6">
        <f>IF(AK235-C235&lt;0,0,AK235-C235)</f>
        <v>0</v>
      </c>
      <c r="AM235" s="6">
        <f>IF(AL235-R235-S235&lt;0,0,AL235-R235-S235)</f>
        <v>0</v>
      </c>
      <c r="AN235" s="5" t="str">
        <f t="shared" si="7"/>
        <v/>
      </c>
      <c r="AO235" s="5">
        <v>0</v>
      </c>
      <c r="AP235" s="9"/>
      <c r="AQ235" s="5" t="s">
        <v>1210</v>
      </c>
      <c r="AR235" s="5" t="s">
        <v>1210</v>
      </c>
      <c r="AS235" s="8"/>
      <c r="AT235" s="8"/>
      <c r="AU235" s="8"/>
      <c r="AV235" s="8"/>
      <c r="AW235" s="8"/>
      <c r="AX235" s="8"/>
      <c r="AY235" s="8"/>
      <c r="AZ235" s="8"/>
    </row>
    <row r="236" spans="1:52">
      <c r="A236" s="5" t="s">
        <v>781</v>
      </c>
      <c r="B236" s="5">
        <v>728</v>
      </c>
      <c r="C236" s="19">
        <v>28</v>
      </c>
      <c r="E236" s="14"/>
      <c r="F236" s="11"/>
      <c r="G236" s="11"/>
      <c r="H236" s="11"/>
      <c r="I236" s="11"/>
      <c r="J236" s="25"/>
      <c r="K236" s="11"/>
      <c r="L236" s="11"/>
      <c r="M236" s="19">
        <v>0</v>
      </c>
      <c r="O236" s="6"/>
      <c r="P236" s="16">
        <v>727</v>
      </c>
      <c r="Q236" s="16">
        <v>0</v>
      </c>
      <c r="R236" s="22"/>
      <c r="S236" s="22">
        <f t="shared" si="6"/>
        <v>0</v>
      </c>
      <c r="T236" s="5" t="s">
        <v>1210</v>
      </c>
      <c r="U236" s="5" t="s">
        <v>1210</v>
      </c>
      <c r="Y236" s="8"/>
      <c r="Z236" s="8"/>
      <c r="AA236" s="8"/>
      <c r="AB236" s="8"/>
      <c r="AC236" s="8"/>
      <c r="AD236" s="8"/>
      <c r="AE236" s="25"/>
      <c r="AF236" s="11"/>
      <c r="AG236" s="25"/>
      <c r="AH236" s="11"/>
      <c r="AI236" s="11">
        <v>47</v>
      </c>
      <c r="AJ236" s="19">
        <v>0</v>
      </c>
      <c r="AK236" s="12">
        <f>(AJ236+AI236)/30*7</f>
        <v>10.966666666666667</v>
      </c>
      <c r="AL236" s="6">
        <f>IF(AK236-C236&lt;0,0,AK236-C236)</f>
        <v>0</v>
      </c>
      <c r="AM236" s="6">
        <f>IF(AL236-R236-S236&lt;0,0,AL236-R236-S236)</f>
        <v>0</v>
      </c>
      <c r="AN236" s="5" t="str">
        <f t="shared" si="7"/>
        <v/>
      </c>
      <c r="AO236" s="5">
        <v>0</v>
      </c>
      <c r="AP236" s="9"/>
      <c r="AQ236" s="5" t="s">
        <v>1210</v>
      </c>
      <c r="AR236" s="5" t="s">
        <v>1230</v>
      </c>
      <c r="AS236" s="8"/>
      <c r="AT236" s="8"/>
      <c r="AU236" s="8"/>
      <c r="AV236" s="8"/>
      <c r="AW236" s="8"/>
      <c r="AX236" s="8"/>
      <c r="AY236" s="8"/>
      <c r="AZ236" s="8"/>
    </row>
    <row r="237" spans="1:52">
      <c r="A237" s="5" t="s">
        <v>694</v>
      </c>
      <c r="B237" s="5">
        <v>544</v>
      </c>
      <c r="C237" s="19">
        <v>18</v>
      </c>
      <c r="E237" s="14"/>
      <c r="F237" s="11"/>
      <c r="G237" s="11"/>
      <c r="H237" s="11"/>
      <c r="I237" s="11"/>
      <c r="J237" s="25"/>
      <c r="K237" s="11"/>
      <c r="L237" s="11"/>
      <c r="M237" s="19">
        <v>0</v>
      </c>
      <c r="O237" s="6"/>
      <c r="P237" s="16">
        <v>0</v>
      </c>
      <c r="Q237" s="16">
        <v>0</v>
      </c>
      <c r="R237" s="22"/>
      <c r="S237" s="22">
        <f t="shared" si="6"/>
        <v>0</v>
      </c>
      <c r="T237" s="5">
        <v>662</v>
      </c>
      <c r="U237" s="5">
        <v>977</v>
      </c>
      <c r="Y237" s="8"/>
      <c r="Z237" s="8"/>
      <c r="AA237" s="8"/>
      <c r="AB237" s="8"/>
      <c r="AC237" s="8"/>
      <c r="AD237" s="8"/>
      <c r="AE237" s="25"/>
      <c r="AF237" s="11"/>
      <c r="AG237" s="25"/>
      <c r="AH237" s="11"/>
      <c r="AI237" s="11">
        <v>47</v>
      </c>
      <c r="AJ237" s="19">
        <v>0</v>
      </c>
      <c r="AK237" s="12">
        <f>(AJ237+AI237)/30*7</f>
        <v>10.966666666666667</v>
      </c>
      <c r="AL237" s="6">
        <f>IF(AK237-C237&lt;0,0,AK237-C237)</f>
        <v>0</v>
      </c>
      <c r="AM237" s="6">
        <f>IF(AL237-R237-S237&lt;0,0,AL237-R237-S237)</f>
        <v>0</v>
      </c>
      <c r="AN237" s="5" t="str">
        <f t="shared" si="7"/>
        <v/>
      </c>
      <c r="AO237" s="5">
        <v>0</v>
      </c>
      <c r="AP237" s="9"/>
      <c r="AQ237" s="5" t="s">
        <v>1210</v>
      </c>
      <c r="AR237" s="5" t="s">
        <v>1210</v>
      </c>
      <c r="AS237" s="8"/>
      <c r="AT237" s="8"/>
      <c r="AU237" s="8"/>
      <c r="AV237" s="8"/>
      <c r="AW237" s="8"/>
      <c r="AX237" s="8"/>
      <c r="AY237" s="8"/>
      <c r="AZ237" s="8"/>
    </row>
    <row r="238" spans="1:52">
      <c r="A238" s="5" t="s">
        <v>1055</v>
      </c>
      <c r="B238" s="5">
        <v>737</v>
      </c>
      <c r="C238" s="19">
        <v>37</v>
      </c>
      <c r="E238" s="14"/>
      <c r="F238" s="11"/>
      <c r="G238" s="11"/>
      <c r="H238" s="11"/>
      <c r="I238" s="11"/>
      <c r="J238" s="25"/>
      <c r="K238" s="11"/>
      <c r="L238" s="11"/>
      <c r="M238" s="19">
        <v>0</v>
      </c>
      <c r="O238" s="6"/>
      <c r="P238" s="16">
        <v>0</v>
      </c>
      <c r="Q238" s="16">
        <v>0</v>
      </c>
      <c r="R238" s="22"/>
      <c r="S238" s="22">
        <f t="shared" si="6"/>
        <v>0</v>
      </c>
      <c r="T238" s="5" t="s">
        <v>1210</v>
      </c>
      <c r="U238" s="5" t="s">
        <v>1210</v>
      </c>
      <c r="Y238" s="8"/>
      <c r="Z238" s="8"/>
      <c r="AA238" s="8"/>
      <c r="AB238" s="8"/>
      <c r="AC238" s="8"/>
      <c r="AD238" s="8"/>
      <c r="AE238" s="25"/>
      <c r="AF238" s="11"/>
      <c r="AG238" s="25"/>
      <c r="AH238" s="11"/>
      <c r="AI238" s="11">
        <v>47</v>
      </c>
      <c r="AJ238" s="19">
        <v>0</v>
      </c>
      <c r="AK238" s="12">
        <f>(AJ238+AI238)/30*7</f>
        <v>10.966666666666667</v>
      </c>
      <c r="AL238" s="6">
        <f>IF(AK238-C238&lt;0,0,AK238-C238)</f>
        <v>0</v>
      </c>
      <c r="AM238" s="6">
        <f>IF(AL238-R238-S238&lt;0,0,AL238-R238-S238)</f>
        <v>0</v>
      </c>
      <c r="AN238" s="5" t="str">
        <f t="shared" si="7"/>
        <v/>
      </c>
      <c r="AO238" s="5">
        <v>0</v>
      </c>
      <c r="AP238" s="9"/>
      <c r="AQ238" s="5" t="s">
        <v>1210</v>
      </c>
      <c r="AR238" s="5" t="s">
        <v>1210</v>
      </c>
      <c r="AS238" s="8"/>
      <c r="AT238" s="8"/>
      <c r="AU238" s="8"/>
      <c r="AV238" s="8"/>
      <c r="AW238" s="8"/>
      <c r="AX238" s="8"/>
      <c r="AY238" s="8"/>
      <c r="AZ238" s="8"/>
    </row>
    <row r="239" spans="1:52">
      <c r="A239" s="5" t="s">
        <v>1103</v>
      </c>
      <c r="B239" s="5">
        <v>1771</v>
      </c>
      <c r="C239" s="19">
        <v>33</v>
      </c>
      <c r="E239" s="14"/>
      <c r="F239" s="11"/>
      <c r="G239" s="11"/>
      <c r="H239" s="11"/>
      <c r="I239" s="11"/>
      <c r="J239" s="25"/>
      <c r="K239" s="11"/>
      <c r="L239" s="11"/>
      <c r="M239" s="19">
        <v>0</v>
      </c>
      <c r="O239" s="6"/>
      <c r="P239" s="16">
        <v>319</v>
      </c>
      <c r="Q239" s="16">
        <v>0</v>
      </c>
      <c r="R239" s="22"/>
      <c r="S239" s="22">
        <f t="shared" si="6"/>
        <v>0</v>
      </c>
      <c r="T239" s="5">
        <v>1668</v>
      </c>
      <c r="U239" s="5">
        <v>441</v>
      </c>
      <c r="Y239" s="8"/>
      <c r="Z239" s="8"/>
      <c r="AA239" s="8"/>
      <c r="AB239" s="8"/>
      <c r="AC239" s="8"/>
      <c r="AD239" s="8"/>
      <c r="AE239" s="25"/>
      <c r="AF239" s="11"/>
      <c r="AG239" s="25"/>
      <c r="AH239" s="11"/>
      <c r="AI239" s="11">
        <v>47</v>
      </c>
      <c r="AJ239" s="19">
        <v>0</v>
      </c>
      <c r="AK239" s="12">
        <f>(AJ239+AI239)/30*7</f>
        <v>10.966666666666667</v>
      </c>
      <c r="AL239" s="6">
        <f>IF(AK239-C239&lt;0,0,AK239-C239)</f>
        <v>0</v>
      </c>
      <c r="AM239" s="6">
        <f>IF(AL239-R239-S239&lt;0,0,AL239-R239-S239)</f>
        <v>0</v>
      </c>
      <c r="AN239" s="5" t="str">
        <f t="shared" si="7"/>
        <v/>
      </c>
      <c r="AO239" s="5">
        <v>0</v>
      </c>
      <c r="AP239" s="9"/>
      <c r="AQ239" s="5" t="s">
        <v>1210</v>
      </c>
      <c r="AR239" s="5" t="s">
        <v>1230</v>
      </c>
      <c r="AS239" s="8"/>
      <c r="AT239" s="8"/>
      <c r="AU239" s="8"/>
      <c r="AV239" s="8"/>
      <c r="AW239" s="8"/>
      <c r="AX239" s="8"/>
      <c r="AY239" s="8"/>
      <c r="AZ239" s="8"/>
    </row>
    <row r="240" spans="1:52">
      <c r="A240" s="5" t="s">
        <v>986</v>
      </c>
      <c r="B240" s="5">
        <v>2023</v>
      </c>
      <c r="C240" s="19">
        <v>27</v>
      </c>
      <c r="E240" s="14"/>
      <c r="F240" s="11"/>
      <c r="G240" s="11"/>
      <c r="H240" s="11"/>
      <c r="I240" s="11"/>
      <c r="J240" s="25"/>
      <c r="K240" s="11"/>
      <c r="L240" s="11"/>
      <c r="M240" s="19">
        <v>0</v>
      </c>
      <c r="O240" s="6"/>
      <c r="P240" s="16">
        <v>0</v>
      </c>
      <c r="Q240" s="16">
        <v>0</v>
      </c>
      <c r="R240" s="22"/>
      <c r="S240" s="22">
        <f t="shared" si="6"/>
        <v>0</v>
      </c>
      <c r="T240" s="5">
        <v>1815</v>
      </c>
      <c r="U240" s="5">
        <v>657</v>
      </c>
      <c r="Y240" s="8"/>
      <c r="Z240" s="8"/>
      <c r="AA240" s="8"/>
      <c r="AB240" s="8"/>
      <c r="AC240" s="8"/>
      <c r="AD240" s="8"/>
      <c r="AE240" s="25"/>
      <c r="AF240" s="11"/>
      <c r="AG240" s="25"/>
      <c r="AH240" s="11"/>
      <c r="AI240" s="11">
        <v>47</v>
      </c>
      <c r="AJ240" s="19">
        <v>0</v>
      </c>
      <c r="AK240" s="12">
        <f>(AJ240+AI240)/30*7</f>
        <v>10.966666666666667</v>
      </c>
      <c r="AL240" s="6">
        <f>IF(AK240-C240&lt;0,0,AK240-C240)</f>
        <v>0</v>
      </c>
      <c r="AM240" s="6">
        <f>IF(AL240-R240-S240&lt;0,0,AL240-R240-S240)</f>
        <v>0</v>
      </c>
      <c r="AN240" s="5" t="str">
        <f t="shared" si="7"/>
        <v/>
      </c>
      <c r="AO240" s="5">
        <v>0</v>
      </c>
      <c r="AP240" s="9"/>
      <c r="AQ240" s="5" t="s">
        <v>1210</v>
      </c>
      <c r="AR240" s="5" t="s">
        <v>1210</v>
      </c>
      <c r="AS240" s="8"/>
      <c r="AT240" s="8"/>
      <c r="AU240" s="8"/>
      <c r="AV240" s="8"/>
      <c r="AW240" s="8"/>
      <c r="AX240" s="8"/>
      <c r="AY240" s="8"/>
      <c r="AZ240" s="8"/>
    </row>
    <row r="241" spans="1:52">
      <c r="A241" s="5" t="s">
        <v>984</v>
      </c>
      <c r="B241" s="5">
        <v>504</v>
      </c>
      <c r="C241" s="19">
        <v>38</v>
      </c>
      <c r="E241" s="14"/>
      <c r="F241" s="11"/>
      <c r="G241" s="11"/>
      <c r="H241" s="11"/>
      <c r="I241" s="11"/>
      <c r="J241" s="25"/>
      <c r="K241" s="11"/>
      <c r="L241" s="11"/>
      <c r="M241" s="19">
        <v>0</v>
      </c>
      <c r="O241" s="6"/>
      <c r="P241" s="16">
        <v>0</v>
      </c>
      <c r="Q241" s="16">
        <v>0</v>
      </c>
      <c r="R241" s="22"/>
      <c r="S241" s="22">
        <f t="shared" si="6"/>
        <v>0</v>
      </c>
      <c r="T241" s="5" t="s">
        <v>1210</v>
      </c>
      <c r="U241" s="5" t="s">
        <v>1210</v>
      </c>
      <c r="Y241" s="8"/>
      <c r="Z241" s="8"/>
      <c r="AA241" s="8"/>
      <c r="AB241" s="8"/>
      <c r="AC241" s="8"/>
      <c r="AD241" s="8"/>
      <c r="AE241" s="25"/>
      <c r="AF241" s="11"/>
      <c r="AG241" s="25"/>
      <c r="AH241" s="11"/>
      <c r="AI241" s="11">
        <v>46</v>
      </c>
      <c r="AJ241" s="19">
        <v>0</v>
      </c>
      <c r="AK241" s="12">
        <f>(AJ241+AI241)/30*7</f>
        <v>10.733333333333334</v>
      </c>
      <c r="AL241" s="6">
        <f>IF(AK241-C241&lt;0,0,AK241-C241)</f>
        <v>0</v>
      </c>
      <c r="AM241" s="6">
        <f>IF(AL241-R241-S241&lt;0,0,AL241-R241-S241)</f>
        <v>0</v>
      </c>
      <c r="AN241" s="5" t="str">
        <f t="shared" si="7"/>
        <v/>
      </c>
      <c r="AO241" s="5">
        <v>0</v>
      </c>
      <c r="AP241" s="9"/>
      <c r="AQ241" s="5" t="s">
        <v>1210</v>
      </c>
      <c r="AR241" s="5" t="s">
        <v>1210</v>
      </c>
      <c r="AS241" s="8"/>
      <c r="AT241" s="8"/>
      <c r="AU241" s="8"/>
      <c r="AV241" s="8"/>
      <c r="AW241" s="8"/>
      <c r="AX241" s="8"/>
      <c r="AY241" s="8"/>
      <c r="AZ241" s="8"/>
    </row>
    <row r="242" spans="1:52">
      <c r="A242" s="5" t="s">
        <v>887</v>
      </c>
      <c r="B242" s="5">
        <v>697</v>
      </c>
      <c r="C242" s="19">
        <v>23</v>
      </c>
      <c r="E242" s="14"/>
      <c r="F242" s="11"/>
      <c r="G242" s="11"/>
      <c r="H242" s="11"/>
      <c r="I242" s="11"/>
      <c r="J242" s="25"/>
      <c r="K242" s="11"/>
      <c r="L242" s="11"/>
      <c r="M242" s="19">
        <v>0</v>
      </c>
      <c r="O242" s="6"/>
      <c r="P242" s="16">
        <v>0</v>
      </c>
      <c r="Q242" s="16">
        <v>0</v>
      </c>
      <c r="R242" s="22"/>
      <c r="S242" s="22">
        <f t="shared" si="6"/>
        <v>0</v>
      </c>
      <c r="T242" s="5">
        <v>476</v>
      </c>
      <c r="U242" s="5">
        <v>555</v>
      </c>
      <c r="Y242" s="8"/>
      <c r="Z242" s="8"/>
      <c r="AA242" s="8"/>
      <c r="AB242" s="8"/>
      <c r="AC242" s="8"/>
      <c r="AD242" s="8"/>
      <c r="AE242" s="25"/>
      <c r="AF242" s="11"/>
      <c r="AG242" s="25"/>
      <c r="AH242" s="11"/>
      <c r="AI242" s="11">
        <v>46</v>
      </c>
      <c r="AJ242" s="19">
        <v>0</v>
      </c>
      <c r="AK242" s="12">
        <f>(AJ242+AI242)/30*7</f>
        <v>10.733333333333334</v>
      </c>
      <c r="AL242" s="6">
        <f>IF(AK242-C242&lt;0,0,AK242-C242)</f>
        <v>0</v>
      </c>
      <c r="AM242" s="6">
        <f>IF(AL242-R242-S242&lt;0,0,AL242-R242-S242)</f>
        <v>0</v>
      </c>
      <c r="AN242" s="5" t="str">
        <f t="shared" si="7"/>
        <v/>
      </c>
      <c r="AO242" s="5">
        <v>0</v>
      </c>
      <c r="AP242" s="9"/>
      <c r="AQ242" s="5" t="s">
        <v>1210</v>
      </c>
      <c r="AR242" s="5" t="s">
        <v>1210</v>
      </c>
      <c r="AS242" s="8"/>
      <c r="AT242" s="8"/>
      <c r="AU242" s="8"/>
      <c r="AV242" s="8"/>
      <c r="AW242" s="8"/>
      <c r="AX242" s="8"/>
      <c r="AY242" s="8"/>
      <c r="AZ242" s="8"/>
    </row>
    <row r="243" spans="1:52">
      <c r="A243" s="5" t="s">
        <v>699</v>
      </c>
      <c r="B243" s="5">
        <v>704</v>
      </c>
      <c r="C243" s="19">
        <v>39</v>
      </c>
      <c r="E243" s="14"/>
      <c r="F243" s="11"/>
      <c r="G243" s="11"/>
      <c r="H243" s="11"/>
      <c r="I243" s="11"/>
      <c r="J243" s="25"/>
      <c r="K243" s="11"/>
      <c r="L243" s="11"/>
      <c r="M243" s="19">
        <v>0</v>
      </c>
      <c r="O243" s="6"/>
      <c r="P243" s="16">
        <v>223</v>
      </c>
      <c r="Q243" s="16">
        <v>0</v>
      </c>
      <c r="R243" s="22"/>
      <c r="S243" s="22">
        <f t="shared" si="6"/>
        <v>0</v>
      </c>
      <c r="T243" s="5">
        <v>696</v>
      </c>
      <c r="U243" s="5">
        <v>296</v>
      </c>
      <c r="Y243" s="8"/>
      <c r="Z243" s="8"/>
      <c r="AA243" s="8"/>
      <c r="AB243" s="8"/>
      <c r="AC243" s="8"/>
      <c r="AD243" s="8"/>
      <c r="AE243" s="25"/>
      <c r="AF243" s="11"/>
      <c r="AG243" s="25"/>
      <c r="AH243" s="11"/>
      <c r="AI243" s="11">
        <v>46</v>
      </c>
      <c r="AJ243" s="19">
        <v>0</v>
      </c>
      <c r="AK243" s="12">
        <f>(AJ243+AI243)/30*7</f>
        <v>10.733333333333334</v>
      </c>
      <c r="AL243" s="6">
        <f>IF(AK243-C243&lt;0,0,AK243-C243)</f>
        <v>0</v>
      </c>
      <c r="AM243" s="6">
        <f>IF(AL243-R243-S243&lt;0,0,AL243-R243-S243)</f>
        <v>0</v>
      </c>
      <c r="AN243" s="5" t="str">
        <f t="shared" si="7"/>
        <v/>
      </c>
      <c r="AO243" s="5">
        <v>0</v>
      </c>
      <c r="AP243" s="9"/>
      <c r="AQ243" s="5" t="s">
        <v>1210</v>
      </c>
      <c r="AR243" s="5" t="s">
        <v>1230</v>
      </c>
      <c r="AS243" s="8"/>
      <c r="AT243" s="8"/>
      <c r="AU243" s="8"/>
      <c r="AV243" s="8"/>
      <c r="AW243" s="8"/>
      <c r="AX243" s="8"/>
      <c r="AY243" s="8"/>
      <c r="AZ243" s="8"/>
    </row>
    <row r="244" spans="1:52">
      <c r="A244" s="5" t="s">
        <v>742</v>
      </c>
      <c r="B244" s="5">
        <v>1230</v>
      </c>
      <c r="C244" s="19">
        <v>31</v>
      </c>
      <c r="E244" s="14"/>
      <c r="F244" s="11"/>
      <c r="G244" s="11"/>
      <c r="H244" s="11"/>
      <c r="I244" s="11"/>
      <c r="J244" s="25"/>
      <c r="K244" s="11"/>
      <c r="L244" s="11"/>
      <c r="M244" s="19">
        <v>0</v>
      </c>
      <c r="O244" s="6"/>
      <c r="P244" s="16">
        <v>0</v>
      </c>
      <c r="Q244" s="16">
        <v>0</v>
      </c>
      <c r="R244" s="22"/>
      <c r="S244" s="22">
        <f t="shared" si="6"/>
        <v>0</v>
      </c>
      <c r="T244" s="5">
        <v>1044</v>
      </c>
      <c r="U244" s="5">
        <v>314</v>
      </c>
      <c r="Y244" s="8"/>
      <c r="Z244" s="8"/>
      <c r="AA244" s="8"/>
      <c r="AB244" s="8"/>
      <c r="AC244" s="8"/>
      <c r="AD244" s="8"/>
      <c r="AE244" s="25"/>
      <c r="AF244" s="11"/>
      <c r="AG244" s="25"/>
      <c r="AH244" s="11"/>
      <c r="AI244" s="11">
        <v>46</v>
      </c>
      <c r="AJ244" s="19">
        <v>0</v>
      </c>
      <c r="AK244" s="12">
        <f>(AJ244+AI244)/30*7</f>
        <v>10.733333333333334</v>
      </c>
      <c r="AL244" s="6">
        <f>IF(AK244-C244&lt;0,0,AK244-C244)</f>
        <v>0</v>
      </c>
      <c r="AM244" s="6">
        <f>IF(AL244-R244-S244&lt;0,0,AL244-R244-S244)</f>
        <v>0</v>
      </c>
      <c r="AN244" s="5" t="str">
        <f t="shared" si="7"/>
        <v/>
      </c>
      <c r="AO244" s="5">
        <v>0</v>
      </c>
      <c r="AP244" s="9"/>
      <c r="AQ244" s="5" t="s">
        <v>1210</v>
      </c>
      <c r="AR244" s="5" t="s">
        <v>1210</v>
      </c>
      <c r="AS244" s="8"/>
      <c r="AT244" s="8"/>
      <c r="AU244" s="8"/>
      <c r="AV244" s="8"/>
      <c r="AW244" s="8"/>
      <c r="AX244" s="8"/>
      <c r="AY244" s="8"/>
      <c r="AZ244" s="8"/>
    </row>
    <row r="245" spans="1:52">
      <c r="A245" s="5" t="s">
        <v>1113</v>
      </c>
      <c r="B245" s="5">
        <v>465</v>
      </c>
      <c r="C245" s="19">
        <v>20</v>
      </c>
      <c r="E245" s="14"/>
      <c r="F245" s="11"/>
      <c r="G245" s="11"/>
      <c r="H245" s="11"/>
      <c r="I245" s="11"/>
      <c r="J245" s="25"/>
      <c r="K245" s="11"/>
      <c r="L245" s="11"/>
      <c r="M245" s="19">
        <v>0</v>
      </c>
      <c r="O245" s="6"/>
      <c r="P245" s="16">
        <v>0</v>
      </c>
      <c r="Q245" s="16">
        <v>0</v>
      </c>
      <c r="R245" s="22"/>
      <c r="S245" s="22">
        <f t="shared" si="6"/>
        <v>0</v>
      </c>
      <c r="T245" s="5">
        <v>1578</v>
      </c>
      <c r="U245" s="5">
        <v>915</v>
      </c>
      <c r="Y245" s="8"/>
      <c r="Z245" s="8"/>
      <c r="AA245" s="8"/>
      <c r="AB245" s="8"/>
      <c r="AC245" s="8"/>
      <c r="AD245" s="8"/>
      <c r="AE245" s="25"/>
      <c r="AF245" s="11"/>
      <c r="AG245" s="25"/>
      <c r="AH245" s="11"/>
      <c r="AI245" s="11">
        <v>45</v>
      </c>
      <c r="AJ245" s="19">
        <v>0</v>
      </c>
      <c r="AK245" s="12">
        <f>(AJ245+AI245)/30*7</f>
        <v>10.5</v>
      </c>
      <c r="AL245" s="6">
        <f>IF(AK245-C245&lt;0,0,AK245-C245)</f>
        <v>0</v>
      </c>
      <c r="AM245" s="6">
        <f>IF(AL245-R245-S245&lt;0,0,AL245-R245-S245)</f>
        <v>0</v>
      </c>
      <c r="AN245" s="5" t="str">
        <f t="shared" si="7"/>
        <v/>
      </c>
      <c r="AO245" s="5">
        <v>0</v>
      </c>
      <c r="AP245" s="9"/>
      <c r="AQ245" s="5" t="s">
        <v>1210</v>
      </c>
      <c r="AR245" s="5" t="s">
        <v>1210</v>
      </c>
      <c r="AS245" s="8"/>
      <c r="AT245" s="8"/>
      <c r="AU245" s="8"/>
      <c r="AV245" s="8"/>
      <c r="AW245" s="8"/>
      <c r="AX245" s="8"/>
      <c r="AY245" s="8"/>
      <c r="AZ245" s="8"/>
    </row>
    <row r="246" spans="1:52">
      <c r="A246" s="5" t="s">
        <v>1035</v>
      </c>
      <c r="B246" s="5">
        <v>496</v>
      </c>
      <c r="C246" s="19">
        <v>25</v>
      </c>
      <c r="E246" s="14"/>
      <c r="F246" s="11"/>
      <c r="G246" s="11"/>
      <c r="H246" s="11"/>
      <c r="I246" s="11"/>
      <c r="J246" s="25"/>
      <c r="K246" s="11"/>
      <c r="L246" s="11"/>
      <c r="M246" s="19">
        <v>0</v>
      </c>
      <c r="O246" s="6"/>
      <c r="P246" s="16">
        <v>0</v>
      </c>
      <c r="Q246" s="16">
        <v>0</v>
      </c>
      <c r="R246" s="22"/>
      <c r="S246" s="22">
        <f t="shared" si="6"/>
        <v>0</v>
      </c>
      <c r="T246" s="5" t="s">
        <v>1210</v>
      </c>
      <c r="U246" s="5" t="s">
        <v>1210</v>
      </c>
      <c r="Y246" s="8"/>
      <c r="Z246" s="8"/>
      <c r="AA246" s="8"/>
      <c r="AB246" s="8"/>
      <c r="AC246" s="8"/>
      <c r="AD246" s="8"/>
      <c r="AE246" s="25"/>
      <c r="AF246" s="11"/>
      <c r="AG246" s="25"/>
      <c r="AH246" s="11"/>
      <c r="AI246" s="11">
        <v>45</v>
      </c>
      <c r="AJ246" s="19">
        <v>0</v>
      </c>
      <c r="AK246" s="12">
        <f>(AJ246+AI246)/30*7</f>
        <v>10.5</v>
      </c>
      <c r="AL246" s="6">
        <f>IF(AK246-C246&lt;0,0,AK246-C246)</f>
        <v>0</v>
      </c>
      <c r="AM246" s="6">
        <f>IF(AL246-R246-S246&lt;0,0,AL246-R246-S246)</f>
        <v>0</v>
      </c>
      <c r="AN246" s="5" t="str">
        <f t="shared" si="7"/>
        <v/>
      </c>
      <c r="AO246" s="5">
        <v>0</v>
      </c>
      <c r="AP246" s="9"/>
      <c r="AQ246" s="5" t="s">
        <v>1210</v>
      </c>
      <c r="AR246" s="5" t="s">
        <v>1210</v>
      </c>
      <c r="AS246" s="8"/>
      <c r="AT246" s="8"/>
      <c r="AU246" s="8"/>
      <c r="AV246" s="8"/>
      <c r="AW246" s="8"/>
      <c r="AX246" s="8"/>
      <c r="AY246" s="8"/>
      <c r="AZ246" s="8"/>
    </row>
    <row r="247" spans="1:52">
      <c r="A247" s="5" t="s">
        <v>564</v>
      </c>
      <c r="B247" s="5">
        <v>547</v>
      </c>
      <c r="C247" s="19">
        <v>30</v>
      </c>
      <c r="E247" s="14"/>
      <c r="F247" s="11"/>
      <c r="G247" s="11"/>
      <c r="H247" s="11"/>
      <c r="I247" s="11"/>
      <c r="J247" s="25"/>
      <c r="K247" s="11"/>
      <c r="L247" s="11"/>
      <c r="M247" s="19">
        <v>0</v>
      </c>
      <c r="O247" s="6"/>
      <c r="P247" s="16">
        <v>0</v>
      </c>
      <c r="Q247" s="16">
        <v>0</v>
      </c>
      <c r="R247" s="22"/>
      <c r="S247" s="22">
        <f t="shared" si="6"/>
        <v>0</v>
      </c>
      <c r="T247" s="5" t="s">
        <v>1210</v>
      </c>
      <c r="U247" s="5" t="s">
        <v>1210</v>
      </c>
      <c r="Y247" s="8"/>
      <c r="Z247" s="8"/>
      <c r="AA247" s="8"/>
      <c r="AB247" s="8"/>
      <c r="AC247" s="8"/>
      <c r="AD247" s="8"/>
      <c r="AE247" s="25"/>
      <c r="AF247" s="11"/>
      <c r="AG247" s="25"/>
      <c r="AH247" s="11"/>
      <c r="AI247" s="11">
        <v>45</v>
      </c>
      <c r="AJ247" s="19">
        <v>0</v>
      </c>
      <c r="AK247" s="12">
        <f>(AJ247+AI247)/30*7</f>
        <v>10.5</v>
      </c>
      <c r="AL247" s="6">
        <f>IF(AK247-C247&lt;0,0,AK247-C247)</f>
        <v>0</v>
      </c>
      <c r="AM247" s="6">
        <f>IF(AL247-R247-S247&lt;0,0,AL247-R247-S247)</f>
        <v>0</v>
      </c>
      <c r="AN247" s="5" t="str">
        <f t="shared" si="7"/>
        <v/>
      </c>
      <c r="AO247" s="5">
        <v>0</v>
      </c>
      <c r="AP247" s="9"/>
      <c r="AQ247" s="5" t="s">
        <v>1210</v>
      </c>
      <c r="AR247" s="5" t="s">
        <v>1210</v>
      </c>
      <c r="AS247" s="8"/>
      <c r="AT247" s="8"/>
      <c r="AU247" s="8"/>
      <c r="AV247" s="8"/>
      <c r="AW247" s="8"/>
      <c r="AX247" s="8"/>
      <c r="AY247" s="8"/>
      <c r="AZ247" s="8"/>
    </row>
    <row r="248" spans="1:52">
      <c r="A248" s="5" t="s">
        <v>720</v>
      </c>
      <c r="B248" s="5">
        <v>713</v>
      </c>
      <c r="C248" s="19">
        <v>29</v>
      </c>
      <c r="E248" s="14"/>
      <c r="F248" s="11"/>
      <c r="G248" s="11"/>
      <c r="H248" s="11"/>
      <c r="I248" s="11"/>
      <c r="J248" s="25"/>
      <c r="K248" s="11"/>
      <c r="L248" s="11"/>
      <c r="M248" s="19">
        <v>0</v>
      </c>
      <c r="O248" s="6"/>
      <c r="P248" s="16">
        <v>0</v>
      </c>
      <c r="Q248" s="16">
        <v>0</v>
      </c>
      <c r="R248" s="22"/>
      <c r="S248" s="22">
        <f t="shared" si="6"/>
        <v>0</v>
      </c>
      <c r="T248" s="5">
        <v>666</v>
      </c>
      <c r="U248" s="5">
        <v>960</v>
      </c>
      <c r="Y248" s="8"/>
      <c r="Z248" s="8"/>
      <c r="AA248" s="8"/>
      <c r="AB248" s="8"/>
      <c r="AC248" s="8"/>
      <c r="AD248" s="8"/>
      <c r="AE248" s="25"/>
      <c r="AF248" s="11"/>
      <c r="AG248" s="25"/>
      <c r="AH248" s="11"/>
      <c r="AI248" s="11">
        <v>45</v>
      </c>
      <c r="AJ248" s="19">
        <v>0</v>
      </c>
      <c r="AK248" s="12">
        <f>(AJ248+AI248)/30*7</f>
        <v>10.5</v>
      </c>
      <c r="AL248" s="6">
        <f>IF(AK248-C248&lt;0,0,AK248-C248)</f>
        <v>0</v>
      </c>
      <c r="AM248" s="6">
        <f>IF(AL248-R248-S248&lt;0,0,AL248-R248-S248)</f>
        <v>0</v>
      </c>
      <c r="AN248" s="5" t="str">
        <f t="shared" si="7"/>
        <v/>
      </c>
      <c r="AO248" s="5">
        <v>0</v>
      </c>
      <c r="AP248" s="9"/>
      <c r="AQ248" s="5" t="s">
        <v>1210</v>
      </c>
      <c r="AR248" s="5" t="s">
        <v>1210</v>
      </c>
      <c r="AS248" s="8"/>
      <c r="AT248" s="8"/>
      <c r="AU248" s="8"/>
      <c r="AV248" s="8"/>
      <c r="AW248" s="8"/>
      <c r="AX248" s="8"/>
      <c r="AY248" s="8"/>
      <c r="AZ248" s="8"/>
    </row>
    <row r="249" spans="1:52">
      <c r="A249" s="5" t="s">
        <v>595</v>
      </c>
      <c r="B249" s="5">
        <v>736</v>
      </c>
      <c r="C249" s="19">
        <v>32</v>
      </c>
      <c r="E249" s="14"/>
      <c r="F249" s="11"/>
      <c r="G249" s="11"/>
      <c r="H249" s="11"/>
      <c r="I249" s="11"/>
      <c r="J249" s="25"/>
      <c r="K249" s="11"/>
      <c r="L249" s="11"/>
      <c r="M249" s="19">
        <v>0</v>
      </c>
      <c r="O249" s="6"/>
      <c r="P249" s="16">
        <v>0</v>
      </c>
      <c r="Q249" s="16">
        <v>0</v>
      </c>
      <c r="R249" s="22"/>
      <c r="S249" s="22">
        <f t="shared" si="6"/>
        <v>0</v>
      </c>
      <c r="T249" s="5">
        <v>819</v>
      </c>
      <c r="U249" s="5">
        <v>499</v>
      </c>
      <c r="Y249" s="8"/>
      <c r="Z249" s="8"/>
      <c r="AA249" s="8"/>
      <c r="AB249" s="8"/>
      <c r="AC249" s="8"/>
      <c r="AD249" s="8"/>
      <c r="AE249" s="25"/>
      <c r="AF249" s="11"/>
      <c r="AG249" s="25"/>
      <c r="AH249" s="11"/>
      <c r="AI249" s="11">
        <v>45</v>
      </c>
      <c r="AJ249" s="19">
        <v>0</v>
      </c>
      <c r="AK249" s="12">
        <f>(AJ249+AI249)/30*7</f>
        <v>10.5</v>
      </c>
      <c r="AL249" s="6">
        <f>IF(AK249-C249&lt;0,0,AK249-C249)</f>
        <v>0</v>
      </c>
      <c r="AM249" s="6">
        <f>IF(AL249-R249-S249&lt;0,0,AL249-R249-S249)</f>
        <v>0</v>
      </c>
      <c r="AN249" s="5" t="str">
        <f t="shared" si="7"/>
        <v/>
      </c>
      <c r="AO249" s="5">
        <v>0</v>
      </c>
      <c r="AP249" s="9"/>
      <c r="AQ249" s="5" t="s">
        <v>1210</v>
      </c>
      <c r="AR249" s="5" t="s">
        <v>1210</v>
      </c>
      <c r="AS249" s="8"/>
      <c r="AT249" s="8"/>
      <c r="AU249" s="8"/>
      <c r="AV249" s="8"/>
      <c r="AW249" s="8"/>
      <c r="AX249" s="8"/>
      <c r="AY249" s="8"/>
      <c r="AZ249" s="8"/>
    </row>
    <row r="250" spans="1:52">
      <c r="A250" s="5" t="s">
        <v>937</v>
      </c>
      <c r="B250" s="5">
        <v>1319</v>
      </c>
      <c r="C250" s="19">
        <v>23</v>
      </c>
      <c r="E250" s="14"/>
      <c r="F250" s="11"/>
      <c r="G250" s="11"/>
      <c r="H250" s="11"/>
      <c r="I250" s="11"/>
      <c r="J250" s="25"/>
      <c r="K250" s="11"/>
      <c r="L250" s="11"/>
      <c r="M250" s="19">
        <v>0</v>
      </c>
      <c r="O250" s="6"/>
      <c r="P250" s="16">
        <v>0</v>
      </c>
      <c r="Q250" s="16">
        <v>0</v>
      </c>
      <c r="R250" s="22"/>
      <c r="S250" s="22">
        <f t="shared" si="6"/>
        <v>0</v>
      </c>
      <c r="T250" s="5">
        <v>1107</v>
      </c>
      <c r="U250" s="5">
        <v>834</v>
      </c>
      <c r="Y250" s="8"/>
      <c r="Z250" s="8"/>
      <c r="AA250" s="8"/>
      <c r="AB250" s="8"/>
      <c r="AC250" s="8"/>
      <c r="AD250" s="8"/>
      <c r="AE250" s="25"/>
      <c r="AF250" s="11"/>
      <c r="AG250" s="25"/>
      <c r="AH250" s="11"/>
      <c r="AI250" s="11">
        <v>45</v>
      </c>
      <c r="AJ250" s="19">
        <v>0</v>
      </c>
      <c r="AK250" s="12">
        <f>(AJ250+AI250)/30*7</f>
        <v>10.5</v>
      </c>
      <c r="AL250" s="6">
        <f>IF(AK250-C250&lt;0,0,AK250-C250)</f>
        <v>0</v>
      </c>
      <c r="AM250" s="6">
        <f>IF(AL250-R250-S250&lt;0,0,AL250-R250-S250)</f>
        <v>0</v>
      </c>
      <c r="AN250" s="5" t="str">
        <f t="shared" si="7"/>
        <v/>
      </c>
      <c r="AO250" s="5">
        <v>0</v>
      </c>
      <c r="AP250" s="9"/>
      <c r="AQ250" s="5" t="s">
        <v>1210</v>
      </c>
      <c r="AR250" s="5" t="s">
        <v>1210</v>
      </c>
      <c r="AS250" s="8"/>
      <c r="AT250" s="8"/>
      <c r="AU250" s="8"/>
      <c r="AV250" s="8"/>
      <c r="AW250" s="8"/>
      <c r="AX250" s="8"/>
      <c r="AY250" s="8"/>
      <c r="AZ250" s="8"/>
    </row>
    <row r="251" spans="1:52">
      <c r="A251" s="5" t="s">
        <v>629</v>
      </c>
      <c r="B251" s="5">
        <v>1724</v>
      </c>
      <c r="C251" s="19">
        <v>29</v>
      </c>
      <c r="E251" s="14"/>
      <c r="F251" s="11"/>
      <c r="G251" s="11"/>
      <c r="H251" s="11"/>
      <c r="I251" s="11"/>
      <c r="J251" s="25"/>
      <c r="K251" s="11"/>
      <c r="L251" s="11"/>
      <c r="M251" s="19">
        <v>0</v>
      </c>
      <c r="O251" s="6"/>
      <c r="P251" s="16">
        <v>0</v>
      </c>
      <c r="Q251" s="16">
        <v>0</v>
      </c>
      <c r="R251" s="22"/>
      <c r="S251" s="22">
        <f t="shared" si="6"/>
        <v>0</v>
      </c>
      <c r="T251" s="5">
        <v>1585</v>
      </c>
      <c r="U251" s="5">
        <v>558</v>
      </c>
      <c r="Y251" s="8"/>
      <c r="Z251" s="8"/>
      <c r="AA251" s="8"/>
      <c r="AB251" s="8"/>
      <c r="AC251" s="8"/>
      <c r="AD251" s="8"/>
      <c r="AE251" s="25"/>
      <c r="AF251" s="11"/>
      <c r="AG251" s="25"/>
      <c r="AH251" s="11"/>
      <c r="AI251" s="11">
        <v>45</v>
      </c>
      <c r="AJ251" s="19">
        <v>0</v>
      </c>
      <c r="AK251" s="12">
        <f>(AJ251+AI251)/30*7</f>
        <v>10.5</v>
      </c>
      <c r="AL251" s="6">
        <f>IF(AK251-C251&lt;0,0,AK251-C251)</f>
        <v>0</v>
      </c>
      <c r="AM251" s="6">
        <f>IF(AL251-R251-S251&lt;0,0,AL251-R251-S251)</f>
        <v>0</v>
      </c>
      <c r="AN251" s="5" t="str">
        <f t="shared" si="7"/>
        <v/>
      </c>
      <c r="AO251" s="5">
        <v>0</v>
      </c>
      <c r="AP251" s="9"/>
      <c r="AQ251" s="5" t="s">
        <v>1210</v>
      </c>
      <c r="AR251" s="5" t="s">
        <v>1210</v>
      </c>
      <c r="AS251" s="8"/>
      <c r="AT251" s="8"/>
      <c r="AU251" s="8"/>
      <c r="AV251" s="8"/>
      <c r="AW251" s="8"/>
      <c r="AX251" s="8"/>
      <c r="AY251" s="8"/>
      <c r="AZ251" s="8"/>
    </row>
    <row r="252" spans="1:52">
      <c r="A252" s="5" t="s">
        <v>596</v>
      </c>
      <c r="B252" s="5">
        <v>339</v>
      </c>
      <c r="C252" s="19">
        <v>37</v>
      </c>
      <c r="E252" s="14"/>
      <c r="F252" s="11"/>
      <c r="G252" s="11"/>
      <c r="H252" s="11"/>
      <c r="I252" s="11"/>
      <c r="J252" s="25"/>
      <c r="K252" s="11"/>
      <c r="L252" s="11"/>
      <c r="M252" s="19">
        <v>0</v>
      </c>
      <c r="O252" s="6"/>
      <c r="P252" s="16">
        <v>0</v>
      </c>
      <c r="Q252" s="16">
        <v>0</v>
      </c>
      <c r="R252" s="22"/>
      <c r="S252" s="22">
        <f t="shared" si="6"/>
        <v>0</v>
      </c>
      <c r="T252" s="5">
        <v>374</v>
      </c>
      <c r="U252" s="5">
        <v>435</v>
      </c>
      <c r="Y252" s="8"/>
      <c r="Z252" s="8"/>
      <c r="AA252" s="8"/>
      <c r="AB252" s="8"/>
      <c r="AC252" s="8"/>
      <c r="AD252" s="8"/>
      <c r="AE252" s="25"/>
      <c r="AF252" s="11"/>
      <c r="AG252" s="25"/>
      <c r="AH252" s="11"/>
      <c r="AI252" s="11">
        <v>44</v>
      </c>
      <c r="AJ252" s="19">
        <v>0</v>
      </c>
      <c r="AK252" s="12">
        <f>(AJ252+AI252)/30*7</f>
        <v>10.266666666666666</v>
      </c>
      <c r="AL252" s="6">
        <f>IF(AK252-C252&lt;0,0,AK252-C252)</f>
        <v>0</v>
      </c>
      <c r="AM252" s="6">
        <f>IF(AL252-R252-S252&lt;0,0,AL252-R252-S252)</f>
        <v>0</v>
      </c>
      <c r="AN252" s="5" t="str">
        <f t="shared" si="7"/>
        <v/>
      </c>
      <c r="AO252" s="5">
        <v>0</v>
      </c>
      <c r="AP252" s="9"/>
      <c r="AQ252" s="5" t="s">
        <v>1210</v>
      </c>
      <c r="AR252" s="5" t="s">
        <v>1210</v>
      </c>
      <c r="AS252" s="8"/>
      <c r="AT252" s="8"/>
      <c r="AU252" s="8"/>
      <c r="AV252" s="8"/>
      <c r="AW252" s="8"/>
      <c r="AX252" s="8"/>
      <c r="AY252" s="8"/>
      <c r="AZ252" s="8"/>
    </row>
    <row r="253" spans="1:52">
      <c r="A253" s="5" t="s">
        <v>1109</v>
      </c>
      <c r="B253" s="5">
        <v>403</v>
      </c>
      <c r="C253" s="19">
        <v>16</v>
      </c>
      <c r="E253" s="14"/>
      <c r="F253" s="11"/>
      <c r="G253" s="11"/>
      <c r="H253" s="11"/>
      <c r="I253" s="11"/>
      <c r="J253" s="25"/>
      <c r="K253" s="11"/>
      <c r="L253" s="11"/>
      <c r="M253" s="19">
        <v>0</v>
      </c>
      <c r="O253" s="6"/>
      <c r="P253" s="16">
        <v>0</v>
      </c>
      <c r="Q253" s="16">
        <v>0</v>
      </c>
      <c r="R253" s="22"/>
      <c r="S253" s="22">
        <f t="shared" si="6"/>
        <v>0</v>
      </c>
      <c r="T253" s="5" t="s">
        <v>1210</v>
      </c>
      <c r="U253" s="5" t="s">
        <v>1210</v>
      </c>
      <c r="Y253" s="8"/>
      <c r="Z253" s="8"/>
      <c r="AA253" s="8"/>
      <c r="AB253" s="8"/>
      <c r="AC253" s="8"/>
      <c r="AD253" s="8"/>
      <c r="AE253" s="25"/>
      <c r="AF253" s="11"/>
      <c r="AG253" s="25"/>
      <c r="AH253" s="11"/>
      <c r="AI253" s="11">
        <v>44</v>
      </c>
      <c r="AJ253" s="19">
        <v>0</v>
      </c>
      <c r="AK253" s="12">
        <f>(AJ253+AI253)/30*7</f>
        <v>10.266666666666666</v>
      </c>
      <c r="AL253" s="6">
        <f>IF(AK253-C253&lt;0,0,AK253-C253)</f>
        <v>0</v>
      </c>
      <c r="AM253" s="6">
        <f>IF(AL253-R253-S253&lt;0,0,AL253-R253-S253)</f>
        <v>0</v>
      </c>
      <c r="AN253" s="5" t="str">
        <f t="shared" si="7"/>
        <v/>
      </c>
      <c r="AO253" s="5">
        <v>0</v>
      </c>
      <c r="AP253" s="9"/>
      <c r="AQ253" s="5" t="s">
        <v>1210</v>
      </c>
      <c r="AR253" s="5" t="s">
        <v>1210</v>
      </c>
      <c r="AS253" s="8"/>
      <c r="AT253" s="8"/>
      <c r="AU253" s="8"/>
      <c r="AV253" s="8"/>
      <c r="AW253" s="8"/>
      <c r="AX253" s="8"/>
      <c r="AY253" s="8"/>
      <c r="AZ253" s="8"/>
    </row>
    <row r="254" spans="1:52">
      <c r="A254" s="5" t="s">
        <v>976</v>
      </c>
      <c r="B254" s="5">
        <v>766</v>
      </c>
      <c r="C254" s="19">
        <v>35</v>
      </c>
      <c r="E254" s="14"/>
      <c r="F254" s="11"/>
      <c r="G254" s="11"/>
      <c r="H254" s="11"/>
      <c r="I254" s="11"/>
      <c r="J254" s="25"/>
      <c r="K254" s="11"/>
      <c r="L254" s="11"/>
      <c r="M254" s="19">
        <v>0</v>
      </c>
      <c r="O254" s="6"/>
      <c r="P254" s="16">
        <v>0</v>
      </c>
      <c r="Q254" s="16">
        <v>0</v>
      </c>
      <c r="R254" s="22"/>
      <c r="S254" s="22">
        <f t="shared" si="6"/>
        <v>0</v>
      </c>
      <c r="T254" s="5">
        <v>649</v>
      </c>
      <c r="U254" s="5">
        <v>748</v>
      </c>
      <c r="Y254" s="8"/>
      <c r="Z254" s="8"/>
      <c r="AA254" s="8"/>
      <c r="AB254" s="8"/>
      <c r="AC254" s="8"/>
      <c r="AD254" s="8"/>
      <c r="AE254" s="25"/>
      <c r="AF254" s="11"/>
      <c r="AG254" s="25"/>
      <c r="AH254" s="11"/>
      <c r="AI254" s="11">
        <v>44</v>
      </c>
      <c r="AJ254" s="19">
        <v>0</v>
      </c>
      <c r="AK254" s="12">
        <f>(AJ254+AI254)/30*7</f>
        <v>10.266666666666666</v>
      </c>
      <c r="AL254" s="6">
        <f>IF(AK254-C254&lt;0,0,AK254-C254)</f>
        <v>0</v>
      </c>
      <c r="AM254" s="6">
        <f>IF(AL254-R254-S254&lt;0,0,AL254-R254-S254)</f>
        <v>0</v>
      </c>
      <c r="AN254" s="5" t="str">
        <f t="shared" si="7"/>
        <v/>
      </c>
      <c r="AO254" s="5">
        <v>0</v>
      </c>
      <c r="AP254" s="9"/>
      <c r="AQ254" s="5" t="s">
        <v>1210</v>
      </c>
      <c r="AR254" s="5" t="s">
        <v>1210</v>
      </c>
      <c r="AS254" s="8"/>
      <c r="AT254" s="8"/>
      <c r="AU254" s="8"/>
      <c r="AV254" s="8"/>
      <c r="AW254" s="8"/>
      <c r="AX254" s="8"/>
      <c r="AY254" s="8"/>
      <c r="AZ254" s="8"/>
    </row>
    <row r="255" spans="1:52">
      <c r="A255" s="5" t="s">
        <v>722</v>
      </c>
      <c r="B255" s="5">
        <v>891</v>
      </c>
      <c r="C255" s="19">
        <v>35</v>
      </c>
      <c r="E255" s="14"/>
      <c r="F255" s="11"/>
      <c r="G255" s="11"/>
      <c r="H255" s="11"/>
      <c r="I255" s="11"/>
      <c r="J255" s="25"/>
      <c r="K255" s="11"/>
      <c r="L255" s="11"/>
      <c r="M255" s="19">
        <v>0</v>
      </c>
      <c r="O255" s="6"/>
      <c r="P255" s="16">
        <v>864</v>
      </c>
      <c r="Q255" s="16">
        <v>0</v>
      </c>
      <c r="R255" s="22"/>
      <c r="S255" s="22">
        <f t="shared" si="6"/>
        <v>0</v>
      </c>
      <c r="T255" s="5" t="s">
        <v>1210</v>
      </c>
      <c r="U255" s="5" t="s">
        <v>1210</v>
      </c>
      <c r="Y255" s="8"/>
      <c r="Z255" s="8"/>
      <c r="AA255" s="8"/>
      <c r="AB255" s="8"/>
      <c r="AC255" s="8"/>
      <c r="AD255" s="8"/>
      <c r="AE255" s="25"/>
      <c r="AF255" s="11"/>
      <c r="AG255" s="25"/>
      <c r="AH255" s="11"/>
      <c r="AI255" s="11">
        <v>44</v>
      </c>
      <c r="AJ255" s="19">
        <v>0</v>
      </c>
      <c r="AK255" s="12">
        <f>(AJ255+AI255)/30*7</f>
        <v>10.266666666666666</v>
      </c>
      <c r="AL255" s="6">
        <f>IF(AK255-C255&lt;0,0,AK255-C255)</f>
        <v>0</v>
      </c>
      <c r="AM255" s="6">
        <f>IF(AL255-R255-S255&lt;0,0,AL255-R255-S255)</f>
        <v>0</v>
      </c>
      <c r="AN255" s="5" t="str">
        <f t="shared" si="7"/>
        <v/>
      </c>
      <c r="AO255" s="5">
        <v>0</v>
      </c>
      <c r="AP255" s="9"/>
      <c r="AQ255" s="5" t="s">
        <v>1210</v>
      </c>
      <c r="AR255" s="5" t="s">
        <v>1230</v>
      </c>
      <c r="AS255" s="8"/>
      <c r="AT255" s="8"/>
      <c r="AU255" s="8"/>
      <c r="AV255" s="8"/>
      <c r="AW255" s="8"/>
      <c r="AX255" s="8"/>
      <c r="AY255" s="8"/>
      <c r="AZ255" s="8"/>
    </row>
    <row r="256" spans="1:52">
      <c r="A256" s="5" t="s">
        <v>800</v>
      </c>
      <c r="B256" s="5">
        <v>1270</v>
      </c>
      <c r="C256" s="19">
        <v>35</v>
      </c>
      <c r="E256" s="14"/>
      <c r="F256" s="11"/>
      <c r="G256" s="11"/>
      <c r="H256" s="11"/>
      <c r="I256" s="11"/>
      <c r="J256" s="25"/>
      <c r="K256" s="11"/>
      <c r="L256" s="11"/>
      <c r="M256" s="19">
        <v>0</v>
      </c>
      <c r="O256" s="6"/>
      <c r="P256" s="16">
        <v>0</v>
      </c>
      <c r="Q256" s="16">
        <v>0</v>
      </c>
      <c r="R256" s="22"/>
      <c r="S256" s="22">
        <f t="shared" si="6"/>
        <v>0</v>
      </c>
      <c r="T256" s="5">
        <v>1053</v>
      </c>
      <c r="U256" s="5">
        <v>765</v>
      </c>
      <c r="Y256" s="8"/>
      <c r="Z256" s="8"/>
      <c r="AA256" s="8"/>
      <c r="AB256" s="8"/>
      <c r="AC256" s="8"/>
      <c r="AD256" s="8"/>
      <c r="AE256" s="25"/>
      <c r="AF256" s="11"/>
      <c r="AG256" s="25"/>
      <c r="AH256" s="11"/>
      <c r="AI256" s="11">
        <v>44</v>
      </c>
      <c r="AJ256" s="19">
        <v>0</v>
      </c>
      <c r="AK256" s="12">
        <f>(AJ256+AI256)/30*7</f>
        <v>10.266666666666666</v>
      </c>
      <c r="AL256" s="6">
        <f>IF(AK256-C256&lt;0,0,AK256-C256)</f>
        <v>0</v>
      </c>
      <c r="AM256" s="6">
        <f>IF(AL256-R256-S256&lt;0,0,AL256-R256-S256)</f>
        <v>0</v>
      </c>
      <c r="AN256" s="5" t="str">
        <f t="shared" si="7"/>
        <v/>
      </c>
      <c r="AO256" s="5">
        <v>0</v>
      </c>
      <c r="AP256" s="9"/>
      <c r="AQ256" s="5" t="s">
        <v>1210</v>
      </c>
      <c r="AR256" s="5" t="s">
        <v>1210</v>
      </c>
      <c r="AS256" s="8"/>
      <c r="AT256" s="8"/>
      <c r="AU256" s="8"/>
      <c r="AV256" s="8"/>
      <c r="AW256" s="8"/>
      <c r="AX256" s="8"/>
      <c r="AY256" s="8"/>
      <c r="AZ256" s="8"/>
    </row>
    <row r="257" spans="1:52">
      <c r="A257" s="5" t="s">
        <v>807</v>
      </c>
      <c r="B257" s="5">
        <v>1812</v>
      </c>
      <c r="C257" s="19">
        <v>37</v>
      </c>
      <c r="E257" s="14"/>
      <c r="F257" s="11"/>
      <c r="G257" s="11"/>
      <c r="H257" s="11"/>
      <c r="I257" s="11"/>
      <c r="J257" s="25"/>
      <c r="K257" s="11"/>
      <c r="L257" s="11"/>
      <c r="M257" s="19">
        <v>0</v>
      </c>
      <c r="O257" s="6"/>
      <c r="P257" s="16">
        <v>0</v>
      </c>
      <c r="Q257" s="16">
        <v>0</v>
      </c>
      <c r="R257" s="22"/>
      <c r="S257" s="22">
        <f t="shared" si="6"/>
        <v>0</v>
      </c>
      <c r="T257" s="5">
        <v>1848</v>
      </c>
      <c r="U257" s="5">
        <v>542</v>
      </c>
      <c r="Y257" s="8"/>
      <c r="Z257" s="8"/>
      <c r="AA257" s="8"/>
      <c r="AB257" s="8"/>
      <c r="AC257" s="8"/>
      <c r="AD257" s="8"/>
      <c r="AE257" s="25"/>
      <c r="AF257" s="11"/>
      <c r="AG257" s="25"/>
      <c r="AH257" s="11"/>
      <c r="AI257" s="11">
        <v>44</v>
      </c>
      <c r="AJ257" s="19">
        <v>0</v>
      </c>
      <c r="AK257" s="12">
        <f>(AJ257+AI257)/30*7</f>
        <v>10.266666666666666</v>
      </c>
      <c r="AL257" s="6">
        <f>IF(AK257-C257&lt;0,0,AK257-C257)</f>
        <v>0</v>
      </c>
      <c r="AM257" s="6">
        <f>IF(AL257-R257-S257&lt;0,0,AL257-R257-S257)</f>
        <v>0</v>
      </c>
      <c r="AN257" s="5" t="str">
        <f t="shared" si="7"/>
        <v/>
      </c>
      <c r="AO257" s="5">
        <v>0</v>
      </c>
      <c r="AP257" s="9"/>
      <c r="AQ257" s="5" t="s">
        <v>1210</v>
      </c>
      <c r="AR257" s="5" t="s">
        <v>1230</v>
      </c>
      <c r="AS257" s="8"/>
      <c r="AT257" s="8"/>
      <c r="AU257" s="8"/>
      <c r="AV257" s="8"/>
      <c r="AW257" s="8"/>
      <c r="AX257" s="8"/>
      <c r="AY257" s="8"/>
      <c r="AZ257" s="8"/>
    </row>
    <row r="258" spans="1:52">
      <c r="A258" s="5" t="s">
        <v>905</v>
      </c>
      <c r="B258" s="5">
        <v>1828</v>
      </c>
      <c r="C258" s="19">
        <v>20</v>
      </c>
      <c r="E258" s="14"/>
      <c r="F258" s="11"/>
      <c r="G258" s="11"/>
      <c r="H258" s="11"/>
      <c r="I258" s="11"/>
      <c r="J258" s="25"/>
      <c r="K258" s="11"/>
      <c r="L258" s="11"/>
      <c r="M258" s="19">
        <v>0</v>
      </c>
      <c r="O258" s="6"/>
      <c r="P258" s="16">
        <v>874</v>
      </c>
      <c r="Q258" s="16">
        <v>0</v>
      </c>
      <c r="R258" s="22"/>
      <c r="S258" s="22">
        <f t="shared" si="6"/>
        <v>0</v>
      </c>
      <c r="T258" s="5">
        <v>1971</v>
      </c>
      <c r="U258" s="5">
        <v>593</v>
      </c>
      <c r="Y258" s="8"/>
      <c r="Z258" s="8"/>
      <c r="AA258" s="8"/>
      <c r="AB258" s="8"/>
      <c r="AC258" s="8"/>
      <c r="AD258" s="8"/>
      <c r="AE258" s="25"/>
      <c r="AF258" s="11"/>
      <c r="AG258" s="25"/>
      <c r="AH258" s="11"/>
      <c r="AI258" s="11">
        <v>44</v>
      </c>
      <c r="AJ258" s="19">
        <v>0</v>
      </c>
      <c r="AK258" s="12">
        <f>(AJ258+AI258)/30*7</f>
        <v>10.266666666666666</v>
      </c>
      <c r="AL258" s="6">
        <f>IF(AK258-C258&lt;0,0,AK258-C258)</f>
        <v>0</v>
      </c>
      <c r="AM258" s="6">
        <f>IF(AL258-R258-S258&lt;0,0,AL258-R258-S258)</f>
        <v>0</v>
      </c>
      <c r="AN258" s="5" t="str">
        <f t="shared" si="7"/>
        <v/>
      </c>
      <c r="AO258" s="5">
        <v>0</v>
      </c>
      <c r="AP258" s="9"/>
      <c r="AQ258" s="5" t="s">
        <v>1210</v>
      </c>
      <c r="AR258" s="5" t="s">
        <v>1230</v>
      </c>
      <c r="AS258" s="8"/>
      <c r="AT258" s="8"/>
      <c r="AU258" s="8"/>
      <c r="AV258" s="8"/>
      <c r="AW258" s="8"/>
      <c r="AX258" s="8"/>
      <c r="AY258" s="8"/>
      <c r="AZ258" s="8"/>
    </row>
    <row r="259" spans="1:52">
      <c r="A259" s="5" t="s">
        <v>1119</v>
      </c>
      <c r="B259" s="5">
        <v>2019</v>
      </c>
      <c r="C259" s="19">
        <v>26</v>
      </c>
      <c r="E259" s="14"/>
      <c r="F259" s="11"/>
      <c r="G259" s="11"/>
      <c r="H259" s="11"/>
      <c r="I259" s="11"/>
      <c r="J259" s="25"/>
      <c r="K259" s="11"/>
      <c r="L259" s="11"/>
      <c r="M259" s="19">
        <v>0</v>
      </c>
      <c r="O259" s="6"/>
      <c r="P259" s="16">
        <v>0</v>
      </c>
      <c r="Q259" s="16">
        <v>0</v>
      </c>
      <c r="R259" s="22"/>
      <c r="S259" s="22">
        <f t="shared" si="6"/>
        <v>0</v>
      </c>
      <c r="T259" s="5">
        <v>1913</v>
      </c>
      <c r="U259" s="5">
        <v>779</v>
      </c>
      <c r="Y259" s="8"/>
      <c r="Z259" s="8"/>
      <c r="AA259" s="8"/>
      <c r="AB259" s="8"/>
      <c r="AC259" s="8"/>
      <c r="AD259" s="8"/>
      <c r="AE259" s="25"/>
      <c r="AF259" s="11"/>
      <c r="AG259" s="25"/>
      <c r="AH259" s="11"/>
      <c r="AI259" s="11">
        <v>44</v>
      </c>
      <c r="AJ259" s="19">
        <v>0</v>
      </c>
      <c r="AK259" s="12">
        <f>(AJ259+AI259)/30*7</f>
        <v>10.266666666666666</v>
      </c>
      <c r="AL259" s="6">
        <f>IF(AK259-C259&lt;0,0,AK259-C259)</f>
        <v>0</v>
      </c>
      <c r="AM259" s="6">
        <f>IF(AL259-R259-S259&lt;0,0,AL259-R259-S259)</f>
        <v>0</v>
      </c>
      <c r="AN259" s="5" t="str">
        <f t="shared" si="7"/>
        <v/>
      </c>
      <c r="AO259" s="5">
        <v>0</v>
      </c>
      <c r="AP259" s="9"/>
      <c r="AQ259" s="5" t="s">
        <v>1210</v>
      </c>
      <c r="AR259" s="5" t="s">
        <v>1210</v>
      </c>
      <c r="AS259" s="8"/>
      <c r="AT259" s="8"/>
      <c r="AU259" s="8"/>
      <c r="AV259" s="8"/>
      <c r="AW259" s="8"/>
      <c r="AX259" s="8"/>
      <c r="AY259" s="8"/>
      <c r="AZ259" s="8"/>
    </row>
    <row r="260" spans="1:52">
      <c r="A260" s="5" t="s">
        <v>932</v>
      </c>
      <c r="B260" s="5">
        <v>366</v>
      </c>
      <c r="C260" s="19">
        <v>39</v>
      </c>
      <c r="E260" s="14"/>
      <c r="F260" s="11"/>
      <c r="G260" s="11"/>
      <c r="H260" s="11"/>
      <c r="I260" s="11"/>
      <c r="J260" s="25"/>
      <c r="K260" s="11"/>
      <c r="L260" s="11"/>
      <c r="M260" s="19">
        <v>0</v>
      </c>
      <c r="O260" s="6"/>
      <c r="P260" s="16">
        <v>0</v>
      </c>
      <c r="Q260" s="16">
        <v>0</v>
      </c>
      <c r="R260" s="22"/>
      <c r="S260" s="22">
        <f t="shared" ref="S260:S323" si="8">IF(AL260&gt;0,IF(Q260&gt;=AL260,ROUND(AL260,0),Q260),0)</f>
        <v>0</v>
      </c>
      <c r="T260" s="5">
        <v>573</v>
      </c>
      <c r="U260" s="5">
        <v>18</v>
      </c>
      <c r="Y260" s="8"/>
      <c r="Z260" s="8"/>
      <c r="AA260" s="8"/>
      <c r="AB260" s="8"/>
      <c r="AC260" s="8"/>
      <c r="AD260" s="8"/>
      <c r="AE260" s="25"/>
      <c r="AF260" s="11"/>
      <c r="AG260" s="25"/>
      <c r="AH260" s="11"/>
      <c r="AI260" s="11">
        <v>43</v>
      </c>
      <c r="AJ260" s="19">
        <v>0</v>
      </c>
      <c r="AK260" s="12">
        <f>(AJ260+AI260)/30*7</f>
        <v>10.033333333333333</v>
      </c>
      <c r="AL260" s="6">
        <f>IF(AK260-C260&lt;0,0,AK260-C260)</f>
        <v>0</v>
      </c>
      <c r="AM260" s="6">
        <f>IF(AL260-R260-S260&lt;0,0,AL260-R260-S260)</f>
        <v>0</v>
      </c>
      <c r="AN260" s="5" t="str">
        <f t="shared" ref="AN260:AN323" si="9">IF(AM260&gt;0,IF(LEN(U260)=0,IF(ROUND(AM260-AO260,0)&gt;0,ROUND(AM260-AO260,0),""),IF(U260+AO260&gt;=AM260,"",ROUND(AM260-U260-AO260,0))),"")</f>
        <v/>
      </c>
      <c r="AO260" s="5">
        <v>0</v>
      </c>
      <c r="AP260" s="9"/>
      <c r="AQ260" s="5" t="s">
        <v>1210</v>
      </c>
      <c r="AR260" s="5" t="s">
        <v>1210</v>
      </c>
      <c r="AS260" s="8"/>
      <c r="AT260" s="8"/>
      <c r="AU260" s="8"/>
      <c r="AV260" s="8"/>
      <c r="AW260" s="8"/>
      <c r="AX260" s="8"/>
      <c r="AY260" s="8"/>
      <c r="AZ260" s="8"/>
    </row>
    <row r="261" spans="1:52">
      <c r="A261" s="5" t="s">
        <v>554</v>
      </c>
      <c r="B261" s="5">
        <v>474</v>
      </c>
      <c r="C261" s="19">
        <v>37</v>
      </c>
      <c r="E261" s="14"/>
      <c r="F261" s="11"/>
      <c r="G261" s="11"/>
      <c r="H261" s="11"/>
      <c r="I261" s="11"/>
      <c r="J261" s="25"/>
      <c r="K261" s="11"/>
      <c r="L261" s="11"/>
      <c r="M261" s="19">
        <v>0</v>
      </c>
      <c r="O261" s="6"/>
      <c r="P261" s="16">
        <v>0</v>
      </c>
      <c r="Q261" s="16">
        <v>0</v>
      </c>
      <c r="R261" s="22"/>
      <c r="S261" s="22">
        <f t="shared" si="8"/>
        <v>0</v>
      </c>
      <c r="T261" s="5">
        <v>273</v>
      </c>
      <c r="U261" s="5">
        <v>687</v>
      </c>
      <c r="Y261" s="8"/>
      <c r="Z261" s="8"/>
      <c r="AA261" s="8"/>
      <c r="AB261" s="8"/>
      <c r="AC261" s="8"/>
      <c r="AD261" s="8"/>
      <c r="AE261" s="25"/>
      <c r="AF261" s="11"/>
      <c r="AG261" s="25"/>
      <c r="AH261" s="11"/>
      <c r="AI261" s="11">
        <v>43</v>
      </c>
      <c r="AJ261" s="19">
        <v>0</v>
      </c>
      <c r="AK261" s="12">
        <f>(AJ261+AI261)/30*7</f>
        <v>10.033333333333333</v>
      </c>
      <c r="AL261" s="6">
        <f>IF(AK261-C261&lt;0,0,AK261-C261)</f>
        <v>0</v>
      </c>
      <c r="AM261" s="6">
        <f>IF(AL261-R261-S261&lt;0,0,AL261-R261-S261)</f>
        <v>0</v>
      </c>
      <c r="AN261" s="5" t="str">
        <f t="shared" si="9"/>
        <v/>
      </c>
      <c r="AO261" s="5">
        <v>0</v>
      </c>
      <c r="AP261" s="9"/>
      <c r="AQ261" s="5" t="s">
        <v>1210</v>
      </c>
      <c r="AR261" s="5" t="s">
        <v>1210</v>
      </c>
      <c r="AS261" s="8"/>
      <c r="AT261" s="8"/>
      <c r="AU261" s="8"/>
      <c r="AV261" s="8"/>
      <c r="AW261" s="8"/>
      <c r="AX261" s="8"/>
      <c r="AY261" s="8"/>
      <c r="AZ261" s="8"/>
    </row>
    <row r="262" spans="1:52">
      <c r="A262" s="5" t="s">
        <v>576</v>
      </c>
      <c r="B262" s="5">
        <v>725</v>
      </c>
      <c r="C262" s="19">
        <v>33</v>
      </c>
      <c r="E262" s="14"/>
      <c r="F262" s="11"/>
      <c r="G262" s="11"/>
      <c r="H262" s="11"/>
      <c r="I262" s="11"/>
      <c r="J262" s="25"/>
      <c r="K262" s="11"/>
      <c r="L262" s="11"/>
      <c r="M262" s="19">
        <v>0</v>
      </c>
      <c r="O262" s="6"/>
      <c r="P262" s="16">
        <v>0</v>
      </c>
      <c r="Q262" s="16">
        <v>0</v>
      </c>
      <c r="R262" s="22"/>
      <c r="S262" s="22">
        <f t="shared" si="8"/>
        <v>0</v>
      </c>
      <c r="T262" s="5">
        <v>947</v>
      </c>
      <c r="U262" s="5">
        <v>543</v>
      </c>
      <c r="Y262" s="8"/>
      <c r="Z262" s="8"/>
      <c r="AA262" s="8"/>
      <c r="AB262" s="8"/>
      <c r="AC262" s="8"/>
      <c r="AD262" s="8"/>
      <c r="AE262" s="25"/>
      <c r="AF262" s="11"/>
      <c r="AG262" s="25"/>
      <c r="AH262" s="11"/>
      <c r="AI262" s="11">
        <v>43</v>
      </c>
      <c r="AJ262" s="19">
        <v>0</v>
      </c>
      <c r="AK262" s="12">
        <f>(AJ262+AI262)/30*7</f>
        <v>10.033333333333333</v>
      </c>
      <c r="AL262" s="6">
        <f>IF(AK262-C262&lt;0,0,AK262-C262)</f>
        <v>0</v>
      </c>
      <c r="AM262" s="6">
        <f>IF(AL262-R262-S262&lt;0,0,AL262-R262-S262)</f>
        <v>0</v>
      </c>
      <c r="AN262" s="5" t="str">
        <f t="shared" si="9"/>
        <v/>
      </c>
      <c r="AO262" s="5">
        <v>0</v>
      </c>
      <c r="AP262" s="9"/>
      <c r="AQ262" s="5" t="s">
        <v>1210</v>
      </c>
      <c r="AR262" s="5" t="s">
        <v>1210</v>
      </c>
      <c r="AS262" s="8"/>
      <c r="AT262" s="8"/>
      <c r="AU262" s="8"/>
      <c r="AV262" s="8"/>
      <c r="AW262" s="8"/>
      <c r="AX262" s="8"/>
      <c r="AY262" s="8"/>
      <c r="AZ262" s="8"/>
    </row>
    <row r="263" spans="1:52">
      <c r="A263" s="5" t="s">
        <v>860</v>
      </c>
      <c r="B263" s="5">
        <v>1024</v>
      </c>
      <c r="C263" s="19">
        <v>27</v>
      </c>
      <c r="E263" s="14"/>
      <c r="F263" s="11"/>
      <c r="G263" s="11"/>
      <c r="H263" s="11"/>
      <c r="I263" s="11"/>
      <c r="J263" s="25"/>
      <c r="K263" s="11"/>
      <c r="L263" s="11"/>
      <c r="M263" s="19">
        <v>0</v>
      </c>
      <c r="O263" s="6"/>
      <c r="P263" s="16">
        <v>0</v>
      </c>
      <c r="Q263" s="16">
        <v>0</v>
      </c>
      <c r="R263" s="22"/>
      <c r="S263" s="22">
        <f t="shared" si="8"/>
        <v>0</v>
      </c>
      <c r="T263" s="5" t="s">
        <v>1210</v>
      </c>
      <c r="U263" s="5" t="s">
        <v>1210</v>
      </c>
      <c r="Y263" s="8"/>
      <c r="Z263" s="8"/>
      <c r="AA263" s="8"/>
      <c r="AB263" s="8"/>
      <c r="AC263" s="8"/>
      <c r="AD263" s="8"/>
      <c r="AE263" s="25"/>
      <c r="AF263" s="11"/>
      <c r="AG263" s="25"/>
      <c r="AH263" s="11"/>
      <c r="AI263" s="11">
        <v>43</v>
      </c>
      <c r="AJ263" s="19">
        <v>0</v>
      </c>
      <c r="AK263" s="12">
        <f>(AJ263+AI263)/30*7</f>
        <v>10.033333333333333</v>
      </c>
      <c r="AL263" s="6">
        <f>IF(AK263-C263&lt;0,0,AK263-C263)</f>
        <v>0</v>
      </c>
      <c r="AM263" s="6">
        <f>IF(AL263-R263-S263&lt;0,0,AL263-R263-S263)</f>
        <v>0</v>
      </c>
      <c r="AN263" s="5" t="str">
        <f t="shared" si="9"/>
        <v/>
      </c>
      <c r="AO263" s="5">
        <v>0</v>
      </c>
      <c r="AP263" s="9"/>
      <c r="AQ263" s="5" t="s">
        <v>1210</v>
      </c>
      <c r="AR263" s="5" t="s">
        <v>1210</v>
      </c>
      <c r="AS263" s="8"/>
      <c r="AT263" s="8"/>
      <c r="AU263" s="8"/>
      <c r="AV263" s="8"/>
      <c r="AW263" s="8"/>
      <c r="AX263" s="8"/>
      <c r="AY263" s="8"/>
      <c r="AZ263" s="8"/>
    </row>
    <row r="264" spans="1:52">
      <c r="A264" s="5" t="s">
        <v>920</v>
      </c>
      <c r="B264" s="5">
        <v>2137</v>
      </c>
      <c r="C264" s="19">
        <v>36</v>
      </c>
      <c r="E264" s="14"/>
      <c r="F264" s="11"/>
      <c r="G264" s="11"/>
      <c r="H264" s="11"/>
      <c r="I264" s="11"/>
      <c r="J264" s="25"/>
      <c r="K264" s="11"/>
      <c r="L264" s="11"/>
      <c r="M264" s="19">
        <v>0</v>
      </c>
      <c r="O264" s="6"/>
      <c r="P264" s="16">
        <v>941</v>
      </c>
      <c r="Q264" s="16">
        <v>0</v>
      </c>
      <c r="R264" s="22"/>
      <c r="S264" s="22">
        <f t="shared" si="8"/>
        <v>0</v>
      </c>
      <c r="T264" s="5" t="s">
        <v>1210</v>
      </c>
      <c r="U264" s="5" t="s">
        <v>1210</v>
      </c>
      <c r="Y264" s="8"/>
      <c r="Z264" s="8"/>
      <c r="AA264" s="8"/>
      <c r="AB264" s="8"/>
      <c r="AC264" s="8"/>
      <c r="AD264" s="8"/>
      <c r="AE264" s="25"/>
      <c r="AF264" s="11"/>
      <c r="AG264" s="25"/>
      <c r="AH264" s="11"/>
      <c r="AI264" s="11">
        <v>43</v>
      </c>
      <c r="AJ264" s="19">
        <v>0</v>
      </c>
      <c r="AK264" s="12">
        <f>(AJ264+AI264)/30*7</f>
        <v>10.033333333333333</v>
      </c>
      <c r="AL264" s="6">
        <f>IF(AK264-C264&lt;0,0,AK264-C264)</f>
        <v>0</v>
      </c>
      <c r="AM264" s="6">
        <f>IF(AL264-R264-S264&lt;0,0,AL264-R264-S264)</f>
        <v>0</v>
      </c>
      <c r="AN264" s="5" t="str">
        <f t="shared" si="9"/>
        <v/>
      </c>
      <c r="AO264" s="5">
        <v>0</v>
      </c>
      <c r="AP264" s="9"/>
      <c r="AQ264" s="5" t="s">
        <v>1210</v>
      </c>
      <c r="AR264" s="5" t="s">
        <v>1210</v>
      </c>
      <c r="AS264" s="8"/>
      <c r="AT264" s="8"/>
      <c r="AU264" s="8"/>
      <c r="AV264" s="8"/>
      <c r="AW264" s="8"/>
      <c r="AX264" s="8"/>
      <c r="AY264" s="8"/>
      <c r="AZ264" s="8"/>
    </row>
    <row r="265" spans="1:52">
      <c r="A265" s="5" t="s">
        <v>1052</v>
      </c>
      <c r="B265" s="5">
        <v>643</v>
      </c>
      <c r="C265" s="19">
        <v>40</v>
      </c>
      <c r="E265" s="14"/>
      <c r="F265" s="11"/>
      <c r="G265" s="11"/>
      <c r="H265" s="11"/>
      <c r="I265" s="11"/>
      <c r="J265" s="25"/>
      <c r="K265" s="11"/>
      <c r="L265" s="11"/>
      <c r="M265" s="19">
        <v>0</v>
      </c>
      <c r="O265" s="6"/>
      <c r="P265" s="16">
        <v>0</v>
      </c>
      <c r="Q265" s="16">
        <v>0</v>
      </c>
      <c r="R265" s="22"/>
      <c r="S265" s="22">
        <f t="shared" si="8"/>
        <v>0</v>
      </c>
      <c r="T265" s="5" t="s">
        <v>1210</v>
      </c>
      <c r="U265" s="5" t="s">
        <v>1210</v>
      </c>
      <c r="Y265" s="8"/>
      <c r="Z265" s="8"/>
      <c r="AA265" s="8"/>
      <c r="AB265" s="8"/>
      <c r="AC265" s="8"/>
      <c r="AD265" s="8"/>
      <c r="AE265" s="25"/>
      <c r="AF265" s="11"/>
      <c r="AG265" s="25"/>
      <c r="AH265" s="11"/>
      <c r="AI265" s="11">
        <v>42</v>
      </c>
      <c r="AJ265" s="19">
        <v>0</v>
      </c>
      <c r="AK265" s="12">
        <f>(AJ265+AI265)/30*7</f>
        <v>9.7999999999999989</v>
      </c>
      <c r="AL265" s="6">
        <f>IF(AK265-C265&lt;0,0,AK265-C265)</f>
        <v>0</v>
      </c>
      <c r="AM265" s="6">
        <f>IF(AL265-R265-S265&lt;0,0,AL265-R265-S265)</f>
        <v>0</v>
      </c>
      <c r="AN265" s="5" t="str">
        <f t="shared" si="9"/>
        <v/>
      </c>
      <c r="AO265" s="5">
        <v>0</v>
      </c>
      <c r="AP265" s="9"/>
      <c r="AQ265" s="5" t="s">
        <v>1210</v>
      </c>
      <c r="AR265" s="5" t="s">
        <v>1230</v>
      </c>
      <c r="AS265" s="8"/>
      <c r="AT265" s="8"/>
      <c r="AU265" s="8"/>
      <c r="AV265" s="8"/>
      <c r="AW265" s="8"/>
      <c r="AX265" s="8"/>
      <c r="AY265" s="8"/>
      <c r="AZ265" s="8"/>
    </row>
    <row r="266" spans="1:52">
      <c r="A266" s="5" t="s">
        <v>1075</v>
      </c>
      <c r="B266" s="5">
        <v>104.16361000000001</v>
      </c>
      <c r="C266" s="19">
        <v>21</v>
      </c>
      <c r="E266" s="14"/>
      <c r="F266" s="11"/>
      <c r="G266" s="11"/>
      <c r="H266" s="11"/>
      <c r="I266" s="11"/>
      <c r="J266" s="25"/>
      <c r="K266" s="11"/>
      <c r="L266" s="11"/>
      <c r="M266" s="19">
        <v>0</v>
      </c>
      <c r="O266" s="6"/>
      <c r="P266" s="16">
        <v>0</v>
      </c>
      <c r="Q266" s="16">
        <v>0</v>
      </c>
      <c r="R266" s="22"/>
      <c r="S266" s="22">
        <f t="shared" si="8"/>
        <v>0</v>
      </c>
      <c r="T266" s="5" t="s">
        <v>1210</v>
      </c>
      <c r="U266" s="5" t="s">
        <v>1210</v>
      </c>
      <c r="Y266" s="8"/>
      <c r="Z266" s="8"/>
      <c r="AA266" s="8"/>
      <c r="AB266" s="8"/>
      <c r="AC266" s="8"/>
      <c r="AD266" s="8"/>
      <c r="AE266" s="25"/>
      <c r="AF266" s="11"/>
      <c r="AG266" s="25"/>
      <c r="AH266" s="11"/>
      <c r="AI266" s="11">
        <v>42</v>
      </c>
      <c r="AJ266" s="19">
        <v>0</v>
      </c>
      <c r="AK266" s="12">
        <f>(AJ266+AI266)/30*7</f>
        <v>9.7999999999999989</v>
      </c>
      <c r="AL266" s="6">
        <f>IF(AK266-C266&lt;0,0,AK266-C266)</f>
        <v>0</v>
      </c>
      <c r="AM266" s="6">
        <f>IF(AL266-R266-S266&lt;0,0,AL266-R266-S266)</f>
        <v>0</v>
      </c>
      <c r="AN266" s="5" t="str">
        <f t="shared" si="9"/>
        <v/>
      </c>
      <c r="AO266" s="5">
        <v>0</v>
      </c>
      <c r="AP266" s="9"/>
      <c r="AQ266" s="5" t="s">
        <v>1210</v>
      </c>
      <c r="AR266" s="5" t="s">
        <v>1210</v>
      </c>
      <c r="AS266" s="8"/>
      <c r="AT266" s="8"/>
      <c r="AU266" s="8"/>
      <c r="AV266" s="8"/>
      <c r="AW266" s="8"/>
      <c r="AX266" s="8"/>
      <c r="AY266" s="8"/>
      <c r="AZ266" s="8"/>
    </row>
    <row r="267" spans="1:52">
      <c r="A267" s="5" t="s">
        <v>914</v>
      </c>
      <c r="B267" s="5">
        <v>497</v>
      </c>
      <c r="C267" s="19">
        <v>20</v>
      </c>
      <c r="E267" s="14"/>
      <c r="F267" s="11"/>
      <c r="G267" s="11"/>
      <c r="H267" s="11"/>
      <c r="I267" s="11"/>
      <c r="J267" s="25"/>
      <c r="K267" s="11"/>
      <c r="L267" s="11"/>
      <c r="M267" s="19">
        <v>0</v>
      </c>
      <c r="O267" s="6"/>
      <c r="P267" s="16">
        <v>0</v>
      </c>
      <c r="Q267" s="16">
        <v>0</v>
      </c>
      <c r="R267" s="22"/>
      <c r="S267" s="22">
        <f t="shared" si="8"/>
        <v>0</v>
      </c>
      <c r="T267" s="5">
        <v>440</v>
      </c>
      <c r="U267" s="5">
        <v>808</v>
      </c>
      <c r="Y267" s="8"/>
      <c r="Z267" s="8"/>
      <c r="AA267" s="8"/>
      <c r="AB267" s="8"/>
      <c r="AC267" s="8"/>
      <c r="AD267" s="8"/>
      <c r="AE267" s="25"/>
      <c r="AF267" s="11"/>
      <c r="AG267" s="25"/>
      <c r="AH267" s="11"/>
      <c r="AI267" s="11">
        <v>42</v>
      </c>
      <c r="AJ267" s="19">
        <v>0</v>
      </c>
      <c r="AK267" s="12">
        <f>(AJ267+AI267)/30*7</f>
        <v>9.7999999999999989</v>
      </c>
      <c r="AL267" s="6">
        <f>IF(AK267-C267&lt;0,0,AK267-C267)</f>
        <v>0</v>
      </c>
      <c r="AM267" s="6">
        <f>IF(AL267-R267-S267&lt;0,0,AL267-R267-S267)</f>
        <v>0</v>
      </c>
      <c r="AN267" s="5" t="str">
        <f t="shared" si="9"/>
        <v/>
      </c>
      <c r="AO267" s="5">
        <v>0</v>
      </c>
      <c r="AP267" s="9"/>
      <c r="AQ267" s="5" t="s">
        <v>1210</v>
      </c>
      <c r="AR267" s="5" t="s">
        <v>1210</v>
      </c>
      <c r="AS267" s="8"/>
      <c r="AT267" s="8"/>
      <c r="AU267" s="8"/>
      <c r="AV267" s="8"/>
      <c r="AW267" s="8"/>
      <c r="AX267" s="8"/>
      <c r="AY267" s="8"/>
      <c r="AZ267" s="8"/>
    </row>
    <row r="268" spans="1:52">
      <c r="A268" s="5" t="s">
        <v>1061</v>
      </c>
      <c r="B268" s="5">
        <v>690</v>
      </c>
      <c r="C268" s="19">
        <v>25</v>
      </c>
      <c r="E268" s="14"/>
      <c r="F268" s="11"/>
      <c r="G268" s="11"/>
      <c r="H268" s="11"/>
      <c r="I268" s="11"/>
      <c r="J268" s="25"/>
      <c r="K268" s="11"/>
      <c r="L268" s="11"/>
      <c r="M268" s="19">
        <v>0</v>
      </c>
      <c r="O268" s="6"/>
      <c r="P268" s="16">
        <v>0</v>
      </c>
      <c r="Q268" s="16">
        <v>0</v>
      </c>
      <c r="R268" s="22"/>
      <c r="S268" s="22">
        <f t="shared" si="8"/>
        <v>0</v>
      </c>
      <c r="T268" s="5" t="s">
        <v>1151</v>
      </c>
      <c r="U268" s="5">
        <v>784</v>
      </c>
      <c r="Y268" s="8"/>
      <c r="Z268" s="8"/>
      <c r="AA268" s="8"/>
      <c r="AB268" s="8"/>
      <c r="AC268" s="8"/>
      <c r="AD268" s="8"/>
      <c r="AE268" s="25"/>
      <c r="AF268" s="11"/>
      <c r="AG268" s="25"/>
      <c r="AH268" s="11"/>
      <c r="AI268" s="11">
        <v>42</v>
      </c>
      <c r="AJ268" s="19">
        <v>0</v>
      </c>
      <c r="AK268" s="12">
        <f>(AJ268+AI268)/30*7</f>
        <v>9.7999999999999989</v>
      </c>
      <c r="AL268" s="6">
        <f>IF(AK268-C268&lt;0,0,AK268-C268)</f>
        <v>0</v>
      </c>
      <c r="AM268" s="6">
        <f>IF(AL268-R268-S268&lt;0,0,AL268-R268-S268)</f>
        <v>0</v>
      </c>
      <c r="AN268" s="5" t="str">
        <f t="shared" si="9"/>
        <v/>
      </c>
      <c r="AO268" s="5">
        <v>0</v>
      </c>
      <c r="AP268" s="9"/>
      <c r="AQ268" s="5" t="s">
        <v>1210</v>
      </c>
      <c r="AR268" s="5" t="s">
        <v>1210</v>
      </c>
      <c r="AS268" s="8"/>
      <c r="AT268" s="8"/>
      <c r="AU268" s="8"/>
      <c r="AV268" s="8"/>
      <c r="AW268" s="8"/>
      <c r="AX268" s="8"/>
      <c r="AY268" s="8"/>
      <c r="AZ268" s="8"/>
    </row>
    <row r="269" spans="1:52">
      <c r="A269" s="5" t="s">
        <v>1077</v>
      </c>
      <c r="B269" s="5">
        <v>924</v>
      </c>
      <c r="C269" s="19">
        <v>39</v>
      </c>
      <c r="E269" s="14"/>
      <c r="F269" s="11"/>
      <c r="G269" s="11"/>
      <c r="H269" s="11"/>
      <c r="I269" s="11"/>
      <c r="J269" s="25"/>
      <c r="K269" s="11"/>
      <c r="L269" s="11"/>
      <c r="M269" s="19">
        <v>0</v>
      </c>
      <c r="O269" s="6"/>
      <c r="P269" s="16">
        <v>0</v>
      </c>
      <c r="Q269" s="16">
        <v>0</v>
      </c>
      <c r="R269" s="22"/>
      <c r="S269" s="22">
        <f t="shared" si="8"/>
        <v>0</v>
      </c>
      <c r="T269" s="5">
        <v>1421</v>
      </c>
      <c r="U269" s="5">
        <v>859</v>
      </c>
      <c r="Y269" s="8"/>
      <c r="Z269" s="8"/>
      <c r="AA269" s="8"/>
      <c r="AB269" s="8"/>
      <c r="AC269" s="8"/>
      <c r="AD269" s="8"/>
      <c r="AE269" s="25"/>
      <c r="AF269" s="11"/>
      <c r="AG269" s="25"/>
      <c r="AH269" s="11"/>
      <c r="AI269" s="11">
        <v>42</v>
      </c>
      <c r="AJ269" s="19">
        <v>0</v>
      </c>
      <c r="AK269" s="12">
        <f>(AJ269+AI269)/30*7</f>
        <v>9.7999999999999989</v>
      </c>
      <c r="AL269" s="6">
        <f>IF(AK269-C269&lt;0,0,AK269-C269)</f>
        <v>0</v>
      </c>
      <c r="AM269" s="6">
        <f>IF(AL269-R269-S269&lt;0,0,AL269-R269-S269)</f>
        <v>0</v>
      </c>
      <c r="AN269" s="5" t="str">
        <f t="shared" si="9"/>
        <v/>
      </c>
      <c r="AO269" s="5">
        <v>0</v>
      </c>
      <c r="AP269" s="9"/>
      <c r="AQ269" s="5" t="s">
        <v>1210</v>
      </c>
      <c r="AR269" s="5" t="s">
        <v>1210</v>
      </c>
      <c r="AS269" s="8"/>
      <c r="AT269" s="8"/>
      <c r="AU269" s="8"/>
      <c r="AV269" s="8"/>
      <c r="AW269" s="8"/>
      <c r="AX269" s="8"/>
      <c r="AY269" s="8"/>
      <c r="AZ269" s="8"/>
    </row>
    <row r="270" spans="1:52">
      <c r="A270" s="5" t="s">
        <v>908</v>
      </c>
      <c r="B270" s="5">
        <v>1336</v>
      </c>
      <c r="C270" s="19">
        <v>25</v>
      </c>
      <c r="E270" s="14"/>
      <c r="F270" s="11"/>
      <c r="G270" s="11"/>
      <c r="H270" s="11"/>
      <c r="I270" s="11"/>
      <c r="J270" s="25"/>
      <c r="K270" s="11"/>
      <c r="L270" s="11"/>
      <c r="M270" s="19">
        <v>0</v>
      </c>
      <c r="O270" s="6"/>
      <c r="P270" s="16">
        <v>0</v>
      </c>
      <c r="Q270" s="16">
        <v>0</v>
      </c>
      <c r="R270" s="22"/>
      <c r="S270" s="22">
        <f t="shared" si="8"/>
        <v>0</v>
      </c>
      <c r="T270" s="5">
        <v>1451</v>
      </c>
      <c r="U270" s="5">
        <v>539</v>
      </c>
      <c r="Y270" s="8"/>
      <c r="Z270" s="8"/>
      <c r="AA270" s="8"/>
      <c r="AB270" s="8"/>
      <c r="AC270" s="8"/>
      <c r="AD270" s="8"/>
      <c r="AE270" s="25"/>
      <c r="AF270" s="11"/>
      <c r="AG270" s="25"/>
      <c r="AH270" s="11"/>
      <c r="AI270" s="11">
        <v>42</v>
      </c>
      <c r="AJ270" s="19">
        <v>0</v>
      </c>
      <c r="AK270" s="12">
        <f>(AJ270+AI270)/30*7</f>
        <v>9.7999999999999989</v>
      </c>
      <c r="AL270" s="6">
        <f>IF(AK270-C270&lt;0,0,AK270-C270)</f>
        <v>0</v>
      </c>
      <c r="AM270" s="6">
        <f>IF(AL270-R270-S270&lt;0,0,AL270-R270-S270)</f>
        <v>0</v>
      </c>
      <c r="AN270" s="5" t="str">
        <f t="shared" si="9"/>
        <v/>
      </c>
      <c r="AO270" s="5">
        <v>0</v>
      </c>
      <c r="AP270" s="9"/>
      <c r="AQ270" s="5" t="s">
        <v>1210</v>
      </c>
      <c r="AR270" s="5" t="s">
        <v>1210</v>
      </c>
      <c r="AS270" s="8"/>
      <c r="AT270" s="8"/>
      <c r="AU270" s="8"/>
      <c r="AV270" s="8"/>
      <c r="AW270" s="8"/>
      <c r="AX270" s="8"/>
      <c r="AY270" s="8"/>
      <c r="AZ270" s="8"/>
    </row>
    <row r="271" spans="1:52">
      <c r="A271" s="5" t="s">
        <v>957</v>
      </c>
      <c r="B271" s="5" t="s">
        <v>1190</v>
      </c>
      <c r="C271" s="19">
        <v>25</v>
      </c>
      <c r="E271" s="14"/>
      <c r="F271" s="11"/>
      <c r="G271" s="11"/>
      <c r="H271" s="11"/>
      <c r="I271" s="11"/>
      <c r="J271" s="25"/>
      <c r="K271" s="11"/>
      <c r="L271" s="11"/>
      <c r="M271" s="19">
        <v>0</v>
      </c>
      <c r="O271" s="6"/>
      <c r="P271" s="16">
        <v>0</v>
      </c>
      <c r="Q271" s="16">
        <v>0</v>
      </c>
      <c r="R271" s="22"/>
      <c r="S271" s="22">
        <f t="shared" si="8"/>
        <v>0</v>
      </c>
      <c r="T271" s="5" t="s">
        <v>1210</v>
      </c>
      <c r="U271" s="5" t="s">
        <v>1210</v>
      </c>
      <c r="Y271" s="8"/>
      <c r="Z271" s="8"/>
      <c r="AA271" s="8"/>
      <c r="AB271" s="8"/>
      <c r="AC271" s="8"/>
      <c r="AD271" s="8"/>
      <c r="AE271" s="25"/>
      <c r="AF271" s="11"/>
      <c r="AG271" s="25"/>
      <c r="AH271" s="11"/>
      <c r="AI271" s="11">
        <v>42</v>
      </c>
      <c r="AJ271" s="19">
        <v>0</v>
      </c>
      <c r="AK271" s="12">
        <f>(AJ271+AI271)/30*7</f>
        <v>9.7999999999999989</v>
      </c>
      <c r="AL271" s="6">
        <f>IF(AK271-C271&lt;0,0,AK271-C271)</f>
        <v>0</v>
      </c>
      <c r="AM271" s="6">
        <f>IF(AL271-R271-S271&lt;0,0,AL271-R271-S271)</f>
        <v>0</v>
      </c>
      <c r="AN271" s="5" t="str">
        <f t="shared" si="9"/>
        <v/>
      </c>
      <c r="AO271" s="5">
        <v>0</v>
      </c>
      <c r="AP271" s="9"/>
      <c r="AQ271" s="5" t="s">
        <v>1210</v>
      </c>
      <c r="AR271" s="5" t="s">
        <v>1210</v>
      </c>
      <c r="AS271" s="8"/>
      <c r="AT271" s="8"/>
      <c r="AU271" s="8"/>
      <c r="AV271" s="8"/>
      <c r="AW271" s="8"/>
      <c r="AX271" s="8"/>
      <c r="AY271" s="8"/>
      <c r="AZ271" s="8"/>
    </row>
    <row r="272" spans="1:52">
      <c r="A272" s="5" t="s">
        <v>1041</v>
      </c>
      <c r="B272" s="5">
        <v>561</v>
      </c>
      <c r="C272" s="19">
        <v>23</v>
      </c>
      <c r="E272" s="14"/>
      <c r="F272" s="11"/>
      <c r="G272" s="11"/>
      <c r="H272" s="11"/>
      <c r="I272" s="11"/>
      <c r="J272" s="25"/>
      <c r="K272" s="11"/>
      <c r="L272" s="11"/>
      <c r="M272" s="19">
        <v>0</v>
      </c>
      <c r="O272" s="6"/>
      <c r="P272" s="16">
        <v>0</v>
      </c>
      <c r="Q272" s="16">
        <v>0</v>
      </c>
      <c r="R272" s="22"/>
      <c r="S272" s="22">
        <f t="shared" si="8"/>
        <v>0</v>
      </c>
      <c r="T272" s="5" t="s">
        <v>1210</v>
      </c>
      <c r="U272" s="5" t="s">
        <v>1210</v>
      </c>
      <c r="Y272" s="8"/>
      <c r="Z272" s="8"/>
      <c r="AA272" s="8"/>
      <c r="AB272" s="8"/>
      <c r="AC272" s="8"/>
      <c r="AD272" s="8"/>
      <c r="AE272" s="25"/>
      <c r="AF272" s="11"/>
      <c r="AG272" s="25"/>
      <c r="AH272" s="11"/>
      <c r="AI272" s="11">
        <v>41</v>
      </c>
      <c r="AJ272" s="19">
        <v>0</v>
      </c>
      <c r="AK272" s="12">
        <f>(AJ272+AI272)/30*7</f>
        <v>9.5666666666666664</v>
      </c>
      <c r="AL272" s="6">
        <f>IF(AK272-C272&lt;0,0,AK272-C272)</f>
        <v>0</v>
      </c>
      <c r="AM272" s="6">
        <f>IF(AL272-R272-S272&lt;0,0,AL272-R272-S272)</f>
        <v>0</v>
      </c>
      <c r="AN272" s="5" t="str">
        <f t="shared" si="9"/>
        <v/>
      </c>
      <c r="AO272" s="5">
        <v>0</v>
      </c>
      <c r="AP272" s="9"/>
      <c r="AQ272" s="5" t="s">
        <v>1210</v>
      </c>
      <c r="AR272" s="5" t="s">
        <v>1210</v>
      </c>
      <c r="AS272" s="8"/>
      <c r="AT272" s="8"/>
      <c r="AU272" s="8"/>
      <c r="AV272" s="8"/>
      <c r="AW272" s="8"/>
      <c r="AX272" s="8"/>
      <c r="AY272" s="8"/>
      <c r="AZ272" s="8"/>
    </row>
    <row r="273" spans="1:52">
      <c r="A273" s="5" t="s">
        <v>569</v>
      </c>
      <c r="B273" s="5">
        <v>1659</v>
      </c>
      <c r="C273" s="19">
        <v>31</v>
      </c>
      <c r="E273" s="14"/>
      <c r="F273" s="11"/>
      <c r="G273" s="11"/>
      <c r="H273" s="11"/>
      <c r="I273" s="11"/>
      <c r="J273" s="25"/>
      <c r="K273" s="11"/>
      <c r="L273" s="11"/>
      <c r="M273" s="19">
        <v>0</v>
      </c>
      <c r="O273" s="6"/>
      <c r="P273" s="16">
        <v>0</v>
      </c>
      <c r="Q273" s="16">
        <v>0</v>
      </c>
      <c r="R273" s="22"/>
      <c r="S273" s="22">
        <f t="shared" si="8"/>
        <v>0</v>
      </c>
      <c r="T273" s="5">
        <v>1839</v>
      </c>
      <c r="U273" s="5">
        <v>948</v>
      </c>
      <c r="Y273" s="8"/>
      <c r="Z273" s="8"/>
      <c r="AA273" s="8"/>
      <c r="AB273" s="8"/>
      <c r="AC273" s="8"/>
      <c r="AD273" s="8"/>
      <c r="AE273" s="25"/>
      <c r="AF273" s="11"/>
      <c r="AG273" s="25"/>
      <c r="AH273" s="11"/>
      <c r="AI273" s="11">
        <v>41</v>
      </c>
      <c r="AJ273" s="19">
        <v>0</v>
      </c>
      <c r="AK273" s="12">
        <f>(AJ273+AI273)/30*7</f>
        <v>9.5666666666666664</v>
      </c>
      <c r="AL273" s="6">
        <f>IF(AK273-C273&lt;0,0,AK273-C273)</f>
        <v>0</v>
      </c>
      <c r="AM273" s="6">
        <f>IF(AL273-R273-S273&lt;0,0,AL273-R273-S273)</f>
        <v>0</v>
      </c>
      <c r="AN273" s="5" t="str">
        <f t="shared" si="9"/>
        <v/>
      </c>
      <c r="AO273" s="5">
        <v>0</v>
      </c>
      <c r="AP273" s="9"/>
      <c r="AQ273" s="5" t="s">
        <v>1210</v>
      </c>
      <c r="AR273" s="5" t="s">
        <v>1210</v>
      </c>
      <c r="AS273" s="8"/>
      <c r="AT273" s="8"/>
      <c r="AU273" s="8"/>
      <c r="AV273" s="8"/>
      <c r="AW273" s="8"/>
      <c r="AX273" s="8"/>
      <c r="AY273" s="8"/>
      <c r="AZ273" s="8"/>
    </row>
    <row r="274" spans="1:52">
      <c r="A274" s="5" t="s">
        <v>941</v>
      </c>
      <c r="B274" s="5" t="s">
        <v>1186</v>
      </c>
      <c r="C274" s="19">
        <v>28</v>
      </c>
      <c r="E274" s="14"/>
      <c r="F274" s="11"/>
      <c r="G274" s="11"/>
      <c r="H274" s="11"/>
      <c r="I274" s="11"/>
      <c r="J274" s="25"/>
      <c r="K274" s="11"/>
      <c r="L274" s="11"/>
      <c r="M274" s="19">
        <v>0</v>
      </c>
      <c r="O274" s="6"/>
      <c r="P274" s="16">
        <v>0</v>
      </c>
      <c r="Q274" s="16">
        <v>0</v>
      </c>
      <c r="R274" s="22"/>
      <c r="S274" s="22">
        <f t="shared" si="8"/>
        <v>0</v>
      </c>
      <c r="T274" s="5" t="s">
        <v>1210</v>
      </c>
      <c r="U274" s="5" t="s">
        <v>1210</v>
      </c>
      <c r="Y274" s="8"/>
      <c r="Z274" s="8"/>
      <c r="AA274" s="8"/>
      <c r="AB274" s="8"/>
      <c r="AC274" s="8"/>
      <c r="AD274" s="8"/>
      <c r="AE274" s="25"/>
      <c r="AF274" s="11"/>
      <c r="AG274" s="25"/>
      <c r="AH274" s="11"/>
      <c r="AI274" s="11">
        <v>41</v>
      </c>
      <c r="AJ274" s="19">
        <v>0</v>
      </c>
      <c r="AK274" s="12">
        <f>(AJ274+AI274)/30*7</f>
        <v>9.5666666666666664</v>
      </c>
      <c r="AL274" s="6">
        <f>IF(AK274-C274&lt;0,0,AK274-C274)</f>
        <v>0</v>
      </c>
      <c r="AM274" s="6">
        <f>IF(AL274-R274-S274&lt;0,0,AL274-R274-S274)</f>
        <v>0</v>
      </c>
      <c r="AN274" s="5" t="str">
        <f t="shared" si="9"/>
        <v/>
      </c>
      <c r="AO274" s="5">
        <v>0</v>
      </c>
      <c r="AP274" s="9"/>
      <c r="AQ274" s="5" t="s">
        <v>1210</v>
      </c>
      <c r="AR274" s="5" t="s">
        <v>1210</v>
      </c>
      <c r="AS274" s="8"/>
      <c r="AT274" s="8"/>
      <c r="AU274" s="8"/>
      <c r="AV274" s="8"/>
      <c r="AW274" s="8"/>
      <c r="AX274" s="8"/>
      <c r="AY274" s="8"/>
      <c r="AZ274" s="8"/>
    </row>
    <row r="275" spans="1:52">
      <c r="A275" s="5" t="s">
        <v>709</v>
      </c>
      <c r="B275" s="5">
        <v>670</v>
      </c>
      <c r="C275" s="19">
        <v>38</v>
      </c>
      <c r="E275" s="14"/>
      <c r="F275" s="11"/>
      <c r="G275" s="11"/>
      <c r="H275" s="11"/>
      <c r="I275" s="11"/>
      <c r="J275" s="25"/>
      <c r="K275" s="11"/>
      <c r="L275" s="11"/>
      <c r="M275" s="19">
        <v>0</v>
      </c>
      <c r="O275" s="6"/>
      <c r="P275" s="16">
        <v>535</v>
      </c>
      <c r="Q275" s="16">
        <v>0</v>
      </c>
      <c r="R275" s="22"/>
      <c r="S275" s="22">
        <f t="shared" si="8"/>
        <v>0</v>
      </c>
      <c r="T275" s="5" t="s">
        <v>1210</v>
      </c>
      <c r="U275" s="5" t="s">
        <v>1210</v>
      </c>
      <c r="Y275" s="8"/>
      <c r="Z275" s="8"/>
      <c r="AA275" s="8"/>
      <c r="AB275" s="8"/>
      <c r="AC275" s="8"/>
      <c r="AD275" s="8"/>
      <c r="AE275" s="25"/>
      <c r="AF275" s="11"/>
      <c r="AG275" s="25"/>
      <c r="AH275" s="11"/>
      <c r="AI275" s="11">
        <v>40</v>
      </c>
      <c r="AJ275" s="19">
        <v>0</v>
      </c>
      <c r="AK275" s="12">
        <f>(AJ275+AI275)/30*7</f>
        <v>9.3333333333333321</v>
      </c>
      <c r="AL275" s="6">
        <f>IF(AK275-C275&lt;0,0,AK275-C275)</f>
        <v>0</v>
      </c>
      <c r="AM275" s="6">
        <f>IF(AL275-R275-S275&lt;0,0,AL275-R275-S275)</f>
        <v>0</v>
      </c>
      <c r="AN275" s="5" t="str">
        <f t="shared" si="9"/>
        <v/>
      </c>
      <c r="AO275" s="5">
        <v>0</v>
      </c>
      <c r="AP275" s="9"/>
      <c r="AQ275" s="5" t="s">
        <v>1210</v>
      </c>
      <c r="AR275" s="5" t="s">
        <v>1230</v>
      </c>
      <c r="AS275" s="8"/>
      <c r="AT275" s="8"/>
      <c r="AU275" s="8"/>
      <c r="AV275" s="8"/>
      <c r="AW275" s="8"/>
      <c r="AX275" s="8"/>
      <c r="AY275" s="8"/>
      <c r="AZ275" s="8"/>
    </row>
    <row r="276" spans="1:52">
      <c r="A276" s="5" t="s">
        <v>1069</v>
      </c>
      <c r="B276" s="5">
        <v>1507</v>
      </c>
      <c r="C276" s="19">
        <v>37</v>
      </c>
      <c r="E276" s="14"/>
      <c r="F276" s="11"/>
      <c r="G276" s="11"/>
      <c r="H276" s="11"/>
      <c r="I276" s="11"/>
      <c r="J276" s="25"/>
      <c r="K276" s="11"/>
      <c r="L276" s="11"/>
      <c r="M276" s="19">
        <v>0</v>
      </c>
      <c r="O276" s="6"/>
      <c r="P276" s="16">
        <v>0</v>
      </c>
      <c r="Q276" s="16">
        <v>0</v>
      </c>
      <c r="R276" s="22"/>
      <c r="S276" s="22">
        <f t="shared" si="8"/>
        <v>0</v>
      </c>
      <c r="T276" s="5">
        <v>883</v>
      </c>
      <c r="U276" s="5">
        <v>780</v>
      </c>
      <c r="Y276" s="8"/>
      <c r="Z276" s="8"/>
      <c r="AA276" s="8"/>
      <c r="AB276" s="8"/>
      <c r="AC276" s="8"/>
      <c r="AD276" s="8"/>
      <c r="AE276" s="25"/>
      <c r="AF276" s="11"/>
      <c r="AG276" s="25"/>
      <c r="AH276" s="11"/>
      <c r="AI276" s="11">
        <v>40</v>
      </c>
      <c r="AJ276" s="19">
        <v>0</v>
      </c>
      <c r="AK276" s="12">
        <f>(AJ276+AI276)/30*7</f>
        <v>9.3333333333333321</v>
      </c>
      <c r="AL276" s="6">
        <f>IF(AK276-C276&lt;0,0,AK276-C276)</f>
        <v>0</v>
      </c>
      <c r="AM276" s="6">
        <f>IF(AL276-R276-S276&lt;0,0,AL276-R276-S276)</f>
        <v>0</v>
      </c>
      <c r="AN276" s="5" t="str">
        <f t="shared" si="9"/>
        <v/>
      </c>
      <c r="AO276" s="5">
        <v>0</v>
      </c>
      <c r="AP276" s="9"/>
      <c r="AQ276" s="5" t="s">
        <v>1210</v>
      </c>
      <c r="AR276" s="5" t="s">
        <v>1230</v>
      </c>
      <c r="AS276" s="8"/>
      <c r="AT276" s="8"/>
      <c r="AU276" s="8"/>
      <c r="AV276" s="8"/>
      <c r="AW276" s="8"/>
      <c r="AX276" s="8"/>
      <c r="AY276" s="8"/>
      <c r="AZ276" s="8"/>
    </row>
    <row r="277" spans="1:52">
      <c r="A277" s="5" t="s">
        <v>792</v>
      </c>
      <c r="B277" s="5">
        <v>1692</v>
      </c>
      <c r="C277" s="19">
        <v>16</v>
      </c>
      <c r="E277" s="14"/>
      <c r="F277" s="11"/>
      <c r="G277" s="11"/>
      <c r="H277" s="11"/>
      <c r="I277" s="11"/>
      <c r="J277" s="25"/>
      <c r="K277" s="11"/>
      <c r="L277" s="11"/>
      <c r="M277" s="19">
        <v>0</v>
      </c>
      <c r="O277" s="6"/>
      <c r="P277" s="16">
        <v>0</v>
      </c>
      <c r="Q277" s="16">
        <v>0</v>
      </c>
      <c r="R277" s="22"/>
      <c r="S277" s="22">
        <f t="shared" si="8"/>
        <v>0</v>
      </c>
      <c r="T277" s="5" t="s">
        <v>1210</v>
      </c>
      <c r="U277" s="5" t="s">
        <v>1210</v>
      </c>
      <c r="Y277" s="8"/>
      <c r="Z277" s="8"/>
      <c r="AA277" s="8"/>
      <c r="AB277" s="8"/>
      <c r="AC277" s="8"/>
      <c r="AD277" s="8"/>
      <c r="AE277" s="25"/>
      <c r="AF277" s="11"/>
      <c r="AG277" s="25"/>
      <c r="AH277" s="11"/>
      <c r="AI277" s="11">
        <v>40</v>
      </c>
      <c r="AJ277" s="19">
        <v>0</v>
      </c>
      <c r="AK277" s="12">
        <f>(AJ277+AI277)/30*7</f>
        <v>9.3333333333333321</v>
      </c>
      <c r="AL277" s="6">
        <f>IF(AK277-C277&lt;0,0,AK277-C277)</f>
        <v>0</v>
      </c>
      <c r="AM277" s="6">
        <f>IF(AL277-R277-S277&lt;0,0,AL277-R277-S277)</f>
        <v>0</v>
      </c>
      <c r="AN277" s="5" t="str">
        <f t="shared" si="9"/>
        <v/>
      </c>
      <c r="AO277" s="5">
        <v>0</v>
      </c>
      <c r="AP277" s="9"/>
      <c r="AQ277" s="5" t="s">
        <v>1210</v>
      </c>
      <c r="AR277" s="5" t="s">
        <v>1210</v>
      </c>
      <c r="AS277" s="8"/>
      <c r="AT277" s="8"/>
      <c r="AU277" s="8"/>
      <c r="AV277" s="8"/>
      <c r="AW277" s="8"/>
      <c r="AX277" s="8"/>
      <c r="AY277" s="8"/>
      <c r="AZ277" s="8"/>
    </row>
    <row r="278" spans="1:52">
      <c r="A278" s="5" t="s">
        <v>659</v>
      </c>
      <c r="B278" s="5">
        <v>415</v>
      </c>
      <c r="C278" s="19">
        <v>30</v>
      </c>
      <c r="E278" s="14"/>
      <c r="F278" s="11"/>
      <c r="G278" s="11"/>
      <c r="H278" s="11"/>
      <c r="I278" s="11"/>
      <c r="J278" s="25"/>
      <c r="K278" s="11"/>
      <c r="L278" s="11"/>
      <c r="M278" s="19">
        <v>0</v>
      </c>
      <c r="O278" s="6"/>
      <c r="P278" s="16">
        <v>0</v>
      </c>
      <c r="Q278" s="16">
        <v>0</v>
      </c>
      <c r="R278" s="22"/>
      <c r="S278" s="22">
        <f t="shared" si="8"/>
        <v>0</v>
      </c>
      <c r="T278" s="5" t="s">
        <v>1210</v>
      </c>
      <c r="U278" s="5" t="s">
        <v>1210</v>
      </c>
      <c r="Y278" s="8"/>
      <c r="Z278" s="8"/>
      <c r="AA278" s="8"/>
      <c r="AB278" s="8"/>
      <c r="AC278" s="8"/>
      <c r="AD278" s="8"/>
      <c r="AE278" s="25"/>
      <c r="AF278" s="11"/>
      <c r="AG278" s="25"/>
      <c r="AH278" s="11"/>
      <c r="AI278" s="11">
        <v>39</v>
      </c>
      <c r="AJ278" s="19">
        <v>0</v>
      </c>
      <c r="AK278" s="12">
        <f>(AJ278+AI278)/30*7</f>
        <v>9.1</v>
      </c>
      <c r="AL278" s="6">
        <f>IF(AK278-C278&lt;0,0,AK278-C278)</f>
        <v>0</v>
      </c>
      <c r="AM278" s="6">
        <f>IF(AL278-R278-S278&lt;0,0,AL278-R278-S278)</f>
        <v>0</v>
      </c>
      <c r="AN278" s="5" t="str">
        <f t="shared" si="9"/>
        <v/>
      </c>
      <c r="AO278" s="5">
        <v>0</v>
      </c>
      <c r="AP278" s="9"/>
      <c r="AQ278" s="5" t="s">
        <v>1210</v>
      </c>
      <c r="AR278" s="5" t="s">
        <v>1210</v>
      </c>
      <c r="AS278" s="8"/>
      <c r="AT278" s="8"/>
      <c r="AU278" s="8"/>
      <c r="AV278" s="8"/>
      <c r="AW278" s="8"/>
      <c r="AX278" s="8"/>
      <c r="AY278" s="8"/>
      <c r="AZ278" s="8"/>
    </row>
    <row r="279" spans="1:52">
      <c r="A279" s="5" t="s">
        <v>1024</v>
      </c>
      <c r="B279" s="5">
        <v>550</v>
      </c>
      <c r="C279" s="19">
        <v>39</v>
      </c>
      <c r="E279" s="14"/>
      <c r="F279" s="11"/>
      <c r="G279" s="11"/>
      <c r="H279" s="11"/>
      <c r="I279" s="11"/>
      <c r="J279" s="25"/>
      <c r="K279" s="11"/>
      <c r="L279" s="11"/>
      <c r="M279" s="19">
        <v>0</v>
      </c>
      <c r="O279" s="6"/>
      <c r="P279" s="16">
        <v>0</v>
      </c>
      <c r="Q279" s="16">
        <v>0</v>
      </c>
      <c r="R279" s="22"/>
      <c r="S279" s="22">
        <f t="shared" si="8"/>
        <v>0</v>
      </c>
      <c r="T279" s="5" t="s">
        <v>1210</v>
      </c>
      <c r="U279" s="5" t="s">
        <v>1210</v>
      </c>
      <c r="Y279" s="8"/>
      <c r="Z279" s="8"/>
      <c r="AA279" s="8"/>
      <c r="AB279" s="8"/>
      <c r="AC279" s="8"/>
      <c r="AD279" s="8"/>
      <c r="AE279" s="25"/>
      <c r="AF279" s="11"/>
      <c r="AG279" s="25"/>
      <c r="AH279" s="11"/>
      <c r="AI279" s="11">
        <v>39</v>
      </c>
      <c r="AJ279" s="19">
        <v>0</v>
      </c>
      <c r="AK279" s="12">
        <f>(AJ279+AI279)/30*7</f>
        <v>9.1</v>
      </c>
      <c r="AL279" s="6">
        <f>IF(AK279-C279&lt;0,0,AK279-C279)</f>
        <v>0</v>
      </c>
      <c r="AM279" s="6">
        <f>IF(AL279-R279-S279&lt;0,0,AL279-R279-S279)</f>
        <v>0</v>
      </c>
      <c r="AN279" s="5" t="str">
        <f t="shared" si="9"/>
        <v/>
      </c>
      <c r="AO279" s="5">
        <v>0</v>
      </c>
      <c r="AP279" s="9"/>
      <c r="AQ279" s="5" t="s">
        <v>1210</v>
      </c>
      <c r="AR279" s="5" t="s">
        <v>1210</v>
      </c>
      <c r="AS279" s="8"/>
      <c r="AT279" s="8"/>
      <c r="AU279" s="8"/>
      <c r="AV279" s="8"/>
      <c r="AW279" s="8"/>
      <c r="AX279" s="8"/>
      <c r="AY279" s="8"/>
      <c r="AZ279" s="8"/>
    </row>
    <row r="280" spans="1:52">
      <c r="A280" s="5" t="s">
        <v>610</v>
      </c>
      <c r="B280" s="5">
        <v>656</v>
      </c>
      <c r="C280" s="19">
        <v>33</v>
      </c>
      <c r="E280" s="14"/>
      <c r="F280" s="11"/>
      <c r="G280" s="11"/>
      <c r="H280" s="11"/>
      <c r="I280" s="11"/>
      <c r="J280" s="25"/>
      <c r="K280" s="11"/>
      <c r="L280" s="11"/>
      <c r="M280" s="19">
        <v>0</v>
      </c>
      <c r="O280" s="6"/>
      <c r="P280" s="16">
        <v>0</v>
      </c>
      <c r="Q280" s="16">
        <v>0</v>
      </c>
      <c r="R280" s="22"/>
      <c r="S280" s="22">
        <f t="shared" si="8"/>
        <v>0</v>
      </c>
      <c r="T280" s="5">
        <v>601</v>
      </c>
      <c r="U280" s="5">
        <v>390</v>
      </c>
      <c r="Y280" s="8"/>
      <c r="Z280" s="8"/>
      <c r="AA280" s="8"/>
      <c r="AB280" s="8"/>
      <c r="AC280" s="8"/>
      <c r="AD280" s="8"/>
      <c r="AE280" s="25"/>
      <c r="AF280" s="11"/>
      <c r="AG280" s="25"/>
      <c r="AH280" s="11"/>
      <c r="AI280" s="11">
        <v>39</v>
      </c>
      <c r="AJ280" s="19">
        <v>0</v>
      </c>
      <c r="AK280" s="12">
        <f>(AJ280+AI280)/30*7</f>
        <v>9.1</v>
      </c>
      <c r="AL280" s="6">
        <f>IF(AK280-C280&lt;0,0,AK280-C280)</f>
        <v>0</v>
      </c>
      <c r="AM280" s="6">
        <f>IF(AL280-R280-S280&lt;0,0,AL280-R280-S280)</f>
        <v>0</v>
      </c>
      <c r="AN280" s="5" t="str">
        <f t="shared" si="9"/>
        <v/>
      </c>
      <c r="AO280" s="5">
        <v>0</v>
      </c>
      <c r="AP280" s="9"/>
      <c r="AQ280" s="5" t="s">
        <v>1210</v>
      </c>
      <c r="AR280" s="5" t="s">
        <v>1210</v>
      </c>
      <c r="AS280" s="8"/>
      <c r="AT280" s="8"/>
      <c r="AU280" s="8"/>
      <c r="AV280" s="8"/>
      <c r="AW280" s="8"/>
      <c r="AX280" s="8"/>
      <c r="AY280" s="8"/>
      <c r="AZ280" s="8"/>
    </row>
    <row r="281" spans="1:52">
      <c r="A281" s="5" t="s">
        <v>703</v>
      </c>
      <c r="B281" s="5">
        <v>1016</v>
      </c>
      <c r="C281" s="19">
        <v>31</v>
      </c>
      <c r="E281" s="14"/>
      <c r="F281" s="11"/>
      <c r="G281" s="11"/>
      <c r="H281" s="11"/>
      <c r="I281" s="11"/>
      <c r="J281" s="25"/>
      <c r="K281" s="11"/>
      <c r="L281" s="11"/>
      <c r="M281" s="19">
        <v>0</v>
      </c>
      <c r="O281" s="6"/>
      <c r="P281" s="16">
        <v>0</v>
      </c>
      <c r="Q281" s="16">
        <v>0</v>
      </c>
      <c r="R281" s="22"/>
      <c r="S281" s="22">
        <f t="shared" si="8"/>
        <v>0</v>
      </c>
      <c r="T281" s="5">
        <v>1001</v>
      </c>
      <c r="U281" s="5">
        <v>812</v>
      </c>
      <c r="Y281" s="8"/>
      <c r="Z281" s="8"/>
      <c r="AA281" s="8"/>
      <c r="AB281" s="8"/>
      <c r="AC281" s="8"/>
      <c r="AD281" s="8"/>
      <c r="AE281" s="25"/>
      <c r="AF281" s="11"/>
      <c r="AG281" s="25"/>
      <c r="AH281" s="11"/>
      <c r="AI281" s="11">
        <v>39</v>
      </c>
      <c r="AJ281" s="19">
        <v>0</v>
      </c>
      <c r="AK281" s="12">
        <f>(AJ281+AI281)/30*7</f>
        <v>9.1</v>
      </c>
      <c r="AL281" s="6">
        <f>IF(AK281-C281&lt;0,0,AK281-C281)</f>
        <v>0</v>
      </c>
      <c r="AM281" s="6">
        <f>IF(AL281-R281-S281&lt;0,0,AL281-R281-S281)</f>
        <v>0</v>
      </c>
      <c r="AN281" s="5" t="str">
        <f t="shared" si="9"/>
        <v/>
      </c>
      <c r="AO281" s="5">
        <v>0</v>
      </c>
      <c r="AP281" s="9"/>
      <c r="AQ281" s="5" t="s">
        <v>1210</v>
      </c>
      <c r="AR281" s="5" t="s">
        <v>1210</v>
      </c>
      <c r="AS281" s="8"/>
      <c r="AT281" s="8"/>
      <c r="AU281" s="8"/>
      <c r="AV281" s="8"/>
      <c r="AW281" s="8"/>
      <c r="AX281" s="8"/>
      <c r="AY281" s="8"/>
      <c r="AZ281" s="8"/>
    </row>
    <row r="282" spans="1:52">
      <c r="A282" s="5" t="s">
        <v>649</v>
      </c>
      <c r="B282" s="5">
        <v>1021</v>
      </c>
      <c r="C282" s="19">
        <v>28</v>
      </c>
      <c r="E282" s="14"/>
      <c r="F282" s="11"/>
      <c r="G282" s="11"/>
      <c r="H282" s="11"/>
      <c r="I282" s="11"/>
      <c r="J282" s="25"/>
      <c r="K282" s="11"/>
      <c r="L282" s="11"/>
      <c r="M282" s="19">
        <v>0</v>
      </c>
      <c r="O282" s="6"/>
      <c r="P282" s="16">
        <v>0</v>
      </c>
      <c r="Q282" s="16">
        <v>0</v>
      </c>
      <c r="R282" s="22"/>
      <c r="S282" s="22">
        <f t="shared" si="8"/>
        <v>0</v>
      </c>
      <c r="T282" s="5">
        <v>1719</v>
      </c>
      <c r="U282" s="5">
        <v>524</v>
      </c>
      <c r="Y282" s="8"/>
      <c r="Z282" s="8"/>
      <c r="AA282" s="8"/>
      <c r="AB282" s="8"/>
      <c r="AC282" s="8"/>
      <c r="AD282" s="8"/>
      <c r="AE282" s="25"/>
      <c r="AF282" s="11"/>
      <c r="AG282" s="25"/>
      <c r="AH282" s="11"/>
      <c r="AI282" s="11">
        <v>39</v>
      </c>
      <c r="AJ282" s="19">
        <v>0</v>
      </c>
      <c r="AK282" s="12">
        <f>(AJ282+AI282)/30*7</f>
        <v>9.1</v>
      </c>
      <c r="AL282" s="6">
        <f>IF(AK282-C282&lt;0,0,AK282-C282)</f>
        <v>0</v>
      </c>
      <c r="AM282" s="6">
        <f>IF(AL282-R282-S282&lt;0,0,AL282-R282-S282)</f>
        <v>0</v>
      </c>
      <c r="AN282" s="5" t="str">
        <f t="shared" si="9"/>
        <v/>
      </c>
      <c r="AO282" s="5">
        <v>0</v>
      </c>
      <c r="AP282" s="9"/>
      <c r="AQ282" s="5" t="s">
        <v>1210</v>
      </c>
      <c r="AR282" s="5" t="s">
        <v>1210</v>
      </c>
      <c r="AS282" s="8"/>
      <c r="AT282" s="8"/>
      <c r="AU282" s="8"/>
      <c r="AV282" s="8"/>
      <c r="AW282" s="8"/>
      <c r="AX282" s="8"/>
      <c r="AY282" s="8"/>
      <c r="AZ282" s="8"/>
    </row>
    <row r="283" spans="1:52">
      <c r="A283" s="5" t="s">
        <v>848</v>
      </c>
      <c r="B283" s="5">
        <v>1398</v>
      </c>
      <c r="C283" s="19">
        <v>32</v>
      </c>
      <c r="E283" s="14"/>
      <c r="F283" s="11"/>
      <c r="G283" s="11"/>
      <c r="H283" s="11"/>
      <c r="I283" s="11"/>
      <c r="J283" s="25"/>
      <c r="K283" s="11"/>
      <c r="L283" s="11"/>
      <c r="M283" s="19">
        <v>0</v>
      </c>
      <c r="O283" s="6"/>
      <c r="P283" s="16">
        <v>0</v>
      </c>
      <c r="Q283" s="16">
        <v>0</v>
      </c>
      <c r="R283" s="22"/>
      <c r="S283" s="22">
        <f t="shared" si="8"/>
        <v>0</v>
      </c>
      <c r="T283" s="5">
        <v>1829</v>
      </c>
      <c r="U283" s="5">
        <v>644</v>
      </c>
      <c r="Y283" s="8"/>
      <c r="Z283" s="8"/>
      <c r="AA283" s="8"/>
      <c r="AB283" s="8"/>
      <c r="AC283" s="8"/>
      <c r="AD283" s="8"/>
      <c r="AE283" s="25"/>
      <c r="AF283" s="11"/>
      <c r="AG283" s="25"/>
      <c r="AH283" s="11"/>
      <c r="AI283" s="11">
        <v>39</v>
      </c>
      <c r="AJ283" s="19">
        <v>0</v>
      </c>
      <c r="AK283" s="12">
        <f>(AJ283+AI283)/30*7</f>
        <v>9.1</v>
      </c>
      <c r="AL283" s="6">
        <f>IF(AK283-C283&lt;0,0,AK283-C283)</f>
        <v>0</v>
      </c>
      <c r="AM283" s="6">
        <f>IF(AL283-R283-S283&lt;0,0,AL283-R283-S283)</f>
        <v>0</v>
      </c>
      <c r="AN283" s="5" t="str">
        <f t="shared" si="9"/>
        <v/>
      </c>
      <c r="AO283" s="5">
        <v>0</v>
      </c>
      <c r="AP283" s="9"/>
      <c r="AQ283" s="5" t="s">
        <v>1210</v>
      </c>
      <c r="AR283" s="5" t="s">
        <v>1210</v>
      </c>
      <c r="AS283" s="8"/>
      <c r="AT283" s="8"/>
      <c r="AU283" s="8"/>
      <c r="AV283" s="8"/>
      <c r="AW283" s="8"/>
      <c r="AX283" s="8"/>
      <c r="AY283" s="8"/>
      <c r="AZ283" s="8"/>
    </row>
    <row r="284" spans="1:52">
      <c r="A284" s="5" t="s">
        <v>904</v>
      </c>
      <c r="B284" s="5">
        <v>1117</v>
      </c>
      <c r="C284" s="19">
        <v>26</v>
      </c>
      <c r="E284" s="14"/>
      <c r="F284" s="11"/>
      <c r="G284" s="11"/>
      <c r="H284" s="11"/>
      <c r="I284" s="11"/>
      <c r="J284" s="25"/>
      <c r="K284" s="11"/>
      <c r="L284" s="11"/>
      <c r="M284" s="19">
        <v>0</v>
      </c>
      <c r="O284" s="6"/>
      <c r="P284" s="16">
        <v>0</v>
      </c>
      <c r="Q284" s="16">
        <v>0</v>
      </c>
      <c r="R284" s="22"/>
      <c r="S284" s="22">
        <f t="shared" si="8"/>
        <v>0</v>
      </c>
      <c r="T284" s="5">
        <v>1024</v>
      </c>
      <c r="U284" s="5">
        <v>27</v>
      </c>
      <c r="Y284" s="8"/>
      <c r="Z284" s="8"/>
      <c r="AA284" s="8"/>
      <c r="AB284" s="8"/>
      <c r="AC284" s="8"/>
      <c r="AD284" s="8"/>
      <c r="AE284" s="25"/>
      <c r="AF284" s="11"/>
      <c r="AG284" s="25"/>
      <c r="AH284" s="11"/>
      <c r="AI284" s="11">
        <v>38</v>
      </c>
      <c r="AJ284" s="19">
        <v>0</v>
      </c>
      <c r="AK284" s="12">
        <f>(AJ284+AI284)/30*7</f>
        <v>8.8666666666666671</v>
      </c>
      <c r="AL284" s="6">
        <f>IF(AK284-C284&lt;0,0,AK284-C284)</f>
        <v>0</v>
      </c>
      <c r="AM284" s="6">
        <f>IF(AL284-R284-S284&lt;0,0,AL284-R284-S284)</f>
        <v>0</v>
      </c>
      <c r="AN284" s="5" t="str">
        <f t="shared" si="9"/>
        <v/>
      </c>
      <c r="AO284" s="5">
        <v>0</v>
      </c>
      <c r="AP284" s="9"/>
      <c r="AQ284" s="5" t="s">
        <v>1210</v>
      </c>
      <c r="AR284" s="5" t="s">
        <v>1210</v>
      </c>
      <c r="AS284" s="8"/>
      <c r="AT284" s="8"/>
      <c r="AU284" s="8"/>
      <c r="AV284" s="8"/>
      <c r="AW284" s="8"/>
      <c r="AX284" s="8"/>
      <c r="AY284" s="8"/>
      <c r="AZ284" s="8"/>
    </row>
    <row r="285" spans="1:52">
      <c r="A285" s="5" t="s">
        <v>1102</v>
      </c>
      <c r="B285" s="5">
        <v>1915</v>
      </c>
      <c r="C285" s="19">
        <v>21</v>
      </c>
      <c r="E285" s="14"/>
      <c r="F285" s="11"/>
      <c r="G285" s="11"/>
      <c r="H285" s="11"/>
      <c r="I285" s="11"/>
      <c r="J285" s="25"/>
      <c r="K285" s="11"/>
      <c r="L285" s="11"/>
      <c r="M285" s="19">
        <v>0</v>
      </c>
      <c r="O285" s="6"/>
      <c r="P285" s="16">
        <v>230</v>
      </c>
      <c r="Q285" s="16">
        <v>0</v>
      </c>
      <c r="R285" s="22"/>
      <c r="S285" s="22">
        <f t="shared" si="8"/>
        <v>0</v>
      </c>
      <c r="T285" s="5">
        <v>1857</v>
      </c>
      <c r="U285" s="5">
        <v>637</v>
      </c>
      <c r="Y285" s="8"/>
      <c r="Z285" s="8"/>
      <c r="AA285" s="8"/>
      <c r="AB285" s="8"/>
      <c r="AC285" s="8"/>
      <c r="AD285" s="8"/>
      <c r="AE285" s="25"/>
      <c r="AF285" s="11"/>
      <c r="AG285" s="25"/>
      <c r="AH285" s="11"/>
      <c r="AI285" s="11">
        <v>38</v>
      </c>
      <c r="AJ285" s="19">
        <v>0</v>
      </c>
      <c r="AK285" s="12">
        <f>(AJ285+AI285)/30*7</f>
        <v>8.8666666666666671</v>
      </c>
      <c r="AL285" s="6">
        <f>IF(AK285-C285&lt;0,0,AK285-C285)</f>
        <v>0</v>
      </c>
      <c r="AM285" s="6">
        <f>IF(AL285-R285-S285&lt;0,0,AL285-R285-S285)</f>
        <v>0</v>
      </c>
      <c r="AN285" s="5" t="str">
        <f t="shared" si="9"/>
        <v/>
      </c>
      <c r="AO285" s="5">
        <v>0</v>
      </c>
      <c r="AP285" s="9"/>
      <c r="AQ285" s="5" t="s">
        <v>1210</v>
      </c>
      <c r="AR285" s="5" t="s">
        <v>1230</v>
      </c>
      <c r="AS285" s="8"/>
      <c r="AT285" s="8"/>
      <c r="AU285" s="8"/>
      <c r="AV285" s="8"/>
      <c r="AW285" s="8"/>
      <c r="AX285" s="8"/>
      <c r="AY285" s="8"/>
      <c r="AZ285" s="8"/>
    </row>
    <row r="286" spans="1:52">
      <c r="A286" s="5" t="s">
        <v>856</v>
      </c>
      <c r="B286" s="5">
        <v>712</v>
      </c>
      <c r="C286" s="19">
        <v>31</v>
      </c>
      <c r="E286" s="14"/>
      <c r="F286" s="11"/>
      <c r="G286" s="11"/>
      <c r="H286" s="11"/>
      <c r="I286" s="11"/>
      <c r="J286" s="25"/>
      <c r="K286" s="11"/>
      <c r="L286" s="11"/>
      <c r="M286" s="19">
        <v>0</v>
      </c>
      <c r="O286" s="6"/>
      <c r="P286" s="16">
        <v>0</v>
      </c>
      <c r="Q286" s="16">
        <v>0</v>
      </c>
      <c r="R286" s="22"/>
      <c r="S286" s="22">
        <f t="shared" si="8"/>
        <v>0</v>
      </c>
      <c r="T286" s="5">
        <v>477</v>
      </c>
      <c r="U286" s="5">
        <v>773</v>
      </c>
      <c r="Y286" s="8"/>
      <c r="Z286" s="8"/>
      <c r="AA286" s="8"/>
      <c r="AB286" s="8"/>
      <c r="AC286" s="8"/>
      <c r="AD286" s="8"/>
      <c r="AE286" s="25"/>
      <c r="AF286" s="11"/>
      <c r="AG286" s="25"/>
      <c r="AH286" s="11"/>
      <c r="AI286" s="11">
        <v>37</v>
      </c>
      <c r="AJ286" s="19">
        <v>0</v>
      </c>
      <c r="AK286" s="12">
        <f>(AJ286+AI286)/30*7</f>
        <v>8.6333333333333329</v>
      </c>
      <c r="AL286" s="6">
        <f>IF(AK286-C286&lt;0,0,AK286-C286)</f>
        <v>0</v>
      </c>
      <c r="AM286" s="6">
        <f>IF(AL286-R286-S286&lt;0,0,AL286-R286-S286)</f>
        <v>0</v>
      </c>
      <c r="AN286" s="5" t="str">
        <f t="shared" si="9"/>
        <v/>
      </c>
      <c r="AO286" s="5">
        <v>0</v>
      </c>
      <c r="AP286" s="9"/>
      <c r="AQ286" s="5" t="s">
        <v>1210</v>
      </c>
      <c r="AR286" s="5" t="s">
        <v>1210</v>
      </c>
      <c r="AS286" s="8"/>
      <c r="AT286" s="8"/>
      <c r="AU286" s="8"/>
      <c r="AV286" s="8"/>
      <c r="AW286" s="8"/>
      <c r="AX286" s="8"/>
      <c r="AY286" s="8"/>
      <c r="AZ286" s="8"/>
    </row>
    <row r="287" spans="1:52">
      <c r="A287" s="5" t="s">
        <v>684</v>
      </c>
      <c r="B287" s="5">
        <v>1006</v>
      </c>
      <c r="C287" s="19">
        <v>19</v>
      </c>
      <c r="E287" s="14"/>
      <c r="F287" s="11"/>
      <c r="G287" s="11"/>
      <c r="H287" s="11"/>
      <c r="I287" s="11"/>
      <c r="J287" s="25"/>
      <c r="K287" s="11"/>
      <c r="L287" s="11"/>
      <c r="M287" s="19">
        <v>0</v>
      </c>
      <c r="O287" s="6"/>
      <c r="P287" s="16">
        <v>0</v>
      </c>
      <c r="Q287" s="16">
        <v>0</v>
      </c>
      <c r="R287" s="22"/>
      <c r="S287" s="22">
        <f t="shared" si="8"/>
        <v>0</v>
      </c>
      <c r="T287" s="5" t="s">
        <v>1210</v>
      </c>
      <c r="U287" s="5" t="s">
        <v>1210</v>
      </c>
      <c r="Y287" s="8"/>
      <c r="Z287" s="8"/>
      <c r="AA287" s="8"/>
      <c r="AB287" s="8"/>
      <c r="AC287" s="8"/>
      <c r="AD287" s="8"/>
      <c r="AE287" s="25"/>
      <c r="AF287" s="11"/>
      <c r="AG287" s="25"/>
      <c r="AH287" s="11"/>
      <c r="AI287" s="11">
        <v>37</v>
      </c>
      <c r="AJ287" s="19">
        <v>0</v>
      </c>
      <c r="AK287" s="12">
        <f>(AJ287+AI287)/30*7</f>
        <v>8.6333333333333329</v>
      </c>
      <c r="AL287" s="6">
        <f>IF(AK287-C287&lt;0,0,AK287-C287)</f>
        <v>0</v>
      </c>
      <c r="AM287" s="6">
        <f>IF(AL287-R287-S287&lt;0,0,AL287-R287-S287)</f>
        <v>0</v>
      </c>
      <c r="AN287" s="5" t="str">
        <f t="shared" si="9"/>
        <v/>
      </c>
      <c r="AO287" s="5">
        <v>0</v>
      </c>
      <c r="AP287" s="9"/>
      <c r="AQ287" s="5" t="s">
        <v>1210</v>
      </c>
      <c r="AR287" s="5" t="s">
        <v>1210</v>
      </c>
      <c r="AS287" s="8"/>
      <c r="AT287" s="8"/>
      <c r="AU287" s="8"/>
      <c r="AV287" s="8"/>
      <c r="AW287" s="8"/>
      <c r="AX287" s="8"/>
      <c r="AY287" s="8"/>
      <c r="AZ287" s="8"/>
    </row>
    <row r="288" spans="1:52">
      <c r="A288" s="5" t="s">
        <v>985</v>
      </c>
      <c r="B288" s="5">
        <v>1050</v>
      </c>
      <c r="C288" s="19">
        <v>37</v>
      </c>
      <c r="E288" s="14"/>
      <c r="F288" s="11"/>
      <c r="G288" s="11"/>
      <c r="H288" s="11"/>
      <c r="I288" s="11"/>
      <c r="J288" s="25"/>
      <c r="K288" s="11"/>
      <c r="L288" s="11"/>
      <c r="M288" s="19">
        <v>0</v>
      </c>
      <c r="O288" s="6"/>
      <c r="P288" s="16">
        <v>0</v>
      </c>
      <c r="Q288" s="16">
        <v>0</v>
      </c>
      <c r="R288" s="22"/>
      <c r="S288" s="22">
        <f t="shared" si="8"/>
        <v>0</v>
      </c>
      <c r="T288" s="5">
        <v>1001</v>
      </c>
      <c r="U288" s="5">
        <v>812</v>
      </c>
      <c r="Y288" s="8"/>
      <c r="Z288" s="8"/>
      <c r="AA288" s="8"/>
      <c r="AB288" s="8"/>
      <c r="AC288" s="8"/>
      <c r="AD288" s="8"/>
      <c r="AE288" s="25"/>
      <c r="AF288" s="11"/>
      <c r="AG288" s="25"/>
      <c r="AH288" s="11"/>
      <c r="AI288" s="11">
        <v>37</v>
      </c>
      <c r="AJ288" s="19">
        <v>0</v>
      </c>
      <c r="AK288" s="12">
        <f>(AJ288+AI288)/30*7</f>
        <v>8.6333333333333329</v>
      </c>
      <c r="AL288" s="6">
        <f>IF(AK288-C288&lt;0,0,AK288-C288)</f>
        <v>0</v>
      </c>
      <c r="AM288" s="6">
        <f>IF(AL288-R288-S288&lt;0,0,AL288-R288-S288)</f>
        <v>0</v>
      </c>
      <c r="AN288" s="5" t="str">
        <f t="shared" si="9"/>
        <v/>
      </c>
      <c r="AO288" s="5">
        <v>0</v>
      </c>
      <c r="AP288" s="9"/>
      <c r="AQ288" s="5" t="s">
        <v>1210</v>
      </c>
      <c r="AR288" s="5" t="s">
        <v>1210</v>
      </c>
      <c r="AS288" s="8"/>
      <c r="AT288" s="8"/>
      <c r="AU288" s="8"/>
      <c r="AV288" s="8"/>
      <c r="AW288" s="8"/>
      <c r="AX288" s="8"/>
      <c r="AY288" s="8"/>
      <c r="AZ288" s="8"/>
    </row>
    <row r="289" spans="1:52">
      <c r="A289" s="5" t="s">
        <v>901</v>
      </c>
      <c r="B289" s="5">
        <v>1284</v>
      </c>
      <c r="C289" s="19">
        <v>25</v>
      </c>
      <c r="E289" s="14"/>
      <c r="F289" s="11"/>
      <c r="G289" s="11"/>
      <c r="H289" s="11"/>
      <c r="I289" s="11"/>
      <c r="J289" s="25"/>
      <c r="K289" s="11"/>
      <c r="L289" s="11"/>
      <c r="M289" s="19">
        <v>0</v>
      </c>
      <c r="O289" s="6"/>
      <c r="P289" s="16">
        <v>0</v>
      </c>
      <c r="Q289" s="16">
        <v>0</v>
      </c>
      <c r="R289" s="22"/>
      <c r="S289" s="22">
        <f t="shared" si="8"/>
        <v>0</v>
      </c>
      <c r="T289" s="5">
        <v>1916</v>
      </c>
      <c r="U289" s="5">
        <v>863</v>
      </c>
      <c r="Y289" s="8"/>
      <c r="Z289" s="8"/>
      <c r="AA289" s="8"/>
      <c r="AB289" s="8"/>
      <c r="AC289" s="8"/>
      <c r="AD289" s="8"/>
      <c r="AE289" s="25"/>
      <c r="AF289" s="11"/>
      <c r="AG289" s="25"/>
      <c r="AH289" s="11"/>
      <c r="AI289" s="11">
        <v>37</v>
      </c>
      <c r="AJ289" s="19">
        <v>0</v>
      </c>
      <c r="AK289" s="12">
        <f>(AJ289+AI289)/30*7</f>
        <v>8.6333333333333329</v>
      </c>
      <c r="AL289" s="6">
        <f>IF(AK289-C289&lt;0,0,AK289-C289)</f>
        <v>0</v>
      </c>
      <c r="AM289" s="6">
        <f>IF(AL289-R289-S289&lt;0,0,AL289-R289-S289)</f>
        <v>0</v>
      </c>
      <c r="AN289" s="5" t="str">
        <f t="shared" si="9"/>
        <v/>
      </c>
      <c r="AO289" s="5">
        <v>0</v>
      </c>
      <c r="AP289" s="9"/>
      <c r="AQ289" s="5" t="s">
        <v>1210</v>
      </c>
      <c r="AR289" s="5" t="s">
        <v>1210</v>
      </c>
      <c r="AS289" s="8"/>
      <c r="AT289" s="8"/>
      <c r="AU289" s="8"/>
      <c r="AV289" s="8"/>
      <c r="AW289" s="8"/>
      <c r="AX289" s="8"/>
      <c r="AY289" s="8"/>
      <c r="AZ289" s="8"/>
    </row>
    <row r="290" spans="1:52">
      <c r="A290" s="5" t="s">
        <v>1003</v>
      </c>
      <c r="B290" s="5">
        <v>1559</v>
      </c>
      <c r="C290" s="19">
        <v>39</v>
      </c>
      <c r="E290" s="14"/>
      <c r="F290" s="11"/>
      <c r="G290" s="11"/>
      <c r="H290" s="11"/>
      <c r="I290" s="11"/>
      <c r="J290" s="25"/>
      <c r="K290" s="11"/>
      <c r="L290" s="11"/>
      <c r="M290" s="19">
        <v>0</v>
      </c>
      <c r="O290" s="6"/>
      <c r="P290" s="16">
        <v>993</v>
      </c>
      <c r="Q290" s="16">
        <v>0</v>
      </c>
      <c r="R290" s="22"/>
      <c r="S290" s="22">
        <f t="shared" si="8"/>
        <v>0</v>
      </c>
      <c r="T290" s="5">
        <v>1421</v>
      </c>
      <c r="U290" s="5">
        <v>859</v>
      </c>
      <c r="Y290" s="8"/>
      <c r="Z290" s="8"/>
      <c r="AA290" s="8"/>
      <c r="AB290" s="8"/>
      <c r="AC290" s="8"/>
      <c r="AD290" s="8"/>
      <c r="AE290" s="25"/>
      <c r="AF290" s="11"/>
      <c r="AG290" s="25"/>
      <c r="AH290" s="11"/>
      <c r="AI290" s="11">
        <v>37</v>
      </c>
      <c r="AJ290" s="19">
        <v>0</v>
      </c>
      <c r="AK290" s="12">
        <f>(AJ290+AI290)/30*7</f>
        <v>8.6333333333333329</v>
      </c>
      <c r="AL290" s="6">
        <f>IF(AK290-C290&lt;0,0,AK290-C290)</f>
        <v>0</v>
      </c>
      <c r="AM290" s="6">
        <f>IF(AL290-R290-S290&lt;0,0,AL290-R290-S290)</f>
        <v>0</v>
      </c>
      <c r="AN290" s="5" t="str">
        <f t="shared" si="9"/>
        <v/>
      </c>
      <c r="AO290" s="5">
        <v>0</v>
      </c>
      <c r="AP290" s="9"/>
      <c r="AQ290" s="5" t="s">
        <v>1210</v>
      </c>
      <c r="AR290" s="5" t="s">
        <v>1230</v>
      </c>
      <c r="AS290" s="8"/>
      <c r="AT290" s="8"/>
      <c r="AU290" s="8"/>
      <c r="AV290" s="8"/>
      <c r="AW290" s="8"/>
      <c r="AX290" s="8"/>
      <c r="AY290" s="8"/>
      <c r="AZ290" s="8"/>
    </row>
    <row r="291" spans="1:52">
      <c r="A291" s="5" t="s">
        <v>972</v>
      </c>
      <c r="B291" s="5">
        <v>1772</v>
      </c>
      <c r="C291" s="19">
        <v>35</v>
      </c>
      <c r="E291" s="14"/>
      <c r="F291" s="11"/>
      <c r="G291" s="11"/>
      <c r="H291" s="11"/>
      <c r="I291" s="11"/>
      <c r="J291" s="25"/>
      <c r="K291" s="11"/>
      <c r="L291" s="11"/>
      <c r="M291" s="19">
        <v>0</v>
      </c>
      <c r="O291" s="6"/>
      <c r="P291" s="16">
        <v>0</v>
      </c>
      <c r="Q291" s="16">
        <v>0</v>
      </c>
      <c r="R291" s="22"/>
      <c r="S291" s="22">
        <f t="shared" si="8"/>
        <v>0</v>
      </c>
      <c r="T291" s="5">
        <v>1378</v>
      </c>
      <c r="U291" s="5">
        <v>218</v>
      </c>
      <c r="Y291" s="8"/>
      <c r="Z291" s="8"/>
      <c r="AA291" s="8"/>
      <c r="AB291" s="8"/>
      <c r="AC291" s="8"/>
      <c r="AD291" s="8"/>
      <c r="AE291" s="25"/>
      <c r="AF291" s="11"/>
      <c r="AG291" s="25"/>
      <c r="AH291" s="11"/>
      <c r="AI291" s="11">
        <v>37</v>
      </c>
      <c r="AJ291" s="19">
        <v>0</v>
      </c>
      <c r="AK291" s="12">
        <f>(AJ291+AI291)/30*7</f>
        <v>8.6333333333333329</v>
      </c>
      <c r="AL291" s="6">
        <f>IF(AK291-C291&lt;0,0,AK291-C291)</f>
        <v>0</v>
      </c>
      <c r="AM291" s="6">
        <f>IF(AL291-R291-S291&lt;0,0,AL291-R291-S291)</f>
        <v>0</v>
      </c>
      <c r="AN291" s="5" t="str">
        <f t="shared" si="9"/>
        <v/>
      </c>
      <c r="AO291" s="5">
        <v>0</v>
      </c>
      <c r="AP291" s="9"/>
      <c r="AQ291" s="5" t="s">
        <v>1210</v>
      </c>
      <c r="AR291" s="5" t="s">
        <v>1210</v>
      </c>
      <c r="AS291" s="8"/>
      <c r="AT291" s="8"/>
      <c r="AU291" s="8"/>
      <c r="AV291" s="8"/>
      <c r="AW291" s="8"/>
      <c r="AX291" s="8"/>
      <c r="AY291" s="8"/>
      <c r="AZ291" s="8"/>
    </row>
    <row r="292" spans="1:52">
      <c r="A292" s="5" t="s">
        <v>734</v>
      </c>
      <c r="B292" s="5">
        <v>422</v>
      </c>
      <c r="C292" s="19">
        <v>34</v>
      </c>
      <c r="E292" s="14"/>
      <c r="F292" s="11"/>
      <c r="G292" s="11"/>
      <c r="H292" s="11"/>
      <c r="I292" s="11"/>
      <c r="J292" s="25"/>
      <c r="K292" s="11"/>
      <c r="L292" s="11"/>
      <c r="M292" s="19">
        <v>0</v>
      </c>
      <c r="O292" s="6"/>
      <c r="P292" s="16">
        <v>0</v>
      </c>
      <c r="Q292" s="16">
        <v>0</v>
      </c>
      <c r="R292" s="22"/>
      <c r="S292" s="22">
        <f t="shared" si="8"/>
        <v>0</v>
      </c>
      <c r="T292" s="5" t="s">
        <v>1210</v>
      </c>
      <c r="U292" s="5" t="s">
        <v>1210</v>
      </c>
      <c r="Y292" s="8"/>
      <c r="Z292" s="8"/>
      <c r="AA292" s="8"/>
      <c r="AB292" s="8"/>
      <c r="AC292" s="8"/>
      <c r="AD292" s="8"/>
      <c r="AE292" s="25"/>
      <c r="AF292" s="11"/>
      <c r="AG292" s="25"/>
      <c r="AH292" s="11"/>
      <c r="AI292" s="11">
        <v>36</v>
      </c>
      <c r="AJ292" s="19">
        <v>0</v>
      </c>
      <c r="AK292" s="12">
        <f>(AJ292+AI292)/30*7</f>
        <v>8.4</v>
      </c>
      <c r="AL292" s="6">
        <f>IF(AK292-C292&lt;0,0,AK292-C292)</f>
        <v>0</v>
      </c>
      <c r="AM292" s="6">
        <f>IF(AL292-R292-S292&lt;0,0,AL292-R292-S292)</f>
        <v>0</v>
      </c>
      <c r="AN292" s="5" t="str">
        <f t="shared" si="9"/>
        <v/>
      </c>
      <c r="AO292" s="5">
        <v>0</v>
      </c>
      <c r="AP292" s="9"/>
      <c r="AQ292" s="5" t="s">
        <v>1210</v>
      </c>
      <c r="AR292" s="5" t="s">
        <v>1210</v>
      </c>
      <c r="AS292" s="8"/>
      <c r="AT292" s="8"/>
      <c r="AU292" s="8"/>
      <c r="AV292" s="8"/>
      <c r="AW292" s="8"/>
      <c r="AX292" s="8"/>
      <c r="AY292" s="8"/>
      <c r="AZ292" s="8"/>
    </row>
    <row r="293" spans="1:52">
      <c r="A293" s="5" t="s">
        <v>651</v>
      </c>
      <c r="B293" s="5">
        <v>501</v>
      </c>
      <c r="C293" s="19">
        <v>23</v>
      </c>
      <c r="E293" s="14"/>
      <c r="F293" s="11"/>
      <c r="G293" s="11"/>
      <c r="H293" s="11"/>
      <c r="I293" s="11"/>
      <c r="J293" s="25"/>
      <c r="K293" s="11"/>
      <c r="L293" s="11"/>
      <c r="M293" s="19">
        <v>0</v>
      </c>
      <c r="O293" s="6"/>
      <c r="P293" s="16">
        <v>0</v>
      </c>
      <c r="Q293" s="16">
        <v>0</v>
      </c>
      <c r="R293" s="22"/>
      <c r="S293" s="22">
        <f t="shared" si="8"/>
        <v>0</v>
      </c>
      <c r="U293" s="5" t="s">
        <v>1210</v>
      </c>
      <c r="Y293" s="8"/>
      <c r="Z293" s="8"/>
      <c r="AA293" s="8"/>
      <c r="AB293" s="8"/>
      <c r="AC293" s="8"/>
      <c r="AD293" s="8"/>
      <c r="AE293" s="25"/>
      <c r="AF293" s="11"/>
      <c r="AG293" s="25"/>
      <c r="AH293" s="11"/>
      <c r="AI293" s="11">
        <v>36</v>
      </c>
      <c r="AJ293" s="19">
        <v>0</v>
      </c>
      <c r="AK293" s="12">
        <f>(AJ293+AI293)/30*7</f>
        <v>8.4</v>
      </c>
      <c r="AL293" s="6">
        <f>IF(AK293-C293&lt;0,0,AK293-C293)</f>
        <v>0</v>
      </c>
      <c r="AM293" s="6">
        <f>IF(AL293-R293-S293&lt;0,0,AL293-R293-S293)</f>
        <v>0</v>
      </c>
      <c r="AN293" s="5" t="str">
        <f t="shared" si="9"/>
        <v/>
      </c>
      <c r="AO293" s="5">
        <v>0</v>
      </c>
      <c r="AP293" s="9"/>
      <c r="AS293" s="8"/>
      <c r="AT293" s="8"/>
      <c r="AU293" s="8"/>
      <c r="AV293" s="8"/>
      <c r="AW293" s="8"/>
      <c r="AX293" s="8"/>
      <c r="AY293" s="8"/>
      <c r="AZ293" s="8"/>
    </row>
    <row r="294" spans="1:52">
      <c r="A294" s="5" t="s">
        <v>1122</v>
      </c>
      <c r="B294" s="5">
        <v>684</v>
      </c>
      <c r="C294" s="19">
        <v>29</v>
      </c>
      <c r="E294" s="14"/>
      <c r="F294" s="11"/>
      <c r="G294" s="11"/>
      <c r="H294" s="11"/>
      <c r="I294" s="11"/>
      <c r="J294" s="25"/>
      <c r="K294" s="11"/>
      <c r="L294" s="11"/>
      <c r="M294" s="19">
        <v>0</v>
      </c>
      <c r="O294" s="6"/>
      <c r="P294" s="16">
        <v>0</v>
      </c>
      <c r="Q294" s="16">
        <v>0</v>
      </c>
      <c r="R294" s="22"/>
      <c r="S294" s="22">
        <f t="shared" si="8"/>
        <v>0</v>
      </c>
      <c r="T294" s="5">
        <v>696</v>
      </c>
      <c r="U294" s="5">
        <v>296</v>
      </c>
      <c r="Y294" s="8"/>
      <c r="Z294" s="8"/>
      <c r="AA294" s="8"/>
      <c r="AB294" s="8"/>
      <c r="AC294" s="8"/>
      <c r="AD294" s="8"/>
      <c r="AE294" s="25"/>
      <c r="AF294" s="11"/>
      <c r="AG294" s="25"/>
      <c r="AH294" s="11"/>
      <c r="AI294" s="11">
        <v>36</v>
      </c>
      <c r="AJ294" s="19">
        <v>0</v>
      </c>
      <c r="AK294" s="12">
        <f>(AJ294+AI294)/30*7</f>
        <v>8.4</v>
      </c>
      <c r="AL294" s="6">
        <f>IF(AK294-C294&lt;0,0,AK294-C294)</f>
        <v>0</v>
      </c>
      <c r="AM294" s="6">
        <f>IF(AL294-R294-S294&lt;0,0,AL294-R294-S294)</f>
        <v>0</v>
      </c>
      <c r="AN294" s="5" t="str">
        <f t="shared" si="9"/>
        <v/>
      </c>
      <c r="AO294" s="5">
        <v>0</v>
      </c>
      <c r="AP294" s="9"/>
      <c r="AQ294" s="5" t="s">
        <v>1210</v>
      </c>
      <c r="AR294" s="5" t="s">
        <v>1210</v>
      </c>
      <c r="AS294" s="8"/>
      <c r="AT294" s="8"/>
      <c r="AU294" s="8"/>
      <c r="AV294" s="8"/>
      <c r="AW294" s="8"/>
      <c r="AX294" s="8"/>
      <c r="AY294" s="8"/>
      <c r="AZ294" s="8"/>
    </row>
    <row r="295" spans="1:52">
      <c r="A295" s="5" t="s">
        <v>544</v>
      </c>
      <c r="B295" s="5">
        <v>966</v>
      </c>
      <c r="C295" s="19">
        <v>30</v>
      </c>
      <c r="E295" s="14"/>
      <c r="F295" s="11"/>
      <c r="G295" s="11"/>
      <c r="H295" s="11"/>
      <c r="I295" s="11"/>
      <c r="J295" s="25"/>
      <c r="K295" s="11"/>
      <c r="L295" s="11"/>
      <c r="M295" s="19">
        <v>0</v>
      </c>
      <c r="O295" s="6"/>
      <c r="P295" s="16">
        <v>0</v>
      </c>
      <c r="Q295" s="16">
        <v>0</v>
      </c>
      <c r="R295" s="22"/>
      <c r="S295" s="22">
        <f t="shared" si="8"/>
        <v>0</v>
      </c>
      <c r="T295" s="5">
        <v>702</v>
      </c>
      <c r="U295" s="5">
        <v>329</v>
      </c>
      <c r="Y295" s="8"/>
      <c r="Z295" s="8"/>
      <c r="AA295" s="8"/>
      <c r="AB295" s="8"/>
      <c r="AC295" s="8"/>
      <c r="AD295" s="8"/>
      <c r="AE295" s="25"/>
      <c r="AF295" s="11"/>
      <c r="AG295" s="25"/>
      <c r="AH295" s="11"/>
      <c r="AI295" s="11">
        <v>36</v>
      </c>
      <c r="AJ295" s="19">
        <v>0</v>
      </c>
      <c r="AK295" s="12">
        <f>(AJ295+AI295)/30*7</f>
        <v>8.4</v>
      </c>
      <c r="AL295" s="6">
        <f>IF(AK295-C295&lt;0,0,AK295-C295)</f>
        <v>0</v>
      </c>
      <c r="AM295" s="6">
        <f>IF(AL295-R295-S295&lt;0,0,AL295-R295-S295)</f>
        <v>0</v>
      </c>
      <c r="AN295" s="5" t="str">
        <f t="shared" si="9"/>
        <v/>
      </c>
      <c r="AO295" s="5">
        <v>0</v>
      </c>
      <c r="AP295" s="9"/>
      <c r="AQ295" s="5" t="s">
        <v>1210</v>
      </c>
      <c r="AR295" s="5" t="s">
        <v>1210</v>
      </c>
      <c r="AS295" s="8"/>
      <c r="AT295" s="8"/>
      <c r="AU295" s="8"/>
      <c r="AV295" s="8"/>
      <c r="AW295" s="8"/>
      <c r="AX295" s="8"/>
      <c r="AY295" s="8"/>
      <c r="AZ295" s="8"/>
    </row>
    <row r="296" spans="1:52">
      <c r="A296" s="5" t="s">
        <v>702</v>
      </c>
      <c r="B296" s="5">
        <v>1183</v>
      </c>
      <c r="C296" s="19">
        <v>24</v>
      </c>
      <c r="E296" s="14"/>
      <c r="F296" s="11"/>
      <c r="G296" s="11"/>
      <c r="H296" s="11"/>
      <c r="I296" s="11"/>
      <c r="J296" s="25"/>
      <c r="K296" s="11"/>
      <c r="L296" s="11"/>
      <c r="M296" s="19">
        <v>0</v>
      </c>
      <c r="O296" s="6"/>
      <c r="P296" s="16">
        <v>0</v>
      </c>
      <c r="Q296" s="16">
        <v>0</v>
      </c>
      <c r="R296" s="22"/>
      <c r="S296" s="22">
        <f t="shared" si="8"/>
        <v>0</v>
      </c>
      <c r="T296" s="5">
        <v>1015</v>
      </c>
      <c r="U296" s="5">
        <v>378</v>
      </c>
      <c r="Y296" s="8"/>
      <c r="Z296" s="8"/>
      <c r="AA296" s="8"/>
      <c r="AB296" s="8"/>
      <c r="AC296" s="8"/>
      <c r="AD296" s="8"/>
      <c r="AE296" s="25"/>
      <c r="AF296" s="11"/>
      <c r="AG296" s="25"/>
      <c r="AH296" s="11"/>
      <c r="AI296" s="11">
        <v>36</v>
      </c>
      <c r="AJ296" s="19">
        <v>0</v>
      </c>
      <c r="AK296" s="12">
        <f>(AJ296+AI296)/30*7</f>
        <v>8.4</v>
      </c>
      <c r="AL296" s="6">
        <f>IF(AK296-C296&lt;0,0,AK296-C296)</f>
        <v>0</v>
      </c>
      <c r="AM296" s="6">
        <f>IF(AL296-R296-S296&lt;0,0,AL296-R296-S296)</f>
        <v>0</v>
      </c>
      <c r="AN296" s="5" t="str">
        <f t="shared" si="9"/>
        <v/>
      </c>
      <c r="AO296" s="5">
        <v>0</v>
      </c>
      <c r="AP296" s="9"/>
      <c r="AQ296" s="5" t="s">
        <v>1210</v>
      </c>
      <c r="AR296" s="5" t="s">
        <v>1210</v>
      </c>
      <c r="AS296" s="8"/>
      <c r="AT296" s="8"/>
      <c r="AU296" s="8"/>
      <c r="AV296" s="8"/>
      <c r="AW296" s="8"/>
      <c r="AX296" s="8"/>
      <c r="AY296" s="8"/>
      <c r="AZ296" s="8"/>
    </row>
    <row r="297" spans="1:52">
      <c r="A297" s="5" t="s">
        <v>801</v>
      </c>
      <c r="B297" s="5">
        <v>522</v>
      </c>
      <c r="C297" s="19">
        <v>20</v>
      </c>
      <c r="E297" s="14"/>
      <c r="F297" s="11"/>
      <c r="G297" s="11"/>
      <c r="H297" s="11"/>
      <c r="I297" s="11"/>
      <c r="J297" s="25"/>
      <c r="K297" s="11"/>
      <c r="L297" s="11"/>
      <c r="M297" s="19">
        <v>0</v>
      </c>
      <c r="O297" s="6"/>
      <c r="P297" s="16">
        <v>0</v>
      </c>
      <c r="Q297" s="16">
        <v>0</v>
      </c>
      <c r="R297" s="22"/>
      <c r="S297" s="22">
        <f t="shared" si="8"/>
        <v>0</v>
      </c>
      <c r="T297" s="5" t="s">
        <v>1210</v>
      </c>
      <c r="U297" s="5" t="s">
        <v>1210</v>
      </c>
      <c r="Y297" s="8"/>
      <c r="Z297" s="8"/>
      <c r="AA297" s="8"/>
      <c r="AB297" s="8"/>
      <c r="AC297" s="8"/>
      <c r="AD297" s="8"/>
      <c r="AE297" s="25"/>
      <c r="AF297" s="11"/>
      <c r="AG297" s="25"/>
      <c r="AH297" s="11"/>
      <c r="AI297" s="11">
        <v>35</v>
      </c>
      <c r="AJ297" s="19">
        <v>0</v>
      </c>
      <c r="AK297" s="12">
        <f>(AJ297+AI297)/30*7</f>
        <v>8.1666666666666679</v>
      </c>
      <c r="AL297" s="6">
        <f>IF(AK297-C297&lt;0,0,AK297-C297)</f>
        <v>0</v>
      </c>
      <c r="AM297" s="6">
        <f>IF(AL297-R297-S297&lt;0,0,AL297-R297-S297)</f>
        <v>0</v>
      </c>
      <c r="AN297" s="5" t="str">
        <f t="shared" si="9"/>
        <v/>
      </c>
      <c r="AO297" s="5">
        <v>0</v>
      </c>
      <c r="AP297" s="9"/>
      <c r="AQ297" s="5" t="s">
        <v>1210</v>
      </c>
      <c r="AR297" s="5" t="s">
        <v>1210</v>
      </c>
      <c r="AS297" s="8"/>
      <c r="AT297" s="8"/>
      <c r="AU297" s="8"/>
      <c r="AV297" s="8"/>
      <c r="AW297" s="8"/>
      <c r="AX297" s="8"/>
      <c r="AY297" s="8"/>
      <c r="AZ297" s="8"/>
    </row>
    <row r="298" spans="1:52">
      <c r="A298" s="5" t="s">
        <v>923</v>
      </c>
      <c r="B298" s="5">
        <v>809</v>
      </c>
      <c r="C298" s="19">
        <v>17</v>
      </c>
      <c r="E298" s="14"/>
      <c r="F298" s="11"/>
      <c r="G298" s="11"/>
      <c r="H298" s="11"/>
      <c r="I298" s="11"/>
      <c r="J298" s="25"/>
      <c r="K298" s="11"/>
      <c r="L298" s="11"/>
      <c r="M298" s="19">
        <v>0</v>
      </c>
      <c r="O298" s="6"/>
      <c r="P298" s="16">
        <v>0</v>
      </c>
      <c r="Q298" s="16">
        <v>0</v>
      </c>
      <c r="R298" s="22"/>
      <c r="S298" s="22">
        <f t="shared" si="8"/>
        <v>0</v>
      </c>
      <c r="T298" s="5" t="s">
        <v>1210</v>
      </c>
      <c r="U298" s="5" t="s">
        <v>1210</v>
      </c>
      <c r="Y298" s="8"/>
      <c r="Z298" s="8"/>
      <c r="AA298" s="8"/>
      <c r="AB298" s="8"/>
      <c r="AC298" s="8"/>
      <c r="AD298" s="8"/>
      <c r="AE298" s="25"/>
      <c r="AF298" s="11"/>
      <c r="AG298" s="25"/>
      <c r="AH298" s="11"/>
      <c r="AI298" s="11">
        <v>35</v>
      </c>
      <c r="AJ298" s="19">
        <v>0</v>
      </c>
      <c r="AK298" s="12">
        <f>(AJ298+AI298)/30*7</f>
        <v>8.1666666666666679</v>
      </c>
      <c r="AL298" s="6">
        <f>IF(AK298-C298&lt;0,0,AK298-C298)</f>
        <v>0</v>
      </c>
      <c r="AM298" s="6">
        <f>IF(AL298-R298-S298&lt;0,0,AL298-R298-S298)</f>
        <v>0</v>
      </c>
      <c r="AN298" s="5" t="str">
        <f t="shared" si="9"/>
        <v/>
      </c>
      <c r="AO298" s="5">
        <v>0</v>
      </c>
      <c r="AP298" s="9"/>
      <c r="AQ298" s="5" t="s">
        <v>1210</v>
      </c>
      <c r="AR298" s="5" t="s">
        <v>1210</v>
      </c>
      <c r="AS298" s="8"/>
      <c r="AT298" s="8"/>
      <c r="AU298" s="8"/>
      <c r="AV298" s="8"/>
      <c r="AW298" s="8"/>
      <c r="AX298" s="8"/>
      <c r="AY298" s="8"/>
      <c r="AZ298" s="8"/>
    </row>
    <row r="299" spans="1:52">
      <c r="A299" s="5" t="s">
        <v>1040</v>
      </c>
      <c r="B299" s="5">
        <v>1054</v>
      </c>
      <c r="C299" s="19">
        <v>39</v>
      </c>
      <c r="E299" s="14"/>
      <c r="F299" s="11"/>
      <c r="G299" s="11"/>
      <c r="H299" s="11"/>
      <c r="I299" s="11"/>
      <c r="J299" s="25"/>
      <c r="K299" s="11"/>
      <c r="L299" s="11"/>
      <c r="M299" s="19">
        <v>0</v>
      </c>
      <c r="O299" s="6"/>
      <c r="P299" s="16">
        <v>0</v>
      </c>
      <c r="Q299" s="16">
        <v>0</v>
      </c>
      <c r="R299" s="22"/>
      <c r="S299" s="22">
        <f t="shared" si="8"/>
        <v>0</v>
      </c>
      <c r="T299" s="5" t="s">
        <v>1210</v>
      </c>
      <c r="U299" s="5" t="s">
        <v>1210</v>
      </c>
      <c r="Y299" s="8"/>
      <c r="Z299" s="8"/>
      <c r="AA299" s="8"/>
      <c r="AB299" s="8"/>
      <c r="AC299" s="8"/>
      <c r="AD299" s="8"/>
      <c r="AE299" s="25"/>
      <c r="AF299" s="11"/>
      <c r="AG299" s="25"/>
      <c r="AH299" s="11"/>
      <c r="AI299" s="11">
        <v>35</v>
      </c>
      <c r="AJ299" s="19">
        <v>0</v>
      </c>
      <c r="AK299" s="12">
        <f>(AJ299+AI299)/30*7</f>
        <v>8.1666666666666679</v>
      </c>
      <c r="AL299" s="6">
        <f>IF(AK299-C299&lt;0,0,AK299-C299)</f>
        <v>0</v>
      </c>
      <c r="AM299" s="6">
        <f>IF(AL299-R299-S299&lt;0,0,AL299-R299-S299)</f>
        <v>0</v>
      </c>
      <c r="AN299" s="5" t="str">
        <f t="shared" si="9"/>
        <v/>
      </c>
      <c r="AO299" s="5">
        <v>0</v>
      </c>
      <c r="AP299" s="9"/>
      <c r="AQ299" s="5" t="s">
        <v>1210</v>
      </c>
      <c r="AR299" s="5" t="s">
        <v>1210</v>
      </c>
      <c r="AS299" s="8"/>
      <c r="AT299" s="8"/>
      <c r="AU299" s="8"/>
      <c r="AV299" s="8"/>
      <c r="AW299" s="8"/>
      <c r="AX299" s="8"/>
      <c r="AY299" s="8"/>
      <c r="AZ299" s="8"/>
    </row>
    <row r="300" spans="1:52">
      <c r="A300" s="5" t="s">
        <v>790</v>
      </c>
      <c r="B300" s="5">
        <v>1137</v>
      </c>
      <c r="C300" s="19">
        <v>22</v>
      </c>
      <c r="E300" s="14"/>
      <c r="F300" s="11"/>
      <c r="G300" s="11"/>
      <c r="H300" s="11"/>
      <c r="I300" s="11"/>
      <c r="J300" s="25"/>
      <c r="K300" s="11"/>
      <c r="L300" s="11"/>
      <c r="M300" s="19">
        <v>0</v>
      </c>
      <c r="O300" s="6"/>
      <c r="P300" s="16">
        <v>0</v>
      </c>
      <c r="Q300" s="16">
        <v>0</v>
      </c>
      <c r="R300" s="22"/>
      <c r="S300" s="22">
        <f t="shared" si="8"/>
        <v>0</v>
      </c>
      <c r="T300" s="5" t="s">
        <v>1210</v>
      </c>
      <c r="U300" s="5" t="s">
        <v>1210</v>
      </c>
      <c r="Y300" s="8"/>
      <c r="Z300" s="8"/>
      <c r="AA300" s="8"/>
      <c r="AB300" s="8"/>
      <c r="AC300" s="8"/>
      <c r="AD300" s="8"/>
      <c r="AE300" s="25"/>
      <c r="AF300" s="11"/>
      <c r="AG300" s="25"/>
      <c r="AH300" s="11"/>
      <c r="AI300" s="11">
        <v>35</v>
      </c>
      <c r="AJ300" s="19">
        <v>0</v>
      </c>
      <c r="AK300" s="12">
        <f>(AJ300+AI300)/30*7</f>
        <v>8.1666666666666679</v>
      </c>
      <c r="AL300" s="6">
        <f>IF(AK300-C300&lt;0,0,AK300-C300)</f>
        <v>0</v>
      </c>
      <c r="AM300" s="6">
        <f>IF(AL300-R300-S300&lt;0,0,AL300-R300-S300)</f>
        <v>0</v>
      </c>
      <c r="AN300" s="5" t="str">
        <f t="shared" si="9"/>
        <v/>
      </c>
      <c r="AO300" s="5">
        <v>0</v>
      </c>
      <c r="AP300" s="9"/>
      <c r="AQ300" s="5" t="s">
        <v>1210</v>
      </c>
      <c r="AR300" s="5" t="s">
        <v>1210</v>
      </c>
      <c r="AS300" s="8"/>
      <c r="AT300" s="8"/>
      <c r="AU300" s="8"/>
      <c r="AV300" s="8"/>
      <c r="AW300" s="8"/>
      <c r="AX300" s="8"/>
      <c r="AY300" s="8"/>
      <c r="AZ300" s="8"/>
    </row>
    <row r="301" spans="1:52">
      <c r="A301" s="5" t="s">
        <v>981</v>
      </c>
      <c r="B301" s="5">
        <v>1194</v>
      </c>
      <c r="C301" s="19">
        <v>31</v>
      </c>
      <c r="E301" s="14"/>
      <c r="F301" s="11"/>
      <c r="G301" s="11"/>
      <c r="H301" s="11"/>
      <c r="I301" s="11"/>
      <c r="J301" s="25"/>
      <c r="K301" s="11"/>
      <c r="L301" s="11"/>
      <c r="M301" s="19">
        <v>0</v>
      </c>
      <c r="O301" s="6"/>
      <c r="P301" s="16">
        <v>0</v>
      </c>
      <c r="Q301" s="16">
        <v>0</v>
      </c>
      <c r="R301" s="22"/>
      <c r="S301" s="22">
        <f t="shared" si="8"/>
        <v>0</v>
      </c>
      <c r="T301" s="5">
        <v>1707</v>
      </c>
      <c r="U301" s="5">
        <v>346</v>
      </c>
      <c r="Y301" s="8"/>
      <c r="Z301" s="8"/>
      <c r="AA301" s="8"/>
      <c r="AB301" s="8"/>
      <c r="AC301" s="8"/>
      <c r="AD301" s="8"/>
      <c r="AE301" s="25"/>
      <c r="AF301" s="11"/>
      <c r="AG301" s="25"/>
      <c r="AH301" s="11"/>
      <c r="AI301" s="11">
        <v>35</v>
      </c>
      <c r="AJ301" s="19">
        <v>0</v>
      </c>
      <c r="AK301" s="12">
        <f>(AJ301+AI301)/30*7</f>
        <v>8.1666666666666679</v>
      </c>
      <c r="AL301" s="6">
        <f>IF(AK301-C301&lt;0,0,AK301-C301)</f>
        <v>0</v>
      </c>
      <c r="AM301" s="6">
        <f>IF(AL301-R301-S301&lt;0,0,AL301-R301-S301)</f>
        <v>0</v>
      </c>
      <c r="AN301" s="5" t="str">
        <f t="shared" si="9"/>
        <v/>
      </c>
      <c r="AO301" s="5">
        <v>0</v>
      </c>
      <c r="AP301" s="9"/>
      <c r="AQ301" s="5" t="s">
        <v>1210</v>
      </c>
      <c r="AR301" s="5" t="s">
        <v>1210</v>
      </c>
      <c r="AS301" s="8"/>
      <c r="AT301" s="8"/>
      <c r="AU301" s="8"/>
      <c r="AV301" s="8"/>
      <c r="AW301" s="8"/>
      <c r="AX301" s="8"/>
      <c r="AY301" s="8"/>
      <c r="AZ301" s="8"/>
    </row>
    <row r="302" spans="1:52">
      <c r="A302" s="5" t="s">
        <v>947</v>
      </c>
      <c r="B302" s="5">
        <v>1900</v>
      </c>
      <c r="C302" s="19">
        <v>20</v>
      </c>
      <c r="E302" s="14"/>
      <c r="F302" s="11"/>
      <c r="G302" s="11"/>
      <c r="H302" s="11"/>
      <c r="I302" s="11"/>
      <c r="J302" s="25"/>
      <c r="K302" s="11"/>
      <c r="L302" s="11"/>
      <c r="M302" s="19">
        <v>0</v>
      </c>
      <c r="O302" s="6"/>
      <c r="P302" s="16">
        <v>0</v>
      </c>
      <c r="Q302" s="16">
        <v>0</v>
      </c>
      <c r="R302" s="22"/>
      <c r="S302" s="22">
        <f t="shared" si="8"/>
        <v>0</v>
      </c>
      <c r="T302" s="5">
        <v>1094</v>
      </c>
      <c r="U302" s="5">
        <v>272</v>
      </c>
      <c r="Y302" s="8"/>
      <c r="Z302" s="8"/>
      <c r="AA302" s="8"/>
      <c r="AB302" s="8"/>
      <c r="AC302" s="8"/>
      <c r="AD302" s="8"/>
      <c r="AE302" s="25"/>
      <c r="AF302" s="11"/>
      <c r="AG302" s="25"/>
      <c r="AH302" s="11"/>
      <c r="AI302" s="11">
        <v>35</v>
      </c>
      <c r="AJ302" s="19">
        <v>0</v>
      </c>
      <c r="AK302" s="12">
        <f>(AJ302+AI302)/30*7</f>
        <v>8.1666666666666679</v>
      </c>
      <c r="AL302" s="6">
        <f>IF(AK302-C302&lt;0,0,AK302-C302)</f>
        <v>0</v>
      </c>
      <c r="AM302" s="6">
        <f>IF(AL302-R302-S302&lt;0,0,AL302-R302-S302)</f>
        <v>0</v>
      </c>
      <c r="AN302" s="5" t="str">
        <f t="shared" si="9"/>
        <v/>
      </c>
      <c r="AO302" s="5">
        <v>0</v>
      </c>
      <c r="AP302" s="9"/>
      <c r="AQ302" s="5" t="s">
        <v>1210</v>
      </c>
      <c r="AR302" s="5" t="s">
        <v>1210</v>
      </c>
      <c r="AS302" s="8"/>
      <c r="AT302" s="8"/>
      <c r="AU302" s="8"/>
      <c r="AV302" s="8"/>
      <c r="AW302" s="8"/>
      <c r="AX302" s="8"/>
      <c r="AY302" s="8"/>
      <c r="AZ302" s="8"/>
    </row>
    <row r="303" spans="1:52">
      <c r="A303" s="5" t="s">
        <v>1134</v>
      </c>
      <c r="B303" s="5">
        <v>1223</v>
      </c>
      <c r="C303" s="19">
        <v>32</v>
      </c>
      <c r="E303" s="14"/>
      <c r="F303" s="11"/>
      <c r="G303" s="11"/>
      <c r="H303" s="11"/>
      <c r="I303" s="11"/>
      <c r="J303" s="25"/>
      <c r="K303" s="11"/>
      <c r="L303" s="11"/>
      <c r="M303" s="19">
        <v>0</v>
      </c>
      <c r="O303" s="6"/>
      <c r="P303" s="16">
        <v>0</v>
      </c>
      <c r="Q303" s="16">
        <v>0</v>
      </c>
      <c r="R303" s="22"/>
      <c r="S303" s="22">
        <f t="shared" si="8"/>
        <v>0</v>
      </c>
      <c r="T303" s="5" t="s">
        <v>1210</v>
      </c>
      <c r="U303" s="5" t="s">
        <v>1210</v>
      </c>
      <c r="Y303" s="8"/>
      <c r="Z303" s="8"/>
      <c r="AA303" s="8"/>
      <c r="AB303" s="8"/>
      <c r="AC303" s="8"/>
      <c r="AD303" s="8"/>
      <c r="AE303" s="25"/>
      <c r="AF303" s="11"/>
      <c r="AG303" s="25"/>
      <c r="AH303" s="11"/>
      <c r="AI303" s="11">
        <v>34</v>
      </c>
      <c r="AJ303" s="19">
        <v>0</v>
      </c>
      <c r="AK303" s="12">
        <f>(AJ303+AI303)/30*7</f>
        <v>7.9333333333333336</v>
      </c>
      <c r="AL303" s="6">
        <f>IF(AK303-C303&lt;0,0,AK303-C303)</f>
        <v>0</v>
      </c>
      <c r="AM303" s="6">
        <f>IF(AL303-R303-S303&lt;0,0,AL303-R303-S303)</f>
        <v>0</v>
      </c>
      <c r="AN303" s="5" t="str">
        <f t="shared" si="9"/>
        <v/>
      </c>
      <c r="AO303" s="5">
        <v>0</v>
      </c>
      <c r="AP303" s="9"/>
      <c r="AQ303" s="5" t="s">
        <v>1210</v>
      </c>
      <c r="AR303" s="5" t="s">
        <v>1210</v>
      </c>
      <c r="AS303" s="8"/>
      <c r="AT303" s="8"/>
      <c r="AU303" s="8"/>
      <c r="AV303" s="8"/>
      <c r="AW303" s="8"/>
      <c r="AX303" s="8"/>
      <c r="AY303" s="8"/>
      <c r="AZ303" s="8"/>
    </row>
    <row r="304" spans="1:52">
      <c r="A304" s="5" t="s">
        <v>1054</v>
      </c>
      <c r="B304" s="5">
        <v>508</v>
      </c>
      <c r="C304" s="19">
        <v>36</v>
      </c>
      <c r="E304" s="14"/>
      <c r="F304" s="11"/>
      <c r="G304" s="11"/>
      <c r="H304" s="11"/>
      <c r="I304" s="11"/>
      <c r="J304" s="25"/>
      <c r="K304" s="11"/>
      <c r="L304" s="11"/>
      <c r="M304" s="19">
        <v>0</v>
      </c>
      <c r="O304" s="6"/>
      <c r="P304" s="16">
        <v>0</v>
      </c>
      <c r="Q304" s="16">
        <v>0</v>
      </c>
      <c r="R304" s="22"/>
      <c r="S304" s="22">
        <f t="shared" si="8"/>
        <v>0</v>
      </c>
      <c r="T304" s="5">
        <v>383</v>
      </c>
      <c r="U304" s="5">
        <v>997</v>
      </c>
      <c r="Y304" s="8"/>
      <c r="Z304" s="8"/>
      <c r="AA304" s="8"/>
      <c r="AB304" s="8"/>
      <c r="AC304" s="8"/>
      <c r="AD304" s="8"/>
      <c r="AE304" s="25"/>
      <c r="AF304" s="11"/>
      <c r="AG304" s="25"/>
      <c r="AH304" s="11"/>
      <c r="AI304" s="11">
        <v>34</v>
      </c>
      <c r="AJ304" s="19">
        <v>0</v>
      </c>
      <c r="AK304" s="12">
        <f>(AJ304+AI304)/30*7</f>
        <v>7.9333333333333336</v>
      </c>
      <c r="AL304" s="6">
        <f>IF(AK304-C304&lt;0,0,AK304-C304)</f>
        <v>0</v>
      </c>
      <c r="AM304" s="6">
        <f>IF(AL304-R304-S304&lt;0,0,AL304-R304-S304)</f>
        <v>0</v>
      </c>
      <c r="AN304" s="5" t="str">
        <f t="shared" si="9"/>
        <v/>
      </c>
      <c r="AO304" s="5">
        <v>0</v>
      </c>
      <c r="AP304" s="9"/>
      <c r="AQ304" s="5" t="s">
        <v>1210</v>
      </c>
      <c r="AR304" s="5" t="s">
        <v>1210</v>
      </c>
      <c r="AS304" s="8"/>
      <c r="AT304" s="8"/>
      <c r="AU304" s="8"/>
      <c r="AV304" s="8"/>
      <c r="AW304" s="8"/>
      <c r="AX304" s="8"/>
      <c r="AY304" s="8"/>
      <c r="AZ304" s="8"/>
    </row>
    <row r="305" spans="1:52">
      <c r="A305" s="5" t="s">
        <v>710</v>
      </c>
      <c r="B305" s="5">
        <v>1052</v>
      </c>
      <c r="C305" s="19">
        <v>23</v>
      </c>
      <c r="E305" s="14"/>
      <c r="F305" s="11"/>
      <c r="G305" s="11"/>
      <c r="H305" s="11"/>
      <c r="I305" s="11"/>
      <c r="J305" s="25"/>
      <c r="K305" s="11"/>
      <c r="L305" s="11"/>
      <c r="M305" s="19">
        <v>0</v>
      </c>
      <c r="O305" s="6"/>
      <c r="P305" s="16">
        <v>0</v>
      </c>
      <c r="Q305" s="16">
        <v>0</v>
      </c>
      <c r="R305" s="22"/>
      <c r="S305" s="22">
        <f t="shared" si="8"/>
        <v>0</v>
      </c>
      <c r="T305" s="5">
        <v>908</v>
      </c>
      <c r="U305" s="5">
        <v>343</v>
      </c>
      <c r="Y305" s="8"/>
      <c r="Z305" s="8"/>
      <c r="AA305" s="8"/>
      <c r="AB305" s="8"/>
      <c r="AC305" s="8"/>
      <c r="AD305" s="8"/>
      <c r="AE305" s="25"/>
      <c r="AF305" s="11"/>
      <c r="AG305" s="25"/>
      <c r="AH305" s="11"/>
      <c r="AI305" s="11">
        <v>34</v>
      </c>
      <c r="AJ305" s="19">
        <v>0</v>
      </c>
      <c r="AK305" s="12">
        <f>(AJ305+AI305)/30*7</f>
        <v>7.9333333333333336</v>
      </c>
      <c r="AL305" s="6">
        <f>IF(AK305-C305&lt;0,0,AK305-C305)</f>
        <v>0</v>
      </c>
      <c r="AM305" s="6">
        <f>IF(AL305-R305-S305&lt;0,0,AL305-R305-S305)</f>
        <v>0</v>
      </c>
      <c r="AN305" s="5" t="str">
        <f t="shared" si="9"/>
        <v/>
      </c>
      <c r="AO305" s="5">
        <v>0</v>
      </c>
      <c r="AP305" s="9"/>
      <c r="AQ305" s="5" t="s">
        <v>1210</v>
      </c>
      <c r="AR305" s="5" t="s">
        <v>1210</v>
      </c>
      <c r="AS305" s="8"/>
      <c r="AT305" s="8"/>
      <c r="AU305" s="8"/>
      <c r="AV305" s="8"/>
      <c r="AW305" s="8"/>
      <c r="AX305" s="8"/>
      <c r="AY305" s="8"/>
      <c r="AZ305" s="8"/>
    </row>
    <row r="306" spans="1:52">
      <c r="A306" s="5" t="s">
        <v>607</v>
      </c>
      <c r="B306" s="5">
        <v>1354</v>
      </c>
      <c r="C306" s="19">
        <v>18</v>
      </c>
      <c r="E306" s="14"/>
      <c r="F306" s="11"/>
      <c r="G306" s="11"/>
      <c r="H306" s="11"/>
      <c r="I306" s="11"/>
      <c r="J306" s="25"/>
      <c r="K306" s="11"/>
      <c r="L306" s="11"/>
      <c r="M306" s="19">
        <v>0</v>
      </c>
      <c r="O306" s="6"/>
      <c r="P306" s="16">
        <v>0</v>
      </c>
      <c r="Q306" s="16">
        <v>0</v>
      </c>
      <c r="R306" s="22"/>
      <c r="S306" s="22">
        <f t="shared" si="8"/>
        <v>0</v>
      </c>
      <c r="T306" s="5">
        <v>1423</v>
      </c>
      <c r="U306" s="5">
        <v>706</v>
      </c>
      <c r="Y306" s="8"/>
      <c r="Z306" s="8"/>
      <c r="AA306" s="8"/>
      <c r="AB306" s="8"/>
      <c r="AC306" s="8"/>
      <c r="AD306" s="8"/>
      <c r="AE306" s="25"/>
      <c r="AF306" s="11"/>
      <c r="AG306" s="25"/>
      <c r="AH306" s="11"/>
      <c r="AI306" s="11">
        <v>34</v>
      </c>
      <c r="AJ306" s="19">
        <v>0</v>
      </c>
      <c r="AK306" s="12">
        <f>(AJ306+AI306)/30*7</f>
        <v>7.9333333333333336</v>
      </c>
      <c r="AL306" s="6">
        <f>IF(AK306-C306&lt;0,0,AK306-C306)</f>
        <v>0</v>
      </c>
      <c r="AM306" s="6">
        <f>IF(AL306-R306-S306&lt;0,0,AL306-R306-S306)</f>
        <v>0</v>
      </c>
      <c r="AN306" s="5" t="str">
        <f t="shared" si="9"/>
        <v/>
      </c>
      <c r="AO306" s="5">
        <v>0</v>
      </c>
      <c r="AP306" s="9"/>
      <c r="AQ306" s="5" t="s">
        <v>1210</v>
      </c>
      <c r="AR306" s="5" t="s">
        <v>1210</v>
      </c>
      <c r="AS306" s="8"/>
      <c r="AT306" s="8"/>
      <c r="AU306" s="8"/>
      <c r="AV306" s="8"/>
      <c r="AW306" s="8"/>
      <c r="AX306" s="8"/>
      <c r="AY306" s="8"/>
      <c r="AZ306" s="8"/>
    </row>
    <row r="307" spans="1:52">
      <c r="A307" s="5" t="s">
        <v>567</v>
      </c>
      <c r="B307" s="5">
        <v>1449</v>
      </c>
      <c r="C307" s="19">
        <v>16</v>
      </c>
      <c r="E307" s="14"/>
      <c r="F307" s="11"/>
      <c r="G307" s="11"/>
      <c r="H307" s="11"/>
      <c r="I307" s="11"/>
      <c r="J307" s="25"/>
      <c r="K307" s="11"/>
      <c r="L307" s="11"/>
      <c r="M307" s="19">
        <v>0</v>
      </c>
      <c r="O307" s="6"/>
      <c r="P307" s="16">
        <v>0</v>
      </c>
      <c r="Q307" s="16">
        <v>0</v>
      </c>
      <c r="R307" s="22"/>
      <c r="S307" s="22">
        <f t="shared" si="8"/>
        <v>0</v>
      </c>
      <c r="T307" s="5" t="s">
        <v>1210</v>
      </c>
      <c r="U307" s="5" t="s">
        <v>1210</v>
      </c>
      <c r="Y307" s="8"/>
      <c r="Z307" s="8"/>
      <c r="AA307" s="8"/>
      <c r="AB307" s="8"/>
      <c r="AC307" s="8"/>
      <c r="AD307" s="8"/>
      <c r="AE307" s="25"/>
      <c r="AF307" s="11"/>
      <c r="AG307" s="25"/>
      <c r="AH307" s="11"/>
      <c r="AI307" s="11">
        <v>34</v>
      </c>
      <c r="AJ307" s="19">
        <v>0</v>
      </c>
      <c r="AK307" s="12">
        <f>(AJ307+AI307)/30*7</f>
        <v>7.9333333333333336</v>
      </c>
      <c r="AL307" s="6">
        <f>IF(AK307-C307&lt;0,0,AK307-C307)</f>
        <v>0</v>
      </c>
      <c r="AM307" s="6">
        <f>IF(AL307-R307-S307&lt;0,0,AL307-R307-S307)</f>
        <v>0</v>
      </c>
      <c r="AN307" s="5" t="str">
        <f t="shared" si="9"/>
        <v/>
      </c>
      <c r="AO307" s="5">
        <v>0</v>
      </c>
      <c r="AP307" s="9"/>
      <c r="AQ307" s="5" t="s">
        <v>1210</v>
      </c>
      <c r="AR307" s="5" t="s">
        <v>1210</v>
      </c>
      <c r="AS307" s="8"/>
      <c r="AT307" s="8"/>
      <c r="AU307" s="8"/>
      <c r="AV307" s="8"/>
      <c r="AW307" s="8"/>
      <c r="AX307" s="8"/>
      <c r="AY307" s="8"/>
      <c r="AZ307" s="8"/>
    </row>
    <row r="308" spans="1:52">
      <c r="A308" s="5" t="s">
        <v>1056</v>
      </c>
      <c r="B308" s="5" t="s">
        <v>1199</v>
      </c>
      <c r="C308" s="19">
        <v>31</v>
      </c>
      <c r="E308" s="14"/>
      <c r="F308" s="11"/>
      <c r="G308" s="11"/>
      <c r="H308" s="11"/>
      <c r="I308" s="11"/>
      <c r="J308" s="25"/>
      <c r="K308" s="11"/>
      <c r="L308" s="11"/>
      <c r="M308" s="19">
        <v>0</v>
      </c>
      <c r="O308" s="6"/>
      <c r="P308" s="16">
        <v>0</v>
      </c>
      <c r="Q308" s="16">
        <v>0</v>
      </c>
      <c r="R308" s="22"/>
      <c r="S308" s="22">
        <f t="shared" si="8"/>
        <v>0</v>
      </c>
      <c r="T308" s="5">
        <v>340</v>
      </c>
      <c r="U308" s="5">
        <v>902</v>
      </c>
      <c r="Y308" s="8"/>
      <c r="Z308" s="8"/>
      <c r="AA308" s="8"/>
      <c r="AB308" s="8"/>
      <c r="AC308" s="8"/>
      <c r="AD308" s="8"/>
      <c r="AE308" s="25"/>
      <c r="AF308" s="11"/>
      <c r="AG308" s="25"/>
      <c r="AH308" s="11"/>
      <c r="AI308" s="11">
        <v>34</v>
      </c>
      <c r="AJ308" s="19">
        <v>0</v>
      </c>
      <c r="AK308" s="12">
        <f>(AJ308+AI308)/30*7</f>
        <v>7.9333333333333336</v>
      </c>
      <c r="AL308" s="6">
        <f>IF(AK308-C308&lt;0,0,AK308-C308)</f>
        <v>0</v>
      </c>
      <c r="AM308" s="6">
        <f>IF(AL308-R308-S308&lt;0,0,AL308-R308-S308)</f>
        <v>0</v>
      </c>
      <c r="AN308" s="5" t="str">
        <f t="shared" si="9"/>
        <v/>
      </c>
      <c r="AO308" s="5">
        <v>0</v>
      </c>
      <c r="AP308" s="9"/>
      <c r="AQ308" s="5" t="s">
        <v>1210</v>
      </c>
      <c r="AR308" s="5" t="s">
        <v>1210</v>
      </c>
      <c r="AS308" s="8"/>
      <c r="AT308" s="8"/>
      <c r="AU308" s="8"/>
      <c r="AV308" s="8"/>
      <c r="AW308" s="8"/>
      <c r="AX308" s="8"/>
      <c r="AY308" s="8"/>
      <c r="AZ308" s="8"/>
    </row>
    <row r="309" spans="1:52">
      <c r="A309" s="5" t="s">
        <v>645</v>
      </c>
      <c r="B309" s="5">
        <v>603</v>
      </c>
      <c r="C309" s="19">
        <v>21</v>
      </c>
      <c r="E309" s="14"/>
      <c r="F309" s="11"/>
      <c r="G309" s="11"/>
      <c r="H309" s="11"/>
      <c r="I309" s="11"/>
      <c r="J309" s="25"/>
      <c r="K309" s="11"/>
      <c r="L309" s="11"/>
      <c r="M309" s="19">
        <v>0</v>
      </c>
      <c r="O309" s="6"/>
      <c r="P309" s="16">
        <v>0</v>
      </c>
      <c r="Q309" s="16">
        <v>0</v>
      </c>
      <c r="R309" s="22"/>
      <c r="S309" s="22">
        <f t="shared" si="8"/>
        <v>0</v>
      </c>
      <c r="U309" s="5" t="s">
        <v>1210</v>
      </c>
      <c r="Y309" s="8"/>
      <c r="Z309" s="8"/>
      <c r="AA309" s="8"/>
      <c r="AB309" s="8"/>
      <c r="AC309" s="8"/>
      <c r="AD309" s="8"/>
      <c r="AE309" s="25"/>
      <c r="AF309" s="11"/>
      <c r="AG309" s="25"/>
      <c r="AH309" s="11"/>
      <c r="AI309" s="11">
        <v>33</v>
      </c>
      <c r="AJ309" s="19">
        <v>0</v>
      </c>
      <c r="AK309" s="12">
        <f>(AJ309+AI309)/30*7</f>
        <v>7.7000000000000011</v>
      </c>
      <c r="AL309" s="6">
        <f>IF(AK309-C309&lt;0,0,AK309-C309)</f>
        <v>0</v>
      </c>
      <c r="AM309" s="6">
        <f>IF(AL309-R309-S309&lt;0,0,AL309-R309-S309)</f>
        <v>0</v>
      </c>
      <c r="AN309" s="5" t="str">
        <f t="shared" si="9"/>
        <v/>
      </c>
      <c r="AO309" s="5">
        <v>0</v>
      </c>
      <c r="AP309" s="9"/>
      <c r="AQ309" s="5" t="s">
        <v>1210</v>
      </c>
      <c r="AR309" s="5" t="s">
        <v>1230</v>
      </c>
      <c r="AS309" s="8"/>
      <c r="AT309" s="8"/>
      <c r="AU309" s="8"/>
      <c r="AV309" s="8"/>
      <c r="AW309" s="8"/>
      <c r="AX309" s="8"/>
      <c r="AY309" s="8"/>
      <c r="AZ309" s="8"/>
    </row>
    <row r="310" spans="1:52">
      <c r="A310" s="5" t="s">
        <v>998</v>
      </c>
      <c r="B310" s="5" t="s">
        <v>1196</v>
      </c>
      <c r="C310" s="19">
        <v>40</v>
      </c>
      <c r="E310" s="14"/>
      <c r="F310" s="11"/>
      <c r="G310" s="11"/>
      <c r="H310" s="11"/>
      <c r="I310" s="11"/>
      <c r="J310" s="25"/>
      <c r="K310" s="11"/>
      <c r="L310" s="11"/>
      <c r="M310" s="19">
        <v>0</v>
      </c>
      <c r="O310" s="6"/>
      <c r="P310" s="16">
        <v>0</v>
      </c>
      <c r="Q310" s="16">
        <v>0</v>
      </c>
      <c r="R310" s="22"/>
      <c r="S310" s="22">
        <f t="shared" si="8"/>
        <v>0</v>
      </c>
      <c r="T310" s="5" t="s">
        <v>1210</v>
      </c>
      <c r="U310" s="5" t="s">
        <v>1210</v>
      </c>
      <c r="Y310" s="8"/>
      <c r="Z310" s="8"/>
      <c r="AA310" s="8"/>
      <c r="AB310" s="8"/>
      <c r="AC310" s="8"/>
      <c r="AD310" s="8"/>
      <c r="AE310" s="25"/>
      <c r="AF310" s="11"/>
      <c r="AG310" s="25"/>
      <c r="AH310" s="11"/>
      <c r="AI310" s="11">
        <v>33</v>
      </c>
      <c r="AJ310" s="19">
        <v>0</v>
      </c>
      <c r="AK310" s="12">
        <f>(AJ310+AI310)/30*7</f>
        <v>7.7000000000000011</v>
      </c>
      <c r="AL310" s="6">
        <f>IF(AK310-C310&lt;0,0,AK310-C310)</f>
        <v>0</v>
      </c>
      <c r="AM310" s="6">
        <f>IF(AL310-R310-S310&lt;0,0,AL310-R310-S310)</f>
        <v>0</v>
      </c>
      <c r="AN310" s="5" t="str">
        <f t="shared" si="9"/>
        <v/>
      </c>
      <c r="AO310" s="5">
        <v>0</v>
      </c>
      <c r="AP310" s="9"/>
      <c r="AQ310" s="5" t="s">
        <v>1210</v>
      </c>
      <c r="AR310" s="5" t="s">
        <v>1210</v>
      </c>
      <c r="AS310" s="8"/>
      <c r="AT310" s="8"/>
      <c r="AU310" s="8"/>
      <c r="AV310" s="8"/>
      <c r="AW310" s="8"/>
      <c r="AX310" s="8"/>
      <c r="AY310" s="8"/>
      <c r="AZ310" s="8"/>
    </row>
    <row r="311" spans="1:52">
      <c r="A311" s="5" t="s">
        <v>813</v>
      </c>
      <c r="B311" s="5">
        <v>582</v>
      </c>
      <c r="C311" s="19">
        <v>21</v>
      </c>
      <c r="E311" s="14"/>
      <c r="F311" s="11"/>
      <c r="G311" s="11"/>
      <c r="H311" s="11"/>
      <c r="I311" s="11"/>
      <c r="J311" s="25"/>
      <c r="K311" s="11"/>
      <c r="L311" s="11"/>
      <c r="M311" s="19">
        <v>0</v>
      </c>
      <c r="O311" s="6"/>
      <c r="P311" s="16">
        <v>0</v>
      </c>
      <c r="Q311" s="16">
        <v>0</v>
      </c>
      <c r="R311" s="22"/>
      <c r="S311" s="22">
        <f t="shared" si="8"/>
        <v>0</v>
      </c>
      <c r="T311" s="5" t="s">
        <v>1210</v>
      </c>
      <c r="U311" s="5" t="s">
        <v>1210</v>
      </c>
      <c r="Y311" s="8"/>
      <c r="Z311" s="8"/>
      <c r="AA311" s="8"/>
      <c r="AB311" s="8"/>
      <c r="AC311" s="8"/>
      <c r="AD311" s="8"/>
      <c r="AE311" s="25"/>
      <c r="AF311" s="11"/>
      <c r="AG311" s="25"/>
      <c r="AH311" s="11"/>
      <c r="AI311" s="11">
        <v>33</v>
      </c>
      <c r="AJ311" s="19">
        <v>0</v>
      </c>
      <c r="AK311" s="12">
        <f>(AJ311+AI311)/30*7</f>
        <v>7.7000000000000011</v>
      </c>
      <c r="AL311" s="6">
        <f>IF(AK311-C311&lt;0,0,AK311-C311)</f>
        <v>0</v>
      </c>
      <c r="AM311" s="6">
        <f>IF(AL311-R311-S311&lt;0,0,AL311-R311-S311)</f>
        <v>0</v>
      </c>
      <c r="AN311" s="5" t="str">
        <f t="shared" si="9"/>
        <v/>
      </c>
      <c r="AO311" s="5">
        <v>0</v>
      </c>
      <c r="AP311" s="9"/>
      <c r="AQ311" s="5" t="s">
        <v>1210</v>
      </c>
      <c r="AR311" s="5" t="s">
        <v>1210</v>
      </c>
      <c r="AS311" s="8"/>
      <c r="AT311" s="8"/>
      <c r="AU311" s="8"/>
      <c r="AV311" s="8"/>
      <c r="AW311" s="8"/>
      <c r="AX311" s="8"/>
      <c r="AY311" s="8"/>
      <c r="AZ311" s="8"/>
    </row>
    <row r="312" spans="1:52">
      <c r="A312" s="5" t="s">
        <v>952</v>
      </c>
      <c r="B312" s="5">
        <v>840</v>
      </c>
      <c r="C312" s="19">
        <v>25</v>
      </c>
      <c r="E312" s="14"/>
      <c r="F312" s="11"/>
      <c r="G312" s="11"/>
      <c r="H312" s="11"/>
      <c r="I312" s="11"/>
      <c r="J312" s="25"/>
      <c r="K312" s="11"/>
      <c r="L312" s="11"/>
      <c r="M312" s="19">
        <v>0</v>
      </c>
      <c r="O312" s="6"/>
      <c r="P312" s="16">
        <v>0</v>
      </c>
      <c r="Q312" s="16">
        <v>0</v>
      </c>
      <c r="R312" s="22"/>
      <c r="S312" s="22">
        <f t="shared" si="8"/>
        <v>0</v>
      </c>
      <c r="T312" s="5" t="s">
        <v>1228</v>
      </c>
      <c r="U312" s="5">
        <v>0</v>
      </c>
      <c r="Y312" s="8"/>
      <c r="Z312" s="8"/>
      <c r="AA312" s="8"/>
      <c r="AB312" s="8"/>
      <c r="AC312" s="8"/>
      <c r="AD312" s="8"/>
      <c r="AE312" s="25"/>
      <c r="AF312" s="11"/>
      <c r="AG312" s="25"/>
      <c r="AH312" s="11"/>
      <c r="AI312" s="11">
        <v>33</v>
      </c>
      <c r="AJ312" s="19">
        <v>0</v>
      </c>
      <c r="AK312" s="12">
        <f>(AJ312+AI312)/30*7</f>
        <v>7.7000000000000011</v>
      </c>
      <c r="AL312" s="6">
        <f>IF(AK312-C312&lt;0,0,AK312-C312)</f>
        <v>0</v>
      </c>
      <c r="AM312" s="6">
        <f>IF(AL312-R312-S312&lt;0,0,AL312-R312-S312)</f>
        <v>0</v>
      </c>
      <c r="AN312" s="5" t="str">
        <f t="shared" si="9"/>
        <v/>
      </c>
      <c r="AO312" s="5">
        <v>0</v>
      </c>
      <c r="AP312" s="9"/>
      <c r="AQ312" s="5" t="s">
        <v>1210</v>
      </c>
      <c r="AR312" s="5" t="s">
        <v>1230</v>
      </c>
      <c r="AS312" s="8"/>
      <c r="AT312" s="8"/>
      <c r="AU312" s="8"/>
      <c r="AV312" s="8"/>
      <c r="AW312" s="8"/>
      <c r="AX312" s="8"/>
      <c r="AY312" s="8"/>
      <c r="AZ312" s="8"/>
    </row>
    <row r="313" spans="1:52">
      <c r="A313" s="5" t="s">
        <v>911</v>
      </c>
      <c r="B313" s="5">
        <v>1185</v>
      </c>
      <c r="C313" s="19">
        <v>35</v>
      </c>
      <c r="E313" s="14"/>
      <c r="F313" s="11"/>
      <c r="G313" s="11"/>
      <c r="H313" s="11"/>
      <c r="I313" s="11"/>
      <c r="J313" s="25"/>
      <c r="K313" s="11"/>
      <c r="L313" s="11"/>
      <c r="M313" s="19">
        <v>0</v>
      </c>
      <c r="O313" s="6"/>
      <c r="P313" s="16">
        <v>0</v>
      </c>
      <c r="Q313" s="16">
        <v>0</v>
      </c>
      <c r="R313" s="22"/>
      <c r="S313" s="22">
        <f t="shared" si="8"/>
        <v>0</v>
      </c>
      <c r="T313" s="5" t="s">
        <v>1210</v>
      </c>
      <c r="U313" s="5" t="s">
        <v>1210</v>
      </c>
      <c r="Y313" s="8"/>
      <c r="Z313" s="8"/>
      <c r="AA313" s="8"/>
      <c r="AB313" s="8"/>
      <c r="AC313" s="8"/>
      <c r="AD313" s="8"/>
      <c r="AE313" s="25"/>
      <c r="AF313" s="11"/>
      <c r="AG313" s="25"/>
      <c r="AH313" s="11"/>
      <c r="AI313" s="11">
        <v>33</v>
      </c>
      <c r="AJ313" s="19">
        <v>0</v>
      </c>
      <c r="AK313" s="12">
        <f>(AJ313+AI313)/30*7</f>
        <v>7.7000000000000011</v>
      </c>
      <c r="AL313" s="6">
        <f>IF(AK313-C313&lt;0,0,AK313-C313)</f>
        <v>0</v>
      </c>
      <c r="AM313" s="6">
        <f>IF(AL313-R313-S313&lt;0,0,AL313-R313-S313)</f>
        <v>0</v>
      </c>
      <c r="AN313" s="5" t="str">
        <f t="shared" si="9"/>
        <v/>
      </c>
      <c r="AO313" s="5">
        <v>0</v>
      </c>
      <c r="AP313" s="9"/>
      <c r="AQ313" s="5" t="s">
        <v>1210</v>
      </c>
      <c r="AR313" s="5" t="s">
        <v>1210</v>
      </c>
      <c r="AS313" s="8"/>
      <c r="AT313" s="8"/>
      <c r="AU313" s="8"/>
      <c r="AV313" s="8"/>
      <c r="AW313" s="8"/>
      <c r="AX313" s="8"/>
      <c r="AY313" s="8"/>
      <c r="AZ313" s="8"/>
    </row>
    <row r="314" spans="1:52">
      <c r="A314" s="5" t="s">
        <v>548</v>
      </c>
      <c r="B314" s="5" t="s">
        <v>1152</v>
      </c>
      <c r="C314" s="19">
        <v>21</v>
      </c>
      <c r="E314" s="14"/>
      <c r="F314" s="11"/>
      <c r="G314" s="11"/>
      <c r="H314" s="11"/>
      <c r="I314" s="11"/>
      <c r="J314" s="25"/>
      <c r="K314" s="11"/>
      <c r="L314" s="11"/>
      <c r="M314" s="19">
        <v>0</v>
      </c>
      <c r="O314" s="6"/>
      <c r="P314" s="16">
        <v>0</v>
      </c>
      <c r="Q314" s="16">
        <v>0</v>
      </c>
      <c r="R314" s="22"/>
      <c r="S314" s="22">
        <f t="shared" si="8"/>
        <v>0</v>
      </c>
      <c r="T314" s="5">
        <v>436</v>
      </c>
      <c r="U314" s="5">
        <v>264</v>
      </c>
      <c r="Y314" s="8"/>
      <c r="Z314" s="8"/>
      <c r="AA314" s="8"/>
      <c r="AB314" s="8"/>
      <c r="AC314" s="8"/>
      <c r="AD314" s="8"/>
      <c r="AE314" s="25"/>
      <c r="AF314" s="11"/>
      <c r="AG314" s="25"/>
      <c r="AH314" s="11"/>
      <c r="AI314" s="11">
        <v>33</v>
      </c>
      <c r="AJ314" s="19">
        <v>0</v>
      </c>
      <c r="AK314" s="12">
        <f>(AJ314+AI314)/30*7</f>
        <v>7.7000000000000011</v>
      </c>
      <c r="AL314" s="6">
        <f>IF(AK314-C314&lt;0,0,AK314-C314)</f>
        <v>0</v>
      </c>
      <c r="AM314" s="6">
        <f>IF(AL314-R314-S314&lt;0,0,AL314-R314-S314)</f>
        <v>0</v>
      </c>
      <c r="AN314" s="5" t="str">
        <f t="shared" si="9"/>
        <v/>
      </c>
      <c r="AO314" s="5">
        <v>0</v>
      </c>
      <c r="AP314" s="9"/>
      <c r="AQ314" s="5" t="s">
        <v>1210</v>
      </c>
      <c r="AR314" s="5" t="s">
        <v>1210</v>
      </c>
      <c r="AS314" s="8"/>
      <c r="AT314" s="8"/>
      <c r="AU314" s="8"/>
      <c r="AV314" s="8"/>
      <c r="AW314" s="8"/>
      <c r="AX314" s="8"/>
      <c r="AY314" s="8"/>
      <c r="AZ314" s="8"/>
    </row>
    <row r="315" spans="1:52">
      <c r="A315" s="5" t="s">
        <v>1115</v>
      </c>
      <c r="B315" s="5">
        <v>329</v>
      </c>
      <c r="C315" s="19">
        <v>21</v>
      </c>
      <c r="E315" s="14"/>
      <c r="F315" s="11"/>
      <c r="G315" s="11"/>
      <c r="H315" s="11"/>
      <c r="I315" s="11"/>
      <c r="J315" s="25"/>
      <c r="K315" s="11"/>
      <c r="L315" s="11"/>
      <c r="M315" s="19">
        <v>0</v>
      </c>
      <c r="O315" s="6"/>
      <c r="P315" s="16">
        <v>0</v>
      </c>
      <c r="Q315" s="16">
        <v>0</v>
      </c>
      <c r="R315" s="22"/>
      <c r="S315" s="22">
        <f t="shared" si="8"/>
        <v>0</v>
      </c>
      <c r="T315" s="5" t="s">
        <v>1210</v>
      </c>
      <c r="U315" s="5" t="s">
        <v>1210</v>
      </c>
      <c r="Y315" s="8"/>
      <c r="Z315" s="8"/>
      <c r="AA315" s="8"/>
      <c r="AB315" s="8"/>
      <c r="AC315" s="8"/>
      <c r="AD315" s="8"/>
      <c r="AE315" s="25"/>
      <c r="AF315" s="11"/>
      <c r="AG315" s="25"/>
      <c r="AH315" s="11"/>
      <c r="AI315" s="11">
        <v>32</v>
      </c>
      <c r="AJ315" s="19">
        <v>0</v>
      </c>
      <c r="AK315" s="12">
        <f>(AJ315+AI315)/30*7</f>
        <v>7.4666666666666668</v>
      </c>
      <c r="AL315" s="6">
        <f>IF(AK315-C315&lt;0,0,AK315-C315)</f>
        <v>0</v>
      </c>
      <c r="AM315" s="6">
        <f>IF(AL315-R315-S315&lt;0,0,AL315-R315-S315)</f>
        <v>0</v>
      </c>
      <c r="AN315" s="5" t="str">
        <f t="shared" si="9"/>
        <v/>
      </c>
      <c r="AO315" s="5">
        <v>0</v>
      </c>
      <c r="AP315" s="9"/>
      <c r="AQ315" s="5" t="s">
        <v>1210</v>
      </c>
      <c r="AR315" s="5" t="s">
        <v>1210</v>
      </c>
      <c r="AS315" s="8"/>
      <c r="AT315" s="8"/>
      <c r="AU315" s="8"/>
      <c r="AV315" s="8"/>
      <c r="AW315" s="8"/>
      <c r="AX315" s="8"/>
      <c r="AY315" s="8"/>
      <c r="AZ315" s="8"/>
    </row>
    <row r="316" spans="1:52">
      <c r="A316" s="5" t="s">
        <v>625</v>
      </c>
      <c r="B316" s="5">
        <v>449</v>
      </c>
      <c r="C316" s="19">
        <v>25</v>
      </c>
      <c r="E316" s="14"/>
      <c r="F316" s="11"/>
      <c r="G316" s="11"/>
      <c r="H316" s="11"/>
      <c r="I316" s="11"/>
      <c r="J316" s="25"/>
      <c r="K316" s="11"/>
      <c r="L316" s="11"/>
      <c r="M316" s="19">
        <v>0</v>
      </c>
      <c r="O316" s="6"/>
      <c r="P316" s="16">
        <v>0</v>
      </c>
      <c r="Q316" s="16">
        <v>0</v>
      </c>
      <c r="R316" s="22"/>
      <c r="S316" s="22">
        <f t="shared" si="8"/>
        <v>0</v>
      </c>
      <c r="T316" s="5">
        <v>700</v>
      </c>
      <c r="U316" s="5">
        <v>687</v>
      </c>
      <c r="Y316" s="8"/>
      <c r="Z316" s="8"/>
      <c r="AA316" s="8"/>
      <c r="AB316" s="8"/>
      <c r="AC316" s="8"/>
      <c r="AD316" s="8"/>
      <c r="AE316" s="25"/>
      <c r="AF316" s="11"/>
      <c r="AG316" s="25"/>
      <c r="AH316" s="11"/>
      <c r="AI316" s="11">
        <v>32</v>
      </c>
      <c r="AJ316" s="19">
        <v>0</v>
      </c>
      <c r="AK316" s="12">
        <f>(AJ316+AI316)/30*7</f>
        <v>7.4666666666666668</v>
      </c>
      <c r="AL316" s="6">
        <f>IF(AK316-C316&lt;0,0,AK316-C316)</f>
        <v>0</v>
      </c>
      <c r="AM316" s="6">
        <f>IF(AL316-R316-S316&lt;0,0,AL316-R316-S316)</f>
        <v>0</v>
      </c>
      <c r="AN316" s="5" t="str">
        <f t="shared" si="9"/>
        <v/>
      </c>
      <c r="AO316" s="5">
        <v>0</v>
      </c>
      <c r="AP316" s="9"/>
      <c r="AQ316" s="5" t="s">
        <v>1210</v>
      </c>
      <c r="AR316" s="5" t="s">
        <v>1210</v>
      </c>
      <c r="AS316" s="8"/>
      <c r="AT316" s="8"/>
      <c r="AU316" s="8"/>
      <c r="AV316" s="8"/>
      <c r="AW316" s="8"/>
      <c r="AX316" s="8"/>
      <c r="AY316" s="8"/>
      <c r="AZ316" s="8"/>
    </row>
    <row r="317" spans="1:52">
      <c r="A317" s="5" t="s">
        <v>547</v>
      </c>
      <c r="B317" s="5">
        <v>787</v>
      </c>
      <c r="C317" s="19">
        <v>23</v>
      </c>
      <c r="E317" s="14"/>
      <c r="F317" s="11"/>
      <c r="G317" s="11"/>
      <c r="H317" s="11"/>
      <c r="I317" s="11"/>
      <c r="J317" s="25"/>
      <c r="K317" s="11"/>
      <c r="L317" s="11"/>
      <c r="M317" s="19">
        <v>0</v>
      </c>
      <c r="O317" s="6"/>
      <c r="P317" s="16">
        <v>0</v>
      </c>
      <c r="Q317" s="16">
        <v>0</v>
      </c>
      <c r="R317" s="22"/>
      <c r="S317" s="22">
        <f t="shared" si="8"/>
        <v>0</v>
      </c>
      <c r="T317" s="5">
        <v>1506</v>
      </c>
      <c r="U317" s="5">
        <v>442</v>
      </c>
      <c r="Y317" s="8"/>
      <c r="Z317" s="8"/>
      <c r="AA317" s="8"/>
      <c r="AB317" s="8"/>
      <c r="AC317" s="8"/>
      <c r="AD317" s="8"/>
      <c r="AE317" s="25"/>
      <c r="AF317" s="11"/>
      <c r="AG317" s="25"/>
      <c r="AH317" s="11"/>
      <c r="AI317" s="11">
        <v>32</v>
      </c>
      <c r="AJ317" s="19">
        <v>0</v>
      </c>
      <c r="AK317" s="12">
        <f>(AJ317+AI317)/30*7</f>
        <v>7.4666666666666668</v>
      </c>
      <c r="AL317" s="6">
        <f>IF(AK317-C317&lt;0,0,AK317-C317)</f>
        <v>0</v>
      </c>
      <c r="AM317" s="6">
        <f>IF(AL317-R317-S317&lt;0,0,AL317-R317-S317)</f>
        <v>0</v>
      </c>
      <c r="AN317" s="5" t="str">
        <f t="shared" si="9"/>
        <v/>
      </c>
      <c r="AO317" s="5">
        <v>0</v>
      </c>
      <c r="AP317" s="9"/>
      <c r="AQ317" s="5" t="s">
        <v>1210</v>
      </c>
      <c r="AR317" s="5" t="s">
        <v>1210</v>
      </c>
      <c r="AS317" s="8"/>
      <c r="AT317" s="8"/>
      <c r="AU317" s="8"/>
      <c r="AV317" s="8"/>
      <c r="AW317" s="8"/>
      <c r="AX317" s="8"/>
      <c r="AY317" s="8"/>
      <c r="AZ317" s="8"/>
    </row>
    <row r="318" spans="1:52">
      <c r="A318" s="5" t="s">
        <v>1131</v>
      </c>
      <c r="B318" s="5">
        <v>899</v>
      </c>
      <c r="C318" s="19">
        <v>32</v>
      </c>
      <c r="E318" s="14"/>
      <c r="F318" s="11"/>
      <c r="G318" s="11"/>
      <c r="H318" s="11"/>
      <c r="I318" s="11"/>
      <c r="J318" s="25"/>
      <c r="K318" s="11"/>
      <c r="L318" s="11"/>
      <c r="M318" s="19">
        <v>0</v>
      </c>
      <c r="O318" s="6"/>
      <c r="P318" s="16">
        <v>0</v>
      </c>
      <c r="Q318" s="16">
        <v>0</v>
      </c>
      <c r="R318" s="22"/>
      <c r="S318" s="22">
        <f t="shared" si="8"/>
        <v>0</v>
      </c>
      <c r="T318" s="5" t="s">
        <v>1210</v>
      </c>
      <c r="U318" s="5" t="s">
        <v>1210</v>
      </c>
      <c r="Y318" s="8"/>
      <c r="Z318" s="8"/>
      <c r="AA318" s="8"/>
      <c r="AB318" s="8"/>
      <c r="AC318" s="8"/>
      <c r="AD318" s="8"/>
      <c r="AE318" s="25"/>
      <c r="AF318" s="11"/>
      <c r="AG318" s="25"/>
      <c r="AH318" s="11"/>
      <c r="AI318" s="11">
        <v>32</v>
      </c>
      <c r="AJ318" s="19">
        <v>0</v>
      </c>
      <c r="AK318" s="12">
        <f>(AJ318+AI318)/30*7</f>
        <v>7.4666666666666668</v>
      </c>
      <c r="AL318" s="6">
        <f>IF(AK318-C318&lt;0,0,AK318-C318)</f>
        <v>0</v>
      </c>
      <c r="AM318" s="6">
        <f>IF(AL318-R318-S318&lt;0,0,AL318-R318-S318)</f>
        <v>0</v>
      </c>
      <c r="AN318" s="5" t="str">
        <f t="shared" si="9"/>
        <v/>
      </c>
      <c r="AO318" s="5">
        <v>0</v>
      </c>
      <c r="AP318" s="9"/>
      <c r="AQ318" s="5" t="s">
        <v>1210</v>
      </c>
      <c r="AR318" s="5" t="s">
        <v>1210</v>
      </c>
      <c r="AS318" s="8"/>
      <c r="AT318" s="8"/>
      <c r="AU318" s="8"/>
      <c r="AV318" s="8"/>
      <c r="AW318" s="8"/>
      <c r="AX318" s="8"/>
      <c r="AY318" s="8"/>
      <c r="AZ318" s="8"/>
    </row>
    <row r="319" spans="1:52">
      <c r="A319" s="5" t="s">
        <v>600</v>
      </c>
      <c r="B319" s="5">
        <v>1066</v>
      </c>
      <c r="C319" s="19">
        <v>36</v>
      </c>
      <c r="E319" s="14"/>
      <c r="F319" s="11"/>
      <c r="G319" s="11"/>
      <c r="H319" s="11"/>
      <c r="I319" s="11"/>
      <c r="J319" s="25"/>
      <c r="K319" s="11"/>
      <c r="L319" s="11"/>
      <c r="M319" s="19">
        <v>0</v>
      </c>
      <c r="O319" s="6"/>
      <c r="P319" s="16">
        <v>0</v>
      </c>
      <c r="Q319" s="16">
        <v>0</v>
      </c>
      <c r="R319" s="22"/>
      <c r="S319" s="22">
        <f t="shared" si="8"/>
        <v>0</v>
      </c>
      <c r="T319" s="5">
        <v>777</v>
      </c>
      <c r="U319" s="5">
        <v>303</v>
      </c>
      <c r="Y319" s="8"/>
      <c r="Z319" s="8"/>
      <c r="AA319" s="8"/>
      <c r="AB319" s="8"/>
      <c r="AC319" s="8"/>
      <c r="AD319" s="8"/>
      <c r="AE319" s="25"/>
      <c r="AF319" s="11"/>
      <c r="AG319" s="25"/>
      <c r="AH319" s="11"/>
      <c r="AI319" s="11">
        <v>32</v>
      </c>
      <c r="AJ319" s="19">
        <v>0</v>
      </c>
      <c r="AK319" s="12">
        <f>(AJ319+AI319)/30*7</f>
        <v>7.4666666666666668</v>
      </c>
      <c r="AL319" s="6">
        <f>IF(AK319-C319&lt;0,0,AK319-C319)</f>
        <v>0</v>
      </c>
      <c r="AM319" s="6">
        <f>IF(AL319-R319-S319&lt;0,0,AL319-R319-S319)</f>
        <v>0</v>
      </c>
      <c r="AN319" s="5" t="str">
        <f t="shared" si="9"/>
        <v/>
      </c>
      <c r="AO319" s="5">
        <v>0</v>
      </c>
      <c r="AP319" s="9"/>
      <c r="AQ319" s="5" t="s">
        <v>1210</v>
      </c>
      <c r="AR319" s="5" t="s">
        <v>1210</v>
      </c>
      <c r="AS319" s="8"/>
      <c r="AT319" s="8"/>
      <c r="AU319" s="8"/>
      <c r="AV319" s="8"/>
      <c r="AW319" s="8"/>
      <c r="AX319" s="8"/>
      <c r="AY319" s="8"/>
      <c r="AZ319" s="8"/>
    </row>
    <row r="320" spans="1:52">
      <c r="A320" s="5" t="s">
        <v>889</v>
      </c>
      <c r="B320" s="5">
        <v>1327</v>
      </c>
      <c r="C320" s="19">
        <v>35</v>
      </c>
      <c r="E320" s="14"/>
      <c r="F320" s="11"/>
      <c r="G320" s="11"/>
      <c r="H320" s="11"/>
      <c r="I320" s="11"/>
      <c r="J320" s="25"/>
      <c r="K320" s="11"/>
      <c r="L320" s="11"/>
      <c r="M320" s="19">
        <v>0</v>
      </c>
      <c r="O320" s="6"/>
      <c r="P320" s="16">
        <v>0</v>
      </c>
      <c r="Q320" s="16">
        <v>0</v>
      </c>
      <c r="R320" s="22"/>
      <c r="S320" s="22">
        <f t="shared" si="8"/>
        <v>0</v>
      </c>
      <c r="T320" s="5">
        <v>1273</v>
      </c>
      <c r="U320" s="5">
        <v>843</v>
      </c>
      <c r="Y320" s="8"/>
      <c r="Z320" s="8"/>
      <c r="AA320" s="8"/>
      <c r="AB320" s="8"/>
      <c r="AC320" s="8"/>
      <c r="AD320" s="8"/>
      <c r="AE320" s="25"/>
      <c r="AF320" s="11"/>
      <c r="AG320" s="25"/>
      <c r="AH320" s="11"/>
      <c r="AI320" s="11">
        <v>32</v>
      </c>
      <c r="AJ320" s="19">
        <v>0</v>
      </c>
      <c r="AK320" s="12">
        <f>(AJ320+AI320)/30*7</f>
        <v>7.4666666666666668</v>
      </c>
      <c r="AL320" s="6">
        <f>IF(AK320-C320&lt;0,0,AK320-C320)</f>
        <v>0</v>
      </c>
      <c r="AM320" s="6">
        <f>IF(AL320-R320-S320&lt;0,0,AL320-R320-S320)</f>
        <v>0</v>
      </c>
      <c r="AN320" s="5" t="str">
        <f t="shared" si="9"/>
        <v/>
      </c>
      <c r="AO320" s="5">
        <v>0</v>
      </c>
      <c r="AP320" s="9"/>
      <c r="AQ320" s="5" t="s">
        <v>1210</v>
      </c>
      <c r="AR320" s="5" t="s">
        <v>1210</v>
      </c>
      <c r="AS320" s="8"/>
      <c r="AT320" s="8"/>
      <c r="AU320" s="8"/>
      <c r="AV320" s="8"/>
      <c r="AW320" s="8"/>
      <c r="AX320" s="8"/>
      <c r="AY320" s="8"/>
      <c r="AZ320" s="8"/>
    </row>
    <row r="321" spans="1:52">
      <c r="A321" s="5" t="s">
        <v>638</v>
      </c>
      <c r="B321" s="5">
        <v>399</v>
      </c>
      <c r="C321" s="19">
        <v>36</v>
      </c>
      <c r="E321" s="14"/>
      <c r="F321" s="11"/>
      <c r="G321" s="11"/>
      <c r="H321" s="11"/>
      <c r="I321" s="11"/>
      <c r="J321" s="25"/>
      <c r="K321" s="11"/>
      <c r="L321" s="11"/>
      <c r="M321" s="19">
        <v>0</v>
      </c>
      <c r="O321" s="6"/>
      <c r="P321" s="16">
        <v>0</v>
      </c>
      <c r="Q321" s="16">
        <v>0</v>
      </c>
      <c r="R321" s="22"/>
      <c r="S321" s="22">
        <f t="shared" si="8"/>
        <v>0</v>
      </c>
      <c r="T321" s="5" t="s">
        <v>1210</v>
      </c>
      <c r="U321" s="5" t="s">
        <v>1210</v>
      </c>
      <c r="Y321" s="8"/>
      <c r="Z321" s="8"/>
      <c r="AA321" s="8"/>
      <c r="AB321" s="8"/>
      <c r="AC321" s="8"/>
      <c r="AD321" s="8"/>
      <c r="AE321" s="25"/>
      <c r="AF321" s="11"/>
      <c r="AG321" s="25"/>
      <c r="AH321" s="11"/>
      <c r="AI321" s="11">
        <v>31</v>
      </c>
      <c r="AJ321" s="19">
        <v>0</v>
      </c>
      <c r="AK321" s="12">
        <f>(AJ321+AI321)/30*7</f>
        <v>7.2333333333333343</v>
      </c>
      <c r="AL321" s="6">
        <f>IF(AK321-C321&lt;0,0,AK321-C321)</f>
        <v>0</v>
      </c>
      <c r="AM321" s="6">
        <f>IF(AL321-R321-S321&lt;0,0,AL321-R321-S321)</f>
        <v>0</v>
      </c>
      <c r="AN321" s="5" t="str">
        <f t="shared" si="9"/>
        <v/>
      </c>
      <c r="AO321" s="5">
        <v>0</v>
      </c>
      <c r="AP321" s="9"/>
      <c r="AQ321" s="5" t="s">
        <v>1210</v>
      </c>
      <c r="AR321" s="5" t="s">
        <v>1210</v>
      </c>
      <c r="AS321" s="8"/>
      <c r="AT321" s="8"/>
      <c r="AU321" s="8"/>
      <c r="AV321" s="8"/>
      <c r="AW321" s="8"/>
      <c r="AX321" s="8"/>
      <c r="AY321" s="8"/>
      <c r="AZ321" s="8"/>
    </row>
    <row r="322" spans="1:52">
      <c r="A322" s="5" t="s">
        <v>1011</v>
      </c>
      <c r="B322" s="5">
        <v>587</v>
      </c>
      <c r="C322" s="19">
        <v>38</v>
      </c>
      <c r="E322" s="14"/>
      <c r="F322" s="11"/>
      <c r="G322" s="11"/>
      <c r="H322" s="11"/>
      <c r="I322" s="11"/>
      <c r="J322" s="25"/>
      <c r="K322" s="11"/>
      <c r="L322" s="11"/>
      <c r="M322" s="19">
        <v>0</v>
      </c>
      <c r="O322" s="6"/>
      <c r="P322" s="16">
        <v>0</v>
      </c>
      <c r="Q322" s="16">
        <v>0</v>
      </c>
      <c r="R322" s="22"/>
      <c r="S322" s="22">
        <f t="shared" si="8"/>
        <v>0</v>
      </c>
      <c r="T322" s="5" t="s">
        <v>1210</v>
      </c>
      <c r="U322" s="5" t="s">
        <v>1210</v>
      </c>
      <c r="Y322" s="8"/>
      <c r="Z322" s="8"/>
      <c r="AA322" s="8"/>
      <c r="AB322" s="8"/>
      <c r="AC322" s="8"/>
      <c r="AD322" s="8"/>
      <c r="AE322" s="25"/>
      <c r="AF322" s="11"/>
      <c r="AG322" s="25"/>
      <c r="AH322" s="11"/>
      <c r="AI322" s="11">
        <v>31</v>
      </c>
      <c r="AJ322" s="19">
        <v>0</v>
      </c>
      <c r="AK322" s="12">
        <f>(AJ322+AI322)/30*7</f>
        <v>7.2333333333333343</v>
      </c>
      <c r="AL322" s="6">
        <f>IF(AK322-C322&lt;0,0,AK322-C322)</f>
        <v>0</v>
      </c>
      <c r="AM322" s="6">
        <f>IF(AL322-R322-S322&lt;0,0,AL322-R322-S322)</f>
        <v>0</v>
      </c>
      <c r="AN322" s="5" t="str">
        <f t="shared" si="9"/>
        <v/>
      </c>
      <c r="AO322" s="5">
        <v>0</v>
      </c>
      <c r="AP322" s="9"/>
      <c r="AQ322" s="5" t="s">
        <v>1210</v>
      </c>
      <c r="AR322" s="5" t="s">
        <v>1210</v>
      </c>
      <c r="AS322" s="8"/>
      <c r="AT322" s="8"/>
      <c r="AU322" s="8"/>
      <c r="AV322" s="8"/>
      <c r="AW322" s="8"/>
      <c r="AX322" s="8"/>
      <c r="AY322" s="8"/>
      <c r="AZ322" s="8"/>
    </row>
    <row r="323" spans="1:52">
      <c r="A323" s="5" t="s">
        <v>837</v>
      </c>
      <c r="B323" s="5">
        <v>1657</v>
      </c>
      <c r="C323" s="19">
        <v>30</v>
      </c>
      <c r="E323" s="14"/>
      <c r="F323" s="11"/>
      <c r="G323" s="11"/>
      <c r="H323" s="11"/>
      <c r="I323" s="11"/>
      <c r="J323" s="25"/>
      <c r="K323" s="11"/>
      <c r="L323" s="11"/>
      <c r="M323" s="19">
        <v>0</v>
      </c>
      <c r="O323" s="6"/>
      <c r="P323" s="16">
        <v>348</v>
      </c>
      <c r="Q323" s="16">
        <v>0</v>
      </c>
      <c r="R323" s="22"/>
      <c r="S323" s="22">
        <f t="shared" si="8"/>
        <v>0</v>
      </c>
      <c r="T323" s="5">
        <v>1719</v>
      </c>
      <c r="U323" s="5">
        <v>524</v>
      </c>
      <c r="Y323" s="8"/>
      <c r="Z323" s="8"/>
      <c r="AA323" s="8"/>
      <c r="AB323" s="8"/>
      <c r="AC323" s="8"/>
      <c r="AD323" s="8"/>
      <c r="AE323" s="25"/>
      <c r="AF323" s="11"/>
      <c r="AG323" s="25"/>
      <c r="AH323" s="11"/>
      <c r="AI323" s="11">
        <v>31</v>
      </c>
      <c r="AJ323" s="19">
        <v>0</v>
      </c>
      <c r="AK323" s="12">
        <f>(AJ323+AI323)/30*7</f>
        <v>7.2333333333333343</v>
      </c>
      <c r="AL323" s="6">
        <f>IF(AK323-C323&lt;0,0,AK323-C323)</f>
        <v>0</v>
      </c>
      <c r="AM323" s="6">
        <f>IF(AL323-R323-S323&lt;0,0,AL323-R323-S323)</f>
        <v>0</v>
      </c>
      <c r="AN323" s="5" t="str">
        <f t="shared" si="9"/>
        <v/>
      </c>
      <c r="AO323" s="5">
        <v>0</v>
      </c>
      <c r="AP323" s="9"/>
      <c r="AQ323" s="5" t="s">
        <v>1210</v>
      </c>
      <c r="AR323" s="5" t="s">
        <v>1230</v>
      </c>
      <c r="AS323" s="8"/>
      <c r="AT323" s="8"/>
      <c r="AU323" s="8"/>
      <c r="AV323" s="8"/>
      <c r="AW323" s="8"/>
      <c r="AX323" s="8"/>
      <c r="AY323" s="8"/>
      <c r="AZ323" s="8"/>
    </row>
    <row r="324" spans="1:52">
      <c r="A324" s="5" t="s">
        <v>647</v>
      </c>
      <c r="B324" s="5" t="s">
        <v>1161</v>
      </c>
      <c r="C324" s="19">
        <v>26</v>
      </c>
      <c r="E324" s="14"/>
      <c r="F324" s="11"/>
      <c r="G324" s="11"/>
      <c r="H324" s="11"/>
      <c r="I324" s="11"/>
      <c r="J324" s="25"/>
      <c r="K324" s="11"/>
      <c r="L324" s="11"/>
      <c r="M324" s="19">
        <v>0</v>
      </c>
      <c r="O324" s="6"/>
      <c r="P324" s="16">
        <v>0</v>
      </c>
      <c r="Q324" s="16">
        <v>0</v>
      </c>
      <c r="R324" s="22"/>
      <c r="S324" s="22">
        <f t="shared" ref="S324:S387" si="10">IF(AL324&gt;0,IF(Q324&gt;=AL324,ROUND(AL324,0),Q324),0)</f>
        <v>0</v>
      </c>
      <c r="T324" s="5" t="s">
        <v>1210</v>
      </c>
      <c r="U324" s="5" t="s">
        <v>1210</v>
      </c>
      <c r="Y324" s="8"/>
      <c r="Z324" s="8"/>
      <c r="AA324" s="8"/>
      <c r="AB324" s="8"/>
      <c r="AC324" s="8"/>
      <c r="AD324" s="8"/>
      <c r="AE324" s="25"/>
      <c r="AF324" s="11"/>
      <c r="AG324" s="25"/>
      <c r="AH324" s="11"/>
      <c r="AI324" s="11">
        <v>31</v>
      </c>
      <c r="AJ324" s="19">
        <v>0</v>
      </c>
      <c r="AK324" s="12">
        <f>(AJ324+AI324)/30*7</f>
        <v>7.2333333333333343</v>
      </c>
      <c r="AL324" s="6">
        <f>IF(AK324-C324&lt;0,0,AK324-C324)</f>
        <v>0</v>
      </c>
      <c r="AM324" s="6">
        <f>IF(AL324-R324-S324&lt;0,0,AL324-R324-S324)</f>
        <v>0</v>
      </c>
      <c r="AN324" s="5" t="str">
        <f t="shared" ref="AN324:AN387" si="11">IF(AM324&gt;0,IF(LEN(U324)=0,IF(ROUND(AM324-AO324,0)&gt;0,ROUND(AM324-AO324,0),""),IF(U324+AO324&gt;=AM324,"",ROUND(AM324-U324-AO324,0))),"")</f>
        <v/>
      </c>
      <c r="AO324" s="5">
        <v>0</v>
      </c>
      <c r="AP324" s="9"/>
      <c r="AQ324" s="5" t="s">
        <v>1210</v>
      </c>
      <c r="AR324" s="5" t="s">
        <v>1210</v>
      </c>
      <c r="AS324" s="8"/>
      <c r="AT324" s="8"/>
      <c r="AU324" s="8"/>
      <c r="AV324" s="8"/>
      <c r="AW324" s="8"/>
      <c r="AX324" s="8"/>
      <c r="AY324" s="8"/>
      <c r="AZ324" s="8"/>
    </row>
    <row r="325" spans="1:52">
      <c r="A325" s="5" t="s">
        <v>927</v>
      </c>
      <c r="B325" s="5">
        <v>832</v>
      </c>
      <c r="C325" s="19">
        <v>35</v>
      </c>
      <c r="E325" s="14"/>
      <c r="F325" s="11"/>
      <c r="G325" s="11"/>
      <c r="H325" s="11"/>
      <c r="I325" s="11"/>
      <c r="J325" s="25"/>
      <c r="K325" s="11"/>
      <c r="L325" s="11"/>
      <c r="M325" s="19">
        <v>0</v>
      </c>
      <c r="O325" s="6"/>
      <c r="P325" s="16">
        <v>0</v>
      </c>
      <c r="Q325" s="16">
        <v>0</v>
      </c>
      <c r="R325" s="22"/>
      <c r="S325" s="22">
        <f t="shared" si="10"/>
        <v>0</v>
      </c>
      <c r="T325" s="5" t="s">
        <v>1210</v>
      </c>
      <c r="U325" s="5" t="s">
        <v>1210</v>
      </c>
      <c r="Y325" s="8"/>
      <c r="Z325" s="8"/>
      <c r="AA325" s="8"/>
      <c r="AB325" s="8"/>
      <c r="AC325" s="8"/>
      <c r="AD325" s="8"/>
      <c r="AE325" s="25"/>
      <c r="AF325" s="11"/>
      <c r="AG325" s="25"/>
      <c r="AH325" s="11"/>
      <c r="AI325" s="11">
        <v>30</v>
      </c>
      <c r="AJ325" s="19">
        <v>0</v>
      </c>
      <c r="AK325" s="12">
        <f>(AJ325+AI325)/30*7</f>
        <v>7</v>
      </c>
      <c r="AL325" s="6">
        <f>IF(AK325-C325&lt;0,0,AK325-C325)</f>
        <v>0</v>
      </c>
      <c r="AM325" s="6">
        <f>IF(AL325-R325-S325&lt;0,0,AL325-R325-S325)</f>
        <v>0</v>
      </c>
      <c r="AN325" s="5" t="str">
        <f t="shared" si="11"/>
        <v/>
      </c>
      <c r="AO325" s="5">
        <v>0</v>
      </c>
      <c r="AP325" s="9"/>
      <c r="AQ325" s="5" t="s">
        <v>1210</v>
      </c>
      <c r="AR325" s="5" t="s">
        <v>1210</v>
      </c>
      <c r="AS325" s="8"/>
      <c r="AT325" s="8"/>
      <c r="AU325" s="8"/>
      <c r="AV325" s="8"/>
      <c r="AW325" s="8"/>
      <c r="AX325" s="8"/>
      <c r="AY325" s="8"/>
      <c r="AZ325" s="8"/>
    </row>
    <row r="326" spans="1:52">
      <c r="A326" s="5" t="s">
        <v>577</v>
      </c>
      <c r="B326" s="5">
        <v>306</v>
      </c>
      <c r="C326" s="19">
        <v>35</v>
      </c>
      <c r="E326" s="14"/>
      <c r="F326" s="11"/>
      <c r="G326" s="11"/>
      <c r="H326" s="11"/>
      <c r="I326" s="11"/>
      <c r="J326" s="25"/>
      <c r="K326" s="11"/>
      <c r="L326" s="11"/>
      <c r="M326" s="19">
        <v>0</v>
      </c>
      <c r="O326" s="6"/>
      <c r="P326" s="16">
        <v>0</v>
      </c>
      <c r="Q326" s="16">
        <v>0</v>
      </c>
      <c r="R326" s="22"/>
      <c r="S326" s="22">
        <f t="shared" si="10"/>
        <v>0</v>
      </c>
      <c r="T326" s="5">
        <v>228</v>
      </c>
      <c r="U326" s="5">
        <v>934</v>
      </c>
      <c r="Y326" s="8"/>
      <c r="Z326" s="8"/>
      <c r="AA326" s="8"/>
      <c r="AB326" s="8"/>
      <c r="AC326" s="8"/>
      <c r="AD326" s="8"/>
      <c r="AE326" s="25"/>
      <c r="AF326" s="11"/>
      <c r="AG326" s="25"/>
      <c r="AH326" s="11"/>
      <c r="AI326" s="11">
        <v>30</v>
      </c>
      <c r="AJ326" s="19">
        <v>0</v>
      </c>
      <c r="AK326" s="12">
        <f>(AJ326+AI326)/30*7</f>
        <v>7</v>
      </c>
      <c r="AL326" s="6">
        <f>IF(AK326-C326&lt;0,0,AK326-C326)</f>
        <v>0</v>
      </c>
      <c r="AM326" s="6">
        <f>IF(AL326-R326-S326&lt;0,0,AL326-R326-S326)</f>
        <v>0</v>
      </c>
      <c r="AN326" s="5" t="str">
        <f t="shared" si="11"/>
        <v/>
      </c>
      <c r="AO326" s="5">
        <v>0</v>
      </c>
      <c r="AP326" s="9"/>
      <c r="AQ326" s="5" t="s">
        <v>1210</v>
      </c>
      <c r="AR326" s="5" t="s">
        <v>1210</v>
      </c>
      <c r="AS326" s="8"/>
      <c r="AT326" s="8"/>
      <c r="AU326" s="8"/>
      <c r="AV326" s="8"/>
      <c r="AW326" s="8"/>
      <c r="AX326" s="8"/>
      <c r="AY326" s="8"/>
      <c r="AZ326" s="8"/>
    </row>
    <row r="327" spans="1:52">
      <c r="A327" s="5" t="s">
        <v>919</v>
      </c>
      <c r="B327" s="5">
        <v>863</v>
      </c>
      <c r="C327" s="19">
        <v>20</v>
      </c>
      <c r="E327" s="14"/>
      <c r="F327" s="11"/>
      <c r="G327" s="11"/>
      <c r="H327" s="11"/>
      <c r="I327" s="11"/>
      <c r="J327" s="25"/>
      <c r="K327" s="11"/>
      <c r="L327" s="11"/>
      <c r="M327" s="19">
        <v>0</v>
      </c>
      <c r="O327" s="6"/>
      <c r="P327" s="16">
        <v>0</v>
      </c>
      <c r="Q327" s="16">
        <v>0</v>
      </c>
      <c r="R327" s="22"/>
      <c r="S327" s="22">
        <f t="shared" si="10"/>
        <v>0</v>
      </c>
      <c r="T327" s="5">
        <v>813</v>
      </c>
      <c r="U327" s="5">
        <v>714</v>
      </c>
      <c r="Y327" s="8"/>
      <c r="Z327" s="8"/>
      <c r="AA327" s="8"/>
      <c r="AB327" s="8"/>
      <c r="AC327" s="8"/>
      <c r="AD327" s="8"/>
      <c r="AE327" s="25"/>
      <c r="AF327" s="11"/>
      <c r="AG327" s="25"/>
      <c r="AH327" s="11"/>
      <c r="AI327" s="11">
        <v>30</v>
      </c>
      <c r="AJ327" s="19">
        <v>0</v>
      </c>
      <c r="AK327" s="12">
        <f>(AJ327+AI327)/30*7</f>
        <v>7</v>
      </c>
      <c r="AL327" s="6">
        <f>IF(AK327-C327&lt;0,0,AK327-C327)</f>
        <v>0</v>
      </c>
      <c r="AM327" s="6">
        <f>IF(AL327-R327-S327&lt;0,0,AL327-R327-S327)</f>
        <v>0</v>
      </c>
      <c r="AN327" s="5" t="str">
        <f t="shared" si="11"/>
        <v/>
      </c>
      <c r="AO327" s="5">
        <v>0</v>
      </c>
      <c r="AP327" s="9"/>
      <c r="AQ327" s="5" t="s">
        <v>1210</v>
      </c>
      <c r="AR327" s="5" t="s">
        <v>1210</v>
      </c>
      <c r="AS327" s="8"/>
      <c r="AT327" s="8"/>
      <c r="AU327" s="8"/>
      <c r="AV327" s="8"/>
      <c r="AW327" s="8"/>
      <c r="AX327" s="8"/>
      <c r="AY327" s="8"/>
      <c r="AZ327" s="8"/>
    </row>
    <row r="328" spans="1:52">
      <c r="A328" s="5" t="s">
        <v>1078</v>
      </c>
      <c r="B328" s="5">
        <v>1380</v>
      </c>
      <c r="C328" s="19">
        <v>16</v>
      </c>
      <c r="E328" s="14"/>
      <c r="F328" s="11"/>
      <c r="G328" s="11"/>
      <c r="H328" s="11"/>
      <c r="I328" s="11"/>
      <c r="J328" s="25"/>
      <c r="K328" s="11"/>
      <c r="L328" s="11"/>
      <c r="M328" s="19">
        <v>0</v>
      </c>
      <c r="O328" s="6"/>
      <c r="P328" s="16">
        <v>0</v>
      </c>
      <c r="Q328" s="16">
        <v>0</v>
      </c>
      <c r="R328" s="22"/>
      <c r="S328" s="22">
        <f t="shared" si="10"/>
        <v>0</v>
      </c>
      <c r="T328" s="5">
        <v>1363</v>
      </c>
      <c r="U328" s="5">
        <v>208</v>
      </c>
      <c r="Y328" s="8"/>
      <c r="Z328" s="8"/>
      <c r="AA328" s="8"/>
      <c r="AB328" s="8"/>
      <c r="AC328" s="8"/>
      <c r="AD328" s="8"/>
      <c r="AE328" s="25"/>
      <c r="AF328" s="11"/>
      <c r="AG328" s="25"/>
      <c r="AH328" s="11"/>
      <c r="AI328" s="11">
        <v>30</v>
      </c>
      <c r="AJ328" s="19">
        <v>0</v>
      </c>
      <c r="AK328" s="12">
        <f>(AJ328+AI328)/30*7</f>
        <v>7</v>
      </c>
      <c r="AL328" s="6">
        <f>IF(AK328-C328&lt;0,0,AK328-C328)</f>
        <v>0</v>
      </c>
      <c r="AM328" s="6">
        <f>IF(AL328-R328-S328&lt;0,0,AL328-R328-S328)</f>
        <v>0</v>
      </c>
      <c r="AN328" s="5" t="str">
        <f t="shared" si="11"/>
        <v/>
      </c>
      <c r="AO328" s="5">
        <v>0</v>
      </c>
      <c r="AP328" s="9"/>
      <c r="AQ328" s="5" t="s">
        <v>1210</v>
      </c>
      <c r="AR328" s="5" t="s">
        <v>1210</v>
      </c>
      <c r="AS328" s="8"/>
      <c r="AT328" s="8"/>
      <c r="AU328" s="8"/>
      <c r="AV328" s="8"/>
      <c r="AW328" s="8"/>
      <c r="AX328" s="8"/>
      <c r="AY328" s="8"/>
      <c r="AZ328" s="8"/>
    </row>
    <row r="329" spans="1:52">
      <c r="A329" s="5" t="s">
        <v>193</v>
      </c>
      <c r="B329" s="5">
        <v>1568</v>
      </c>
      <c r="C329" s="19">
        <v>24</v>
      </c>
      <c r="E329" s="14"/>
      <c r="F329" s="11"/>
      <c r="G329" s="11"/>
      <c r="H329" s="11"/>
      <c r="I329" s="11"/>
      <c r="J329" s="25"/>
      <c r="K329" s="11"/>
      <c r="L329" s="11"/>
      <c r="M329" s="19">
        <v>0</v>
      </c>
      <c r="O329" s="6"/>
      <c r="P329" s="16">
        <v>0</v>
      </c>
      <c r="Q329" s="16">
        <v>0</v>
      </c>
      <c r="R329" s="22"/>
      <c r="S329" s="22">
        <f t="shared" si="10"/>
        <v>0</v>
      </c>
      <c r="T329" s="5">
        <v>1720</v>
      </c>
      <c r="U329" s="5">
        <v>876</v>
      </c>
      <c r="Y329" s="8"/>
      <c r="Z329" s="8"/>
      <c r="AA329" s="8"/>
      <c r="AB329" s="8"/>
      <c r="AC329" s="8"/>
      <c r="AD329" s="8"/>
      <c r="AE329" s="25"/>
      <c r="AF329" s="11"/>
      <c r="AG329" s="25"/>
      <c r="AH329" s="11"/>
      <c r="AI329" s="11">
        <v>30</v>
      </c>
      <c r="AJ329" s="19">
        <v>0</v>
      </c>
      <c r="AK329" s="12">
        <f>(AJ329+AI329)/30*7</f>
        <v>7</v>
      </c>
      <c r="AL329" s="6">
        <f>IF(AK329-C329&lt;0,0,AK329-C329)</f>
        <v>0</v>
      </c>
      <c r="AM329" s="6">
        <f>IF(AL329-R329-S329&lt;0,0,AL329-R329-S329)</f>
        <v>0</v>
      </c>
      <c r="AN329" s="5" t="str">
        <f t="shared" si="11"/>
        <v/>
      </c>
      <c r="AO329" s="5">
        <v>0</v>
      </c>
      <c r="AP329" s="9"/>
      <c r="AQ329" s="5" t="s">
        <v>1210</v>
      </c>
      <c r="AR329" s="5" t="s">
        <v>1210</v>
      </c>
      <c r="AS329" s="8"/>
      <c r="AT329" s="8"/>
      <c r="AU329" s="8"/>
      <c r="AV329" s="8"/>
      <c r="AW329" s="8"/>
      <c r="AX329" s="8"/>
      <c r="AY329" s="8"/>
      <c r="AZ329" s="8"/>
    </row>
    <row r="330" spans="1:52">
      <c r="A330" s="5" t="s">
        <v>793</v>
      </c>
      <c r="B330" s="5">
        <v>897</v>
      </c>
      <c r="C330" s="19">
        <v>35</v>
      </c>
      <c r="E330" s="14"/>
      <c r="F330" s="11"/>
      <c r="G330" s="11"/>
      <c r="H330" s="11"/>
      <c r="I330" s="11"/>
      <c r="J330" s="25"/>
      <c r="K330" s="11"/>
      <c r="L330" s="11"/>
      <c r="M330" s="19">
        <v>0</v>
      </c>
      <c r="O330" s="6"/>
      <c r="P330" s="16">
        <v>989</v>
      </c>
      <c r="Q330" s="16">
        <v>0</v>
      </c>
      <c r="R330" s="22"/>
      <c r="S330" s="22">
        <f t="shared" si="10"/>
        <v>0</v>
      </c>
      <c r="T330" s="5">
        <v>702</v>
      </c>
      <c r="U330" s="5">
        <v>329</v>
      </c>
      <c r="Y330" s="8"/>
      <c r="Z330" s="8"/>
      <c r="AA330" s="8"/>
      <c r="AB330" s="8"/>
      <c r="AC330" s="8"/>
      <c r="AD330" s="8"/>
      <c r="AE330" s="25"/>
      <c r="AF330" s="11"/>
      <c r="AG330" s="25"/>
      <c r="AH330" s="11"/>
      <c r="AI330" s="11">
        <v>29</v>
      </c>
      <c r="AJ330" s="19">
        <v>0</v>
      </c>
      <c r="AK330" s="12">
        <f>(AJ330+AI330)/30*7</f>
        <v>6.7666666666666666</v>
      </c>
      <c r="AL330" s="6">
        <f>IF(AK330-C330&lt;0,0,AK330-C330)</f>
        <v>0</v>
      </c>
      <c r="AM330" s="6">
        <f>IF(AL330-R330-S330&lt;0,0,AL330-R330-S330)</f>
        <v>0</v>
      </c>
      <c r="AN330" s="5" t="str">
        <f t="shared" si="11"/>
        <v/>
      </c>
      <c r="AO330" s="5">
        <v>0</v>
      </c>
      <c r="AP330" s="9"/>
      <c r="AQ330" s="5" t="s">
        <v>1210</v>
      </c>
      <c r="AR330" s="5" t="s">
        <v>1230</v>
      </c>
      <c r="AS330" s="8"/>
      <c r="AT330" s="8"/>
      <c r="AU330" s="8"/>
      <c r="AV330" s="8"/>
      <c r="AW330" s="8"/>
      <c r="AX330" s="8"/>
      <c r="AY330" s="8"/>
      <c r="AZ330" s="8"/>
    </row>
    <row r="331" spans="1:52">
      <c r="A331" s="5" t="s">
        <v>928</v>
      </c>
      <c r="B331" s="5">
        <v>1268</v>
      </c>
      <c r="C331" s="19">
        <v>23</v>
      </c>
      <c r="E331" s="14"/>
      <c r="F331" s="11"/>
      <c r="G331" s="11"/>
      <c r="H331" s="11"/>
      <c r="I331" s="11"/>
      <c r="J331" s="25"/>
      <c r="K331" s="11"/>
      <c r="L331" s="11"/>
      <c r="M331" s="19">
        <v>0</v>
      </c>
      <c r="O331" s="6"/>
      <c r="P331" s="16">
        <v>0</v>
      </c>
      <c r="Q331" s="16">
        <v>0</v>
      </c>
      <c r="R331" s="22"/>
      <c r="S331" s="22">
        <f t="shared" si="10"/>
        <v>0</v>
      </c>
      <c r="T331" s="5">
        <v>1699</v>
      </c>
      <c r="U331" s="5">
        <v>852</v>
      </c>
      <c r="Y331" s="8"/>
      <c r="Z331" s="8"/>
      <c r="AA331" s="8"/>
      <c r="AB331" s="8"/>
      <c r="AC331" s="8"/>
      <c r="AD331" s="8"/>
      <c r="AE331" s="25"/>
      <c r="AF331" s="11"/>
      <c r="AG331" s="25"/>
      <c r="AH331" s="11"/>
      <c r="AI331" s="11">
        <v>29</v>
      </c>
      <c r="AJ331" s="19">
        <v>0</v>
      </c>
      <c r="AK331" s="12">
        <f>(AJ331+AI331)/30*7</f>
        <v>6.7666666666666666</v>
      </c>
      <c r="AL331" s="6">
        <f>IF(AK331-C331&lt;0,0,AK331-C331)</f>
        <v>0</v>
      </c>
      <c r="AM331" s="6">
        <f>IF(AL331-R331-S331&lt;0,0,AL331-R331-S331)</f>
        <v>0</v>
      </c>
      <c r="AN331" s="5" t="str">
        <f t="shared" si="11"/>
        <v/>
      </c>
      <c r="AO331" s="5">
        <v>0</v>
      </c>
      <c r="AP331" s="9"/>
      <c r="AQ331" s="5" t="s">
        <v>1210</v>
      </c>
      <c r="AR331" s="5" t="s">
        <v>1210</v>
      </c>
      <c r="AS331" s="8"/>
      <c r="AT331" s="8"/>
      <c r="AU331" s="8"/>
      <c r="AV331" s="8"/>
      <c r="AW331" s="8"/>
      <c r="AX331" s="8"/>
      <c r="AY331" s="8"/>
      <c r="AZ331" s="8"/>
    </row>
    <row r="332" spans="1:52">
      <c r="A332" s="5" t="s">
        <v>1097</v>
      </c>
      <c r="B332" s="5">
        <v>1544</v>
      </c>
      <c r="C332" s="19">
        <v>18</v>
      </c>
      <c r="E332" s="14"/>
      <c r="F332" s="11"/>
      <c r="G332" s="11"/>
      <c r="H332" s="11"/>
      <c r="I332" s="11"/>
      <c r="J332" s="25"/>
      <c r="K332" s="11"/>
      <c r="L332" s="11"/>
      <c r="M332" s="19">
        <v>0</v>
      </c>
      <c r="O332" s="6"/>
      <c r="P332" s="16">
        <v>0</v>
      </c>
      <c r="Q332" s="16">
        <v>0</v>
      </c>
      <c r="R332" s="22"/>
      <c r="S332" s="22">
        <f t="shared" si="10"/>
        <v>0</v>
      </c>
      <c r="T332" s="5">
        <v>1848</v>
      </c>
      <c r="U332" s="5">
        <v>542</v>
      </c>
      <c r="Y332" s="8"/>
      <c r="Z332" s="8"/>
      <c r="AA332" s="8"/>
      <c r="AB332" s="8"/>
      <c r="AC332" s="8"/>
      <c r="AD332" s="8"/>
      <c r="AE332" s="25"/>
      <c r="AF332" s="11"/>
      <c r="AG332" s="25"/>
      <c r="AH332" s="11"/>
      <c r="AI332" s="11">
        <v>29</v>
      </c>
      <c r="AJ332" s="19">
        <v>0</v>
      </c>
      <c r="AK332" s="12">
        <f>(AJ332+AI332)/30*7</f>
        <v>6.7666666666666666</v>
      </c>
      <c r="AL332" s="6">
        <f>IF(AK332-C332&lt;0,0,AK332-C332)</f>
        <v>0</v>
      </c>
      <c r="AM332" s="6">
        <f>IF(AL332-R332-S332&lt;0,0,AL332-R332-S332)</f>
        <v>0</v>
      </c>
      <c r="AN332" s="5" t="str">
        <f t="shared" si="11"/>
        <v/>
      </c>
      <c r="AO332" s="5">
        <v>0</v>
      </c>
      <c r="AP332" s="9"/>
      <c r="AQ332" s="5" t="s">
        <v>1210</v>
      </c>
      <c r="AR332" s="5" t="s">
        <v>1210</v>
      </c>
      <c r="AS332" s="8"/>
      <c r="AT332" s="8"/>
      <c r="AU332" s="8"/>
      <c r="AV332" s="8"/>
      <c r="AW332" s="8"/>
      <c r="AX332" s="8"/>
      <c r="AY332" s="8"/>
      <c r="AZ332" s="8"/>
    </row>
    <row r="333" spans="1:52">
      <c r="A333" s="5" t="s">
        <v>994</v>
      </c>
      <c r="B333" s="5">
        <v>1157</v>
      </c>
      <c r="C333" s="19">
        <v>31</v>
      </c>
      <c r="E333" s="14"/>
      <c r="F333" s="11"/>
      <c r="G333" s="11"/>
      <c r="H333" s="11"/>
      <c r="I333" s="11"/>
      <c r="J333" s="25"/>
      <c r="K333" s="11"/>
      <c r="L333" s="11"/>
      <c r="M333" s="19">
        <v>0</v>
      </c>
      <c r="O333" s="6"/>
      <c r="P333" s="16">
        <v>0</v>
      </c>
      <c r="Q333" s="16">
        <v>0</v>
      </c>
      <c r="R333" s="22"/>
      <c r="S333" s="22">
        <f t="shared" si="10"/>
        <v>0</v>
      </c>
      <c r="T333" s="5">
        <v>1829</v>
      </c>
      <c r="U333" s="5">
        <v>644</v>
      </c>
      <c r="Y333" s="8"/>
      <c r="Z333" s="8"/>
      <c r="AA333" s="8"/>
      <c r="AB333" s="8"/>
      <c r="AC333" s="8"/>
      <c r="AD333" s="8"/>
      <c r="AE333" s="25"/>
      <c r="AF333" s="11"/>
      <c r="AG333" s="25"/>
      <c r="AH333" s="11"/>
      <c r="AI333" s="11">
        <v>28</v>
      </c>
      <c r="AJ333" s="19">
        <v>0</v>
      </c>
      <c r="AK333" s="12">
        <f>(AJ333+AI333)/30*7</f>
        <v>6.5333333333333332</v>
      </c>
      <c r="AL333" s="6">
        <f>IF(AK333-C333&lt;0,0,AK333-C333)</f>
        <v>0</v>
      </c>
      <c r="AM333" s="6">
        <f>IF(AL333-R333-S333&lt;0,0,AL333-R333-S333)</f>
        <v>0</v>
      </c>
      <c r="AN333" s="5" t="str">
        <f t="shared" si="11"/>
        <v/>
      </c>
      <c r="AO333" s="5">
        <v>0</v>
      </c>
      <c r="AP333" s="9"/>
      <c r="AQ333" s="5" t="s">
        <v>1210</v>
      </c>
      <c r="AR333" s="5" t="s">
        <v>1210</v>
      </c>
      <c r="AS333" s="8"/>
      <c r="AT333" s="8"/>
      <c r="AU333" s="8"/>
      <c r="AV333" s="8"/>
      <c r="AW333" s="8"/>
      <c r="AX333" s="8"/>
      <c r="AY333" s="8"/>
      <c r="AZ333" s="8"/>
    </row>
    <row r="334" spans="1:52">
      <c r="A334" s="5" t="s">
        <v>622</v>
      </c>
      <c r="B334" s="5">
        <v>1440</v>
      </c>
      <c r="C334" s="19">
        <v>27</v>
      </c>
      <c r="E334" s="14"/>
      <c r="F334" s="11"/>
      <c r="G334" s="11"/>
      <c r="H334" s="11"/>
      <c r="I334" s="11"/>
      <c r="J334" s="25"/>
      <c r="K334" s="11"/>
      <c r="L334" s="11"/>
      <c r="M334" s="19">
        <v>0</v>
      </c>
      <c r="O334" s="6"/>
      <c r="P334" s="16">
        <v>0</v>
      </c>
      <c r="Q334" s="16">
        <v>0</v>
      </c>
      <c r="R334" s="22"/>
      <c r="S334" s="22">
        <f t="shared" si="10"/>
        <v>0</v>
      </c>
      <c r="T334" s="5" t="s">
        <v>1210</v>
      </c>
      <c r="U334" s="5" t="s">
        <v>1210</v>
      </c>
      <c r="Y334" s="8"/>
      <c r="Z334" s="8"/>
      <c r="AA334" s="8"/>
      <c r="AB334" s="8"/>
      <c r="AC334" s="8"/>
      <c r="AD334" s="8"/>
      <c r="AE334" s="25"/>
      <c r="AF334" s="11"/>
      <c r="AG334" s="25"/>
      <c r="AH334" s="11"/>
      <c r="AI334" s="11">
        <v>28</v>
      </c>
      <c r="AJ334" s="19">
        <v>0</v>
      </c>
      <c r="AK334" s="12">
        <f>(AJ334+AI334)/30*7</f>
        <v>6.5333333333333332</v>
      </c>
      <c r="AL334" s="6">
        <f>IF(AK334-C334&lt;0,0,AK334-C334)</f>
        <v>0</v>
      </c>
      <c r="AM334" s="6">
        <f>IF(AL334-R334-S334&lt;0,0,AL334-R334-S334)</f>
        <v>0</v>
      </c>
      <c r="AN334" s="5" t="str">
        <f t="shared" si="11"/>
        <v/>
      </c>
      <c r="AO334" s="5">
        <v>0</v>
      </c>
      <c r="AP334" s="9"/>
      <c r="AQ334" s="5" t="s">
        <v>1210</v>
      </c>
      <c r="AR334" s="5" t="s">
        <v>1210</v>
      </c>
      <c r="AS334" s="8"/>
      <c r="AT334" s="8"/>
      <c r="AU334" s="8"/>
      <c r="AV334" s="8"/>
      <c r="AW334" s="8"/>
      <c r="AX334" s="8"/>
      <c r="AY334" s="8"/>
      <c r="AZ334" s="8"/>
    </row>
    <row r="335" spans="1:52">
      <c r="A335" s="5" t="s">
        <v>857</v>
      </c>
      <c r="B335" s="5">
        <v>1686</v>
      </c>
      <c r="C335" s="19">
        <v>29</v>
      </c>
      <c r="E335" s="14"/>
      <c r="F335" s="11"/>
      <c r="G335" s="11"/>
      <c r="H335" s="11"/>
      <c r="I335" s="11"/>
      <c r="J335" s="25"/>
      <c r="K335" s="11"/>
      <c r="L335" s="11"/>
      <c r="M335" s="19">
        <v>0</v>
      </c>
      <c r="O335" s="6"/>
      <c r="P335" s="16">
        <v>906</v>
      </c>
      <c r="Q335" s="16">
        <v>0</v>
      </c>
      <c r="R335" s="22"/>
      <c r="S335" s="22">
        <f t="shared" si="10"/>
        <v>0</v>
      </c>
      <c r="T335" s="5">
        <v>1118</v>
      </c>
      <c r="U335" s="5">
        <v>763</v>
      </c>
      <c r="Y335" s="8"/>
      <c r="Z335" s="8"/>
      <c r="AA335" s="8"/>
      <c r="AB335" s="8"/>
      <c r="AC335" s="8"/>
      <c r="AD335" s="8"/>
      <c r="AE335" s="25"/>
      <c r="AF335" s="11"/>
      <c r="AG335" s="25"/>
      <c r="AH335" s="11"/>
      <c r="AI335" s="11">
        <v>28</v>
      </c>
      <c r="AJ335" s="19">
        <v>0</v>
      </c>
      <c r="AK335" s="12">
        <f>(AJ335+AI335)/30*7</f>
        <v>6.5333333333333332</v>
      </c>
      <c r="AL335" s="6">
        <f>IF(AK335-C335&lt;0,0,AK335-C335)</f>
        <v>0</v>
      </c>
      <c r="AM335" s="6">
        <f>IF(AL335-R335-S335&lt;0,0,AL335-R335-S335)</f>
        <v>0</v>
      </c>
      <c r="AN335" s="5" t="str">
        <f t="shared" si="11"/>
        <v/>
      </c>
      <c r="AO335" s="5">
        <v>0</v>
      </c>
      <c r="AP335" s="9"/>
      <c r="AQ335" s="5" t="s">
        <v>1210</v>
      </c>
      <c r="AR335" s="5" t="s">
        <v>1230</v>
      </c>
      <c r="AS335" s="8"/>
      <c r="AT335" s="8"/>
      <c r="AU335" s="8"/>
      <c r="AV335" s="8"/>
      <c r="AW335" s="8"/>
      <c r="AX335" s="8"/>
      <c r="AY335" s="8"/>
      <c r="AZ335" s="8"/>
    </row>
    <row r="336" spans="1:52">
      <c r="A336" s="5" t="s">
        <v>695</v>
      </c>
      <c r="B336" s="5" t="s">
        <v>1166</v>
      </c>
      <c r="C336" s="19">
        <v>33</v>
      </c>
      <c r="E336" s="14"/>
      <c r="F336" s="11"/>
      <c r="G336" s="11"/>
      <c r="H336" s="11"/>
      <c r="I336" s="11"/>
      <c r="J336" s="25"/>
      <c r="K336" s="11"/>
      <c r="L336" s="11"/>
      <c r="M336" s="19">
        <v>0</v>
      </c>
      <c r="O336" s="6"/>
      <c r="P336" s="16">
        <v>0</v>
      </c>
      <c r="Q336" s="16">
        <v>0</v>
      </c>
      <c r="R336" s="22"/>
      <c r="S336" s="22">
        <f t="shared" si="10"/>
        <v>0</v>
      </c>
      <c r="T336" s="5" t="s">
        <v>1210</v>
      </c>
      <c r="U336" s="5" t="s">
        <v>1210</v>
      </c>
      <c r="Y336" s="8"/>
      <c r="Z336" s="8"/>
      <c r="AA336" s="8"/>
      <c r="AB336" s="8"/>
      <c r="AC336" s="8"/>
      <c r="AD336" s="8"/>
      <c r="AE336" s="25"/>
      <c r="AF336" s="11"/>
      <c r="AG336" s="25"/>
      <c r="AH336" s="11"/>
      <c r="AI336" s="11">
        <v>28</v>
      </c>
      <c r="AJ336" s="19">
        <v>0</v>
      </c>
      <c r="AK336" s="12">
        <f>(AJ336+AI336)/30*7</f>
        <v>6.5333333333333332</v>
      </c>
      <c r="AL336" s="6">
        <f>IF(AK336-C336&lt;0,0,AK336-C336)</f>
        <v>0</v>
      </c>
      <c r="AM336" s="6">
        <f>IF(AL336-R336-S336&lt;0,0,AL336-R336-S336)</f>
        <v>0</v>
      </c>
      <c r="AN336" s="5" t="str">
        <f t="shared" si="11"/>
        <v/>
      </c>
      <c r="AO336" s="5">
        <v>0</v>
      </c>
      <c r="AP336" s="9"/>
      <c r="AQ336" s="5" t="s">
        <v>1210</v>
      </c>
      <c r="AR336" s="5" t="s">
        <v>1210</v>
      </c>
      <c r="AS336" s="8"/>
      <c r="AT336" s="8"/>
      <c r="AU336" s="8"/>
      <c r="AV336" s="8"/>
      <c r="AW336" s="8"/>
      <c r="AX336" s="8"/>
      <c r="AY336" s="8"/>
      <c r="AZ336" s="8"/>
    </row>
    <row r="337" spans="1:52">
      <c r="A337" s="5" t="s">
        <v>888</v>
      </c>
      <c r="B337" s="5" t="s">
        <v>1181</v>
      </c>
      <c r="C337" s="19">
        <v>27</v>
      </c>
      <c r="E337" s="14"/>
      <c r="F337" s="11"/>
      <c r="G337" s="11"/>
      <c r="H337" s="11"/>
      <c r="I337" s="11"/>
      <c r="J337" s="25"/>
      <c r="K337" s="11"/>
      <c r="L337" s="11"/>
      <c r="M337" s="19">
        <v>0</v>
      </c>
      <c r="O337" s="6"/>
      <c r="P337" s="16">
        <v>0</v>
      </c>
      <c r="Q337" s="16">
        <v>0</v>
      </c>
      <c r="R337" s="22"/>
      <c r="S337" s="22">
        <f t="shared" si="10"/>
        <v>0</v>
      </c>
      <c r="T337" s="5" t="s">
        <v>1210</v>
      </c>
      <c r="U337" s="5" t="s">
        <v>1210</v>
      </c>
      <c r="Y337" s="8"/>
      <c r="Z337" s="8"/>
      <c r="AA337" s="8"/>
      <c r="AB337" s="8"/>
      <c r="AC337" s="8"/>
      <c r="AD337" s="8"/>
      <c r="AE337" s="25"/>
      <c r="AF337" s="11"/>
      <c r="AG337" s="25"/>
      <c r="AH337" s="11"/>
      <c r="AI337" s="11">
        <v>28</v>
      </c>
      <c r="AJ337" s="19">
        <v>0</v>
      </c>
      <c r="AK337" s="12">
        <f>(AJ337+AI337)/30*7</f>
        <v>6.5333333333333332</v>
      </c>
      <c r="AL337" s="6">
        <f>IF(AK337-C337&lt;0,0,AK337-C337)</f>
        <v>0</v>
      </c>
      <c r="AM337" s="6">
        <f>IF(AL337-R337-S337&lt;0,0,AL337-R337-S337)</f>
        <v>0</v>
      </c>
      <c r="AN337" s="5" t="str">
        <f t="shared" si="11"/>
        <v/>
      </c>
      <c r="AO337" s="5">
        <v>0</v>
      </c>
      <c r="AP337" s="9"/>
      <c r="AQ337" s="5" t="s">
        <v>1210</v>
      </c>
      <c r="AR337" s="5" t="s">
        <v>1210</v>
      </c>
      <c r="AS337" s="8"/>
      <c r="AT337" s="8"/>
      <c r="AU337" s="8"/>
      <c r="AV337" s="8"/>
      <c r="AW337" s="8"/>
      <c r="AX337" s="8"/>
      <c r="AY337" s="8"/>
      <c r="AZ337" s="8"/>
    </row>
    <row r="338" spans="1:52">
      <c r="A338" s="5" t="s">
        <v>774</v>
      </c>
      <c r="B338" s="5">
        <v>801</v>
      </c>
      <c r="C338" s="19">
        <v>24</v>
      </c>
      <c r="E338" s="14"/>
      <c r="F338" s="11"/>
      <c r="G338" s="11"/>
      <c r="H338" s="11"/>
      <c r="I338" s="11"/>
      <c r="J338" s="25"/>
      <c r="K338" s="11"/>
      <c r="L338" s="11"/>
      <c r="M338" s="19">
        <v>0</v>
      </c>
      <c r="O338" s="6"/>
      <c r="P338" s="16">
        <v>491</v>
      </c>
      <c r="Q338" s="16">
        <v>0</v>
      </c>
      <c r="R338" s="22"/>
      <c r="S338" s="22">
        <f t="shared" si="10"/>
        <v>0</v>
      </c>
      <c r="T338" s="5" t="s">
        <v>1210</v>
      </c>
      <c r="U338" s="5" t="s">
        <v>1210</v>
      </c>
      <c r="Y338" s="8"/>
      <c r="Z338" s="8"/>
      <c r="AA338" s="8"/>
      <c r="AB338" s="8"/>
      <c r="AC338" s="8"/>
      <c r="AD338" s="8"/>
      <c r="AE338" s="25"/>
      <c r="AF338" s="11"/>
      <c r="AG338" s="25"/>
      <c r="AH338" s="11"/>
      <c r="AI338" s="11">
        <v>27</v>
      </c>
      <c r="AJ338" s="19">
        <v>0</v>
      </c>
      <c r="AK338" s="12">
        <f>(AJ338+AI338)/30*7</f>
        <v>6.3</v>
      </c>
      <c r="AL338" s="6">
        <f>IF(AK338-C338&lt;0,0,AK338-C338)</f>
        <v>0</v>
      </c>
      <c r="AM338" s="6">
        <f>IF(AL338-R338-S338&lt;0,0,AL338-R338-S338)</f>
        <v>0</v>
      </c>
      <c r="AN338" s="5" t="str">
        <f t="shared" si="11"/>
        <v/>
      </c>
      <c r="AO338" s="5">
        <v>0</v>
      </c>
      <c r="AP338" s="9"/>
      <c r="AQ338" s="5" t="s">
        <v>1210</v>
      </c>
      <c r="AR338" s="5" t="s">
        <v>1230</v>
      </c>
      <c r="AS338" s="8"/>
      <c r="AT338" s="8"/>
      <c r="AU338" s="8"/>
      <c r="AV338" s="8"/>
      <c r="AW338" s="8"/>
      <c r="AX338" s="8"/>
      <c r="AY338" s="8"/>
      <c r="AZ338" s="8"/>
    </row>
    <row r="339" spans="1:52">
      <c r="A339" s="5" t="s">
        <v>688</v>
      </c>
      <c r="B339" s="5">
        <v>1386</v>
      </c>
      <c r="C339" s="19">
        <v>16</v>
      </c>
      <c r="E339" s="14"/>
      <c r="F339" s="11"/>
      <c r="G339" s="11"/>
      <c r="H339" s="11"/>
      <c r="I339" s="11"/>
      <c r="J339" s="25"/>
      <c r="K339" s="11"/>
      <c r="L339" s="11"/>
      <c r="M339" s="19">
        <v>0</v>
      </c>
      <c r="O339" s="6"/>
      <c r="P339" s="16">
        <v>0</v>
      </c>
      <c r="Q339" s="16">
        <v>0</v>
      </c>
      <c r="R339" s="22"/>
      <c r="S339" s="22">
        <f t="shared" si="10"/>
        <v>0</v>
      </c>
      <c r="T339" s="5">
        <v>1018</v>
      </c>
      <c r="U339" s="5">
        <v>376</v>
      </c>
      <c r="Y339" s="8"/>
      <c r="Z339" s="8"/>
      <c r="AA339" s="8"/>
      <c r="AB339" s="8"/>
      <c r="AC339" s="8"/>
      <c r="AD339" s="8"/>
      <c r="AE339" s="25"/>
      <c r="AF339" s="11"/>
      <c r="AG339" s="25"/>
      <c r="AH339" s="11"/>
      <c r="AI339" s="11">
        <v>27</v>
      </c>
      <c r="AJ339" s="19">
        <v>0</v>
      </c>
      <c r="AK339" s="12">
        <f>(AJ339+AI339)/30*7</f>
        <v>6.3</v>
      </c>
      <c r="AL339" s="6">
        <f>IF(AK339-C339&lt;0,0,AK339-C339)</f>
        <v>0</v>
      </c>
      <c r="AM339" s="6">
        <f>IF(AL339-R339-S339&lt;0,0,AL339-R339-S339)</f>
        <v>0</v>
      </c>
      <c r="AN339" s="5" t="str">
        <f t="shared" si="11"/>
        <v/>
      </c>
      <c r="AO339" s="5">
        <v>0</v>
      </c>
      <c r="AP339" s="9"/>
      <c r="AQ339" s="5" t="s">
        <v>1210</v>
      </c>
      <c r="AR339" s="5" t="s">
        <v>1210</v>
      </c>
      <c r="AS339" s="8"/>
      <c r="AT339" s="8"/>
      <c r="AU339" s="8"/>
      <c r="AV339" s="8"/>
      <c r="AW339" s="8"/>
      <c r="AX339" s="8"/>
      <c r="AY339" s="8"/>
      <c r="AZ339" s="8"/>
    </row>
    <row r="340" spans="1:52">
      <c r="A340" s="5" t="s">
        <v>632</v>
      </c>
      <c r="B340" s="5">
        <v>1586</v>
      </c>
      <c r="C340" s="19">
        <v>37</v>
      </c>
      <c r="E340" s="14"/>
      <c r="F340" s="11"/>
      <c r="G340" s="11"/>
      <c r="H340" s="11"/>
      <c r="I340" s="11"/>
      <c r="J340" s="25"/>
      <c r="K340" s="11"/>
      <c r="L340" s="11"/>
      <c r="M340" s="19">
        <v>0</v>
      </c>
      <c r="O340" s="6"/>
      <c r="P340" s="16">
        <v>0</v>
      </c>
      <c r="Q340" s="16">
        <v>0</v>
      </c>
      <c r="R340" s="22"/>
      <c r="S340" s="22">
        <f t="shared" si="10"/>
        <v>0</v>
      </c>
      <c r="T340" s="5">
        <v>1118</v>
      </c>
      <c r="U340" s="5">
        <v>763</v>
      </c>
      <c r="Y340" s="8"/>
      <c r="Z340" s="8"/>
      <c r="AA340" s="8"/>
      <c r="AB340" s="8"/>
      <c r="AC340" s="8"/>
      <c r="AD340" s="8"/>
      <c r="AE340" s="25"/>
      <c r="AF340" s="11"/>
      <c r="AG340" s="25"/>
      <c r="AH340" s="11"/>
      <c r="AI340" s="11">
        <v>27</v>
      </c>
      <c r="AJ340" s="19">
        <v>0</v>
      </c>
      <c r="AK340" s="12">
        <f>(AJ340+AI340)/30*7</f>
        <v>6.3</v>
      </c>
      <c r="AL340" s="6">
        <f>IF(AK340-C340&lt;0,0,AK340-C340)</f>
        <v>0</v>
      </c>
      <c r="AM340" s="6">
        <f>IF(AL340-R340-S340&lt;0,0,AL340-R340-S340)</f>
        <v>0</v>
      </c>
      <c r="AN340" s="5" t="str">
        <f t="shared" si="11"/>
        <v/>
      </c>
      <c r="AO340" s="5">
        <v>0</v>
      </c>
      <c r="AP340" s="9"/>
      <c r="AQ340" s="5" t="s">
        <v>1210</v>
      </c>
      <c r="AR340" s="5" t="s">
        <v>1210</v>
      </c>
      <c r="AS340" s="8"/>
      <c r="AT340" s="8"/>
      <c r="AU340" s="8"/>
      <c r="AV340" s="8"/>
      <c r="AW340" s="8"/>
      <c r="AX340" s="8"/>
      <c r="AY340" s="8"/>
      <c r="AZ340" s="8"/>
    </row>
    <row r="341" spans="1:52">
      <c r="A341" s="5" t="s">
        <v>874</v>
      </c>
      <c r="B341" s="5">
        <v>1698</v>
      </c>
      <c r="C341" s="19">
        <v>28</v>
      </c>
      <c r="E341" s="14"/>
      <c r="F341" s="11"/>
      <c r="G341" s="11"/>
      <c r="H341" s="11"/>
      <c r="I341" s="11"/>
      <c r="J341" s="25"/>
      <c r="K341" s="11"/>
      <c r="L341" s="11"/>
      <c r="M341" s="19">
        <v>0</v>
      </c>
      <c r="O341" s="6"/>
      <c r="P341" s="16">
        <v>0</v>
      </c>
      <c r="Q341" s="16">
        <v>0</v>
      </c>
      <c r="R341" s="22"/>
      <c r="S341" s="22">
        <f t="shared" si="10"/>
        <v>0</v>
      </c>
      <c r="T341" s="5">
        <v>1954</v>
      </c>
      <c r="U341" s="5">
        <v>292</v>
      </c>
      <c r="Y341" s="8"/>
      <c r="Z341" s="8"/>
      <c r="AA341" s="8"/>
      <c r="AB341" s="8"/>
      <c r="AC341" s="8"/>
      <c r="AD341" s="8"/>
      <c r="AE341" s="25"/>
      <c r="AF341" s="11"/>
      <c r="AG341" s="25"/>
      <c r="AH341" s="11"/>
      <c r="AI341" s="11">
        <v>27</v>
      </c>
      <c r="AJ341" s="19">
        <v>0</v>
      </c>
      <c r="AK341" s="12">
        <f>(AJ341+AI341)/30*7</f>
        <v>6.3</v>
      </c>
      <c r="AL341" s="6">
        <f>IF(AK341-C341&lt;0,0,AK341-C341)</f>
        <v>0</v>
      </c>
      <c r="AM341" s="6">
        <f>IF(AL341-R341-S341&lt;0,0,AL341-R341-S341)</f>
        <v>0</v>
      </c>
      <c r="AN341" s="5" t="str">
        <f t="shared" si="11"/>
        <v/>
      </c>
      <c r="AO341" s="5">
        <v>0</v>
      </c>
      <c r="AP341" s="9"/>
      <c r="AQ341" s="5" t="s">
        <v>1210</v>
      </c>
      <c r="AR341" s="5" t="s">
        <v>1230</v>
      </c>
      <c r="AS341" s="8"/>
      <c r="AT341" s="8"/>
      <c r="AU341" s="8"/>
      <c r="AV341" s="8"/>
      <c r="AW341" s="8"/>
      <c r="AX341" s="8"/>
      <c r="AY341" s="8"/>
      <c r="AZ341" s="8"/>
    </row>
    <row r="342" spans="1:52">
      <c r="A342" s="5" t="s">
        <v>921</v>
      </c>
      <c r="B342" s="5">
        <v>717</v>
      </c>
      <c r="C342" s="19">
        <v>34</v>
      </c>
      <c r="E342" s="14"/>
      <c r="F342" s="11"/>
      <c r="G342" s="11"/>
      <c r="H342" s="11"/>
      <c r="I342" s="11"/>
      <c r="J342" s="25"/>
      <c r="K342" s="11"/>
      <c r="L342" s="11"/>
      <c r="M342" s="19">
        <v>0</v>
      </c>
      <c r="O342" s="6"/>
      <c r="P342" s="16">
        <v>0</v>
      </c>
      <c r="Q342" s="16">
        <v>0</v>
      </c>
      <c r="R342" s="22"/>
      <c r="S342" s="22">
        <f t="shared" si="10"/>
        <v>0</v>
      </c>
      <c r="T342" s="5" t="s">
        <v>1210</v>
      </c>
      <c r="U342" s="5" t="s">
        <v>1210</v>
      </c>
      <c r="Y342" s="8"/>
      <c r="Z342" s="8"/>
      <c r="AA342" s="8"/>
      <c r="AB342" s="8"/>
      <c r="AC342" s="8"/>
      <c r="AD342" s="8"/>
      <c r="AE342" s="25"/>
      <c r="AF342" s="11"/>
      <c r="AG342" s="25"/>
      <c r="AH342" s="11"/>
      <c r="AI342" s="11">
        <v>26</v>
      </c>
      <c r="AJ342" s="19">
        <v>0</v>
      </c>
      <c r="AK342" s="12">
        <f>(AJ342+AI342)/30*7</f>
        <v>6.0666666666666664</v>
      </c>
      <c r="AL342" s="6">
        <f>IF(AK342-C342&lt;0,0,AK342-C342)</f>
        <v>0</v>
      </c>
      <c r="AM342" s="6">
        <f>IF(AL342-R342-S342&lt;0,0,AL342-R342-S342)</f>
        <v>0</v>
      </c>
      <c r="AN342" s="5" t="str">
        <f t="shared" si="11"/>
        <v/>
      </c>
      <c r="AO342" s="5">
        <v>0</v>
      </c>
      <c r="AP342" s="9"/>
      <c r="AQ342" s="5" t="s">
        <v>1210</v>
      </c>
      <c r="AR342" s="5" t="s">
        <v>1210</v>
      </c>
      <c r="AS342" s="8"/>
      <c r="AT342" s="8"/>
      <c r="AU342" s="8"/>
      <c r="AV342" s="8"/>
      <c r="AW342" s="8"/>
      <c r="AX342" s="8"/>
      <c r="AY342" s="8"/>
      <c r="AZ342" s="8"/>
    </row>
    <row r="343" spans="1:52">
      <c r="A343" s="5" t="s">
        <v>728</v>
      </c>
      <c r="B343" s="5">
        <v>336</v>
      </c>
      <c r="C343" s="19">
        <v>38</v>
      </c>
      <c r="E343" s="14"/>
      <c r="F343" s="11"/>
      <c r="G343" s="11"/>
      <c r="H343" s="11"/>
      <c r="I343" s="11"/>
      <c r="J343" s="25"/>
      <c r="K343" s="11"/>
      <c r="L343" s="11"/>
      <c r="M343" s="19">
        <v>0</v>
      </c>
      <c r="O343" s="6"/>
      <c r="P343" s="16">
        <v>0</v>
      </c>
      <c r="Q343" s="16">
        <v>0</v>
      </c>
      <c r="R343" s="22"/>
      <c r="S343" s="22">
        <f t="shared" si="10"/>
        <v>0</v>
      </c>
      <c r="T343" s="5" t="s">
        <v>1210</v>
      </c>
      <c r="U343" s="5" t="s">
        <v>1210</v>
      </c>
      <c r="Y343" s="8"/>
      <c r="Z343" s="8"/>
      <c r="AA343" s="8"/>
      <c r="AB343" s="8"/>
      <c r="AC343" s="8"/>
      <c r="AD343" s="8"/>
      <c r="AE343" s="25"/>
      <c r="AF343" s="11"/>
      <c r="AG343" s="25"/>
      <c r="AH343" s="11"/>
      <c r="AI343" s="11">
        <v>26</v>
      </c>
      <c r="AJ343" s="19">
        <v>0</v>
      </c>
      <c r="AK343" s="12">
        <f>(AJ343+AI343)/30*7</f>
        <v>6.0666666666666664</v>
      </c>
      <c r="AL343" s="6">
        <f>IF(AK343-C343&lt;0,0,AK343-C343)</f>
        <v>0</v>
      </c>
      <c r="AM343" s="6">
        <f>IF(AL343-R343-S343&lt;0,0,AL343-R343-S343)</f>
        <v>0</v>
      </c>
      <c r="AN343" s="5" t="str">
        <f t="shared" si="11"/>
        <v/>
      </c>
      <c r="AO343" s="5">
        <v>0</v>
      </c>
      <c r="AP343" s="9"/>
      <c r="AQ343" s="5" t="s">
        <v>1210</v>
      </c>
      <c r="AR343" s="5" t="s">
        <v>1210</v>
      </c>
      <c r="AS343" s="8"/>
      <c r="AT343" s="8"/>
      <c r="AU343" s="8"/>
      <c r="AV343" s="8"/>
      <c r="AW343" s="8"/>
      <c r="AX343" s="8"/>
      <c r="AY343" s="8"/>
      <c r="AZ343" s="8"/>
    </row>
    <row r="344" spans="1:52">
      <c r="A344" s="5" t="s">
        <v>785</v>
      </c>
      <c r="B344" s="5">
        <v>944</v>
      </c>
      <c r="C344" s="19">
        <v>38</v>
      </c>
      <c r="E344" s="14"/>
      <c r="F344" s="11"/>
      <c r="G344" s="11"/>
      <c r="H344" s="11"/>
      <c r="I344" s="11"/>
      <c r="J344" s="25"/>
      <c r="K344" s="11"/>
      <c r="L344" s="11"/>
      <c r="M344" s="19">
        <v>0</v>
      </c>
      <c r="O344" s="6"/>
      <c r="P344" s="16">
        <v>0</v>
      </c>
      <c r="Q344" s="16">
        <v>0</v>
      </c>
      <c r="R344" s="22"/>
      <c r="S344" s="22">
        <f t="shared" si="10"/>
        <v>0</v>
      </c>
      <c r="T344" s="5">
        <v>806</v>
      </c>
      <c r="U344" s="5">
        <v>641</v>
      </c>
      <c r="Y344" s="8"/>
      <c r="Z344" s="8"/>
      <c r="AA344" s="8"/>
      <c r="AB344" s="8"/>
      <c r="AC344" s="8"/>
      <c r="AD344" s="8"/>
      <c r="AE344" s="25"/>
      <c r="AF344" s="11"/>
      <c r="AG344" s="25"/>
      <c r="AH344" s="11"/>
      <c r="AI344" s="11">
        <v>26</v>
      </c>
      <c r="AJ344" s="19">
        <v>0</v>
      </c>
      <c r="AK344" s="12">
        <f>(AJ344+AI344)/30*7</f>
        <v>6.0666666666666664</v>
      </c>
      <c r="AL344" s="6">
        <f>IF(AK344-C344&lt;0,0,AK344-C344)</f>
        <v>0</v>
      </c>
      <c r="AM344" s="6">
        <f>IF(AL344-R344-S344&lt;0,0,AL344-R344-S344)</f>
        <v>0</v>
      </c>
      <c r="AN344" s="5" t="str">
        <f t="shared" si="11"/>
        <v/>
      </c>
      <c r="AO344" s="5">
        <v>0</v>
      </c>
      <c r="AP344" s="9"/>
      <c r="AQ344" s="5" t="s">
        <v>1210</v>
      </c>
      <c r="AR344" s="5" t="s">
        <v>1210</v>
      </c>
      <c r="AS344" s="8"/>
      <c r="AT344" s="8"/>
      <c r="AU344" s="8"/>
      <c r="AV344" s="8"/>
      <c r="AW344" s="8"/>
      <c r="AX344" s="8"/>
      <c r="AY344" s="8"/>
      <c r="AZ344" s="8"/>
    </row>
    <row r="345" spans="1:52">
      <c r="A345" s="5" t="s">
        <v>690</v>
      </c>
      <c r="B345" s="5">
        <v>1569</v>
      </c>
      <c r="C345" s="19">
        <v>16</v>
      </c>
      <c r="E345" s="14"/>
      <c r="F345" s="11"/>
      <c r="G345" s="11"/>
      <c r="H345" s="11"/>
      <c r="I345" s="11"/>
      <c r="J345" s="25"/>
      <c r="K345" s="11"/>
      <c r="L345" s="11"/>
      <c r="M345" s="19">
        <v>0</v>
      </c>
      <c r="O345" s="6"/>
      <c r="P345" s="16">
        <v>0</v>
      </c>
      <c r="Q345" s="16">
        <v>0</v>
      </c>
      <c r="R345" s="22"/>
      <c r="S345" s="22">
        <f t="shared" si="10"/>
        <v>0</v>
      </c>
      <c r="T345" s="5">
        <v>1744</v>
      </c>
      <c r="U345" s="5">
        <v>565</v>
      </c>
      <c r="Y345" s="8"/>
      <c r="Z345" s="8"/>
      <c r="AA345" s="8"/>
      <c r="AB345" s="8"/>
      <c r="AC345" s="8"/>
      <c r="AD345" s="8"/>
      <c r="AE345" s="25"/>
      <c r="AF345" s="11"/>
      <c r="AG345" s="25"/>
      <c r="AH345" s="11"/>
      <c r="AI345" s="11">
        <v>26</v>
      </c>
      <c r="AJ345" s="19">
        <v>0</v>
      </c>
      <c r="AK345" s="12">
        <f>(AJ345+AI345)/30*7</f>
        <v>6.0666666666666664</v>
      </c>
      <c r="AL345" s="6">
        <f>IF(AK345-C345&lt;0,0,AK345-C345)</f>
        <v>0</v>
      </c>
      <c r="AM345" s="6">
        <f>IF(AL345-R345-S345&lt;0,0,AL345-R345-S345)</f>
        <v>0</v>
      </c>
      <c r="AN345" s="5" t="str">
        <f t="shared" si="11"/>
        <v/>
      </c>
      <c r="AO345" s="5">
        <v>0</v>
      </c>
      <c r="AP345" s="9"/>
      <c r="AQ345" s="5" t="s">
        <v>1210</v>
      </c>
      <c r="AR345" s="5" t="s">
        <v>1210</v>
      </c>
      <c r="AS345" s="8"/>
      <c r="AT345" s="8"/>
      <c r="AU345" s="8"/>
      <c r="AV345" s="8"/>
      <c r="AW345" s="8"/>
      <c r="AX345" s="8"/>
      <c r="AY345" s="8"/>
      <c r="AZ345" s="8"/>
    </row>
    <row r="346" spans="1:52">
      <c r="A346" s="5" t="s">
        <v>661</v>
      </c>
      <c r="B346" s="5" t="s">
        <v>1162</v>
      </c>
      <c r="C346" s="19">
        <v>16</v>
      </c>
      <c r="E346" s="14"/>
      <c r="F346" s="11"/>
      <c r="G346" s="11"/>
      <c r="H346" s="11"/>
      <c r="I346" s="11"/>
      <c r="J346" s="25"/>
      <c r="K346" s="11"/>
      <c r="L346" s="11"/>
      <c r="M346" s="19">
        <v>0</v>
      </c>
      <c r="O346" s="6"/>
      <c r="P346" s="16">
        <v>0</v>
      </c>
      <c r="Q346" s="16">
        <v>0</v>
      </c>
      <c r="R346" s="22"/>
      <c r="S346" s="22">
        <f t="shared" si="10"/>
        <v>0</v>
      </c>
      <c r="T346" s="5" t="s">
        <v>1210</v>
      </c>
      <c r="U346" s="5" t="s">
        <v>1210</v>
      </c>
      <c r="Y346" s="8"/>
      <c r="Z346" s="8"/>
      <c r="AA346" s="8"/>
      <c r="AB346" s="8"/>
      <c r="AC346" s="8"/>
      <c r="AD346" s="8"/>
      <c r="AE346" s="25"/>
      <c r="AF346" s="11"/>
      <c r="AG346" s="25"/>
      <c r="AH346" s="11"/>
      <c r="AI346" s="11">
        <v>26</v>
      </c>
      <c r="AJ346" s="19">
        <v>0</v>
      </c>
      <c r="AK346" s="12">
        <f>(AJ346+AI346)/30*7</f>
        <v>6.0666666666666664</v>
      </c>
      <c r="AL346" s="6">
        <f>IF(AK346-C346&lt;0,0,AK346-C346)</f>
        <v>0</v>
      </c>
      <c r="AM346" s="6">
        <f>IF(AL346-R346-S346&lt;0,0,AL346-R346-S346)</f>
        <v>0</v>
      </c>
      <c r="AN346" s="5" t="str">
        <f t="shared" si="11"/>
        <v/>
      </c>
      <c r="AO346" s="5">
        <v>0</v>
      </c>
      <c r="AP346" s="9"/>
      <c r="AQ346" s="5" t="s">
        <v>1210</v>
      </c>
      <c r="AR346" s="5" t="s">
        <v>1210</v>
      </c>
      <c r="AS346" s="8"/>
      <c r="AT346" s="8"/>
      <c r="AU346" s="8"/>
      <c r="AV346" s="8"/>
      <c r="AW346" s="8"/>
      <c r="AX346" s="8"/>
      <c r="AY346" s="8"/>
      <c r="AZ346" s="8"/>
    </row>
    <row r="347" spans="1:52">
      <c r="A347" s="5" t="s">
        <v>948</v>
      </c>
      <c r="B347" s="5" t="s">
        <v>1189</v>
      </c>
      <c r="C347" s="19">
        <v>34</v>
      </c>
      <c r="E347" s="14"/>
      <c r="F347" s="11"/>
      <c r="G347" s="11"/>
      <c r="H347" s="11"/>
      <c r="I347" s="11"/>
      <c r="J347" s="25"/>
      <c r="K347" s="11"/>
      <c r="L347" s="11"/>
      <c r="M347" s="19">
        <v>0</v>
      </c>
      <c r="O347" s="6"/>
      <c r="P347" s="16">
        <v>0</v>
      </c>
      <c r="Q347" s="16">
        <v>0</v>
      </c>
      <c r="R347" s="22"/>
      <c r="S347" s="22">
        <f t="shared" si="10"/>
        <v>0</v>
      </c>
      <c r="T347" s="5" t="s">
        <v>1210</v>
      </c>
      <c r="U347" s="5" t="s">
        <v>1210</v>
      </c>
      <c r="Y347" s="8"/>
      <c r="Z347" s="8"/>
      <c r="AA347" s="8"/>
      <c r="AB347" s="8"/>
      <c r="AC347" s="8"/>
      <c r="AD347" s="8"/>
      <c r="AE347" s="25"/>
      <c r="AF347" s="11"/>
      <c r="AG347" s="25"/>
      <c r="AH347" s="11"/>
      <c r="AI347" s="11">
        <v>25</v>
      </c>
      <c r="AJ347" s="19">
        <v>0</v>
      </c>
      <c r="AK347" s="12">
        <f>(AJ347+AI347)/30*7</f>
        <v>5.8333333333333339</v>
      </c>
      <c r="AL347" s="6">
        <f>IF(AK347-C347&lt;0,0,AK347-C347)</f>
        <v>0</v>
      </c>
      <c r="AM347" s="6">
        <f>IF(AL347-R347-S347&lt;0,0,AL347-R347-S347)</f>
        <v>0</v>
      </c>
      <c r="AN347" s="5" t="str">
        <f t="shared" si="11"/>
        <v/>
      </c>
      <c r="AO347" s="5">
        <v>0</v>
      </c>
      <c r="AP347" s="9"/>
      <c r="AQ347" s="5" t="s">
        <v>1210</v>
      </c>
      <c r="AR347" s="5" t="s">
        <v>1210</v>
      </c>
      <c r="AS347" s="8"/>
      <c r="AT347" s="8"/>
      <c r="AU347" s="8"/>
      <c r="AV347" s="8"/>
      <c r="AW347" s="8"/>
      <c r="AX347" s="8"/>
      <c r="AY347" s="8"/>
      <c r="AZ347" s="8"/>
    </row>
    <row r="348" spans="1:52">
      <c r="A348" s="5" t="s">
        <v>967</v>
      </c>
      <c r="B348" s="5" t="s">
        <v>1194</v>
      </c>
      <c r="C348" s="19">
        <v>39</v>
      </c>
      <c r="E348" s="14"/>
      <c r="F348" s="11"/>
      <c r="G348" s="11"/>
      <c r="H348" s="11"/>
      <c r="I348" s="11"/>
      <c r="J348" s="25"/>
      <c r="K348" s="11"/>
      <c r="L348" s="11"/>
      <c r="M348" s="19">
        <v>0</v>
      </c>
      <c r="O348" s="6"/>
      <c r="P348" s="16">
        <v>0</v>
      </c>
      <c r="Q348" s="16">
        <v>0</v>
      </c>
      <c r="R348" s="22"/>
      <c r="S348" s="22">
        <f t="shared" si="10"/>
        <v>0</v>
      </c>
      <c r="T348" s="5" t="s">
        <v>1210</v>
      </c>
      <c r="U348" s="5" t="s">
        <v>1210</v>
      </c>
      <c r="Y348" s="8"/>
      <c r="Z348" s="8"/>
      <c r="AA348" s="8"/>
      <c r="AB348" s="8"/>
      <c r="AC348" s="8"/>
      <c r="AD348" s="8"/>
      <c r="AE348" s="25"/>
      <c r="AF348" s="11"/>
      <c r="AG348" s="25"/>
      <c r="AH348" s="11"/>
      <c r="AI348" s="11">
        <v>25</v>
      </c>
      <c r="AJ348" s="19">
        <v>0</v>
      </c>
      <c r="AK348" s="12">
        <f>(AJ348+AI348)/30*7</f>
        <v>5.8333333333333339</v>
      </c>
      <c r="AL348" s="6">
        <f>IF(AK348-C348&lt;0,0,AK348-C348)</f>
        <v>0</v>
      </c>
      <c r="AM348" s="6">
        <f>IF(AL348-R348-S348&lt;0,0,AL348-R348-S348)</f>
        <v>0</v>
      </c>
      <c r="AN348" s="5" t="str">
        <f t="shared" si="11"/>
        <v/>
      </c>
      <c r="AO348" s="5">
        <v>0</v>
      </c>
      <c r="AP348" s="9"/>
      <c r="AQ348" s="5" t="s">
        <v>1210</v>
      </c>
      <c r="AR348" s="5" t="s">
        <v>1210</v>
      </c>
      <c r="AS348" s="8"/>
      <c r="AT348" s="8"/>
      <c r="AU348" s="8"/>
      <c r="AV348" s="8"/>
      <c r="AW348" s="8"/>
      <c r="AX348" s="8"/>
      <c r="AY348" s="8"/>
      <c r="AZ348" s="8"/>
    </row>
    <row r="349" spans="1:52">
      <c r="A349" s="5" t="s">
        <v>1036</v>
      </c>
      <c r="B349" s="5">
        <v>310</v>
      </c>
      <c r="C349" s="19">
        <v>19</v>
      </c>
      <c r="E349" s="14"/>
      <c r="F349" s="11"/>
      <c r="G349" s="11"/>
      <c r="H349" s="11"/>
      <c r="I349" s="11"/>
      <c r="J349" s="25"/>
      <c r="K349" s="11"/>
      <c r="L349" s="11"/>
      <c r="M349" s="19">
        <v>0</v>
      </c>
      <c r="O349" s="6"/>
      <c r="P349" s="16">
        <v>0</v>
      </c>
      <c r="Q349" s="16">
        <v>0</v>
      </c>
      <c r="R349" s="22"/>
      <c r="S349" s="22">
        <f t="shared" si="10"/>
        <v>0</v>
      </c>
      <c r="T349" s="5" t="s">
        <v>1210</v>
      </c>
      <c r="U349" s="5" t="s">
        <v>1210</v>
      </c>
      <c r="Y349" s="8"/>
      <c r="Z349" s="8"/>
      <c r="AA349" s="8"/>
      <c r="AB349" s="8"/>
      <c r="AC349" s="8"/>
      <c r="AD349" s="8"/>
      <c r="AE349" s="25"/>
      <c r="AF349" s="11"/>
      <c r="AG349" s="25"/>
      <c r="AH349" s="11"/>
      <c r="AI349" s="11">
        <v>24</v>
      </c>
      <c r="AJ349" s="19">
        <v>0</v>
      </c>
      <c r="AK349" s="12">
        <f>(AJ349+AI349)/30*7</f>
        <v>5.6000000000000005</v>
      </c>
      <c r="AL349" s="6">
        <f>IF(AK349-C349&lt;0,0,AK349-C349)</f>
        <v>0</v>
      </c>
      <c r="AM349" s="6">
        <f>IF(AL349-R349-S349&lt;0,0,AL349-R349-S349)</f>
        <v>0</v>
      </c>
      <c r="AN349" s="5" t="str">
        <f t="shared" si="11"/>
        <v/>
      </c>
      <c r="AO349" s="5">
        <v>0</v>
      </c>
      <c r="AP349" s="9"/>
      <c r="AQ349" s="5" t="s">
        <v>1210</v>
      </c>
      <c r="AR349" s="5" t="s">
        <v>1210</v>
      </c>
      <c r="AS349" s="8"/>
      <c r="AT349" s="8"/>
      <c r="AU349" s="8"/>
      <c r="AV349" s="8"/>
      <c r="AW349" s="8"/>
      <c r="AX349" s="8"/>
      <c r="AY349" s="8"/>
      <c r="AZ349" s="8"/>
    </row>
    <row r="350" spans="1:52">
      <c r="A350" s="5" t="s">
        <v>250</v>
      </c>
      <c r="B350" s="5">
        <v>727</v>
      </c>
      <c r="C350" s="19">
        <v>16</v>
      </c>
      <c r="E350" s="14"/>
      <c r="F350" s="11"/>
      <c r="G350" s="11"/>
      <c r="H350" s="11"/>
      <c r="I350" s="11"/>
      <c r="J350" s="25"/>
      <c r="K350" s="11"/>
      <c r="L350" s="11"/>
      <c r="M350" s="19">
        <v>0</v>
      </c>
      <c r="O350" s="6"/>
      <c r="P350" s="16">
        <v>951</v>
      </c>
      <c r="Q350" s="16">
        <v>0</v>
      </c>
      <c r="R350" s="22"/>
      <c r="S350" s="22">
        <f t="shared" si="10"/>
        <v>0</v>
      </c>
      <c r="T350" s="5">
        <v>752</v>
      </c>
      <c r="U350" s="5">
        <v>853</v>
      </c>
      <c r="Y350" s="8"/>
      <c r="Z350" s="8"/>
      <c r="AA350" s="8"/>
      <c r="AB350" s="8"/>
      <c r="AC350" s="8"/>
      <c r="AD350" s="8"/>
      <c r="AE350" s="25"/>
      <c r="AF350" s="11"/>
      <c r="AG350" s="25"/>
      <c r="AH350" s="11"/>
      <c r="AI350" s="11">
        <v>24</v>
      </c>
      <c r="AJ350" s="19">
        <v>0</v>
      </c>
      <c r="AK350" s="12">
        <f>(AJ350+AI350)/30*7</f>
        <v>5.6000000000000005</v>
      </c>
      <c r="AL350" s="6">
        <f>IF(AK350-C350&lt;0,0,AK350-C350)</f>
        <v>0</v>
      </c>
      <c r="AM350" s="6">
        <f>IF(AL350-R350-S350&lt;0,0,AL350-R350-S350)</f>
        <v>0</v>
      </c>
      <c r="AN350" s="5" t="str">
        <f t="shared" si="11"/>
        <v/>
      </c>
      <c r="AO350" s="5">
        <v>0</v>
      </c>
      <c r="AP350" s="9"/>
      <c r="AQ350" s="5" t="s">
        <v>1210</v>
      </c>
      <c r="AR350" s="5" t="s">
        <v>1230</v>
      </c>
      <c r="AS350" s="8"/>
      <c r="AT350" s="8"/>
      <c r="AU350" s="8"/>
      <c r="AV350" s="8"/>
      <c r="AW350" s="8"/>
      <c r="AX350" s="8"/>
      <c r="AY350" s="8"/>
      <c r="AZ350" s="8"/>
    </row>
    <row r="351" spans="1:52">
      <c r="A351" s="5" t="s">
        <v>678</v>
      </c>
      <c r="B351" s="5">
        <v>694</v>
      </c>
      <c r="C351" s="19">
        <v>19</v>
      </c>
      <c r="E351" s="14"/>
      <c r="F351" s="11"/>
      <c r="G351" s="11"/>
      <c r="H351" s="11"/>
      <c r="I351" s="11"/>
      <c r="J351" s="25"/>
      <c r="K351" s="11"/>
      <c r="L351" s="11"/>
      <c r="M351" s="19">
        <v>0</v>
      </c>
      <c r="O351" s="6"/>
      <c r="P351" s="16">
        <v>0</v>
      </c>
      <c r="Q351" s="16">
        <v>0</v>
      </c>
      <c r="R351" s="22"/>
      <c r="S351" s="22">
        <f t="shared" si="10"/>
        <v>0</v>
      </c>
      <c r="T351" s="5" t="s">
        <v>1210</v>
      </c>
      <c r="U351" s="5" t="s">
        <v>1210</v>
      </c>
      <c r="Y351" s="8"/>
      <c r="Z351" s="8"/>
      <c r="AA351" s="8"/>
      <c r="AB351" s="8"/>
      <c r="AC351" s="8"/>
      <c r="AD351" s="8"/>
      <c r="AE351" s="25"/>
      <c r="AF351" s="11"/>
      <c r="AG351" s="25"/>
      <c r="AH351" s="11"/>
      <c r="AI351" s="11">
        <v>23</v>
      </c>
      <c r="AJ351" s="19">
        <v>0</v>
      </c>
      <c r="AK351" s="12">
        <f>(AJ351+AI351)/30*7</f>
        <v>5.3666666666666671</v>
      </c>
      <c r="AL351" s="6">
        <f>IF(AK351-C351&lt;0,0,AK351-C351)</f>
        <v>0</v>
      </c>
      <c r="AM351" s="6">
        <f>IF(AL351-R351-S351&lt;0,0,AL351-R351-S351)</f>
        <v>0</v>
      </c>
      <c r="AN351" s="5" t="str">
        <f t="shared" si="11"/>
        <v/>
      </c>
      <c r="AO351" s="5">
        <v>0</v>
      </c>
      <c r="AP351" s="9"/>
      <c r="AQ351" s="5" t="s">
        <v>1210</v>
      </c>
      <c r="AR351" s="5" t="s">
        <v>1230</v>
      </c>
      <c r="AS351" s="8"/>
      <c r="AT351" s="8"/>
      <c r="AU351" s="8"/>
      <c r="AV351" s="8"/>
      <c r="AW351" s="8"/>
      <c r="AX351" s="8"/>
      <c r="AY351" s="8"/>
      <c r="AZ351" s="8"/>
    </row>
    <row r="352" spans="1:52">
      <c r="A352" s="5" t="s">
        <v>825</v>
      </c>
      <c r="B352" s="5">
        <v>1280</v>
      </c>
      <c r="C352" s="19">
        <v>16</v>
      </c>
      <c r="E352" s="14"/>
      <c r="F352" s="11"/>
      <c r="G352" s="11"/>
      <c r="H352" s="11"/>
      <c r="I352" s="11"/>
      <c r="J352" s="25"/>
      <c r="K352" s="11"/>
      <c r="L352" s="11"/>
      <c r="M352" s="19">
        <v>0</v>
      </c>
      <c r="O352" s="6"/>
      <c r="P352" s="16">
        <v>0</v>
      </c>
      <c r="Q352" s="16">
        <v>0</v>
      </c>
      <c r="R352" s="22"/>
      <c r="S352" s="22">
        <f t="shared" si="10"/>
        <v>0</v>
      </c>
      <c r="T352" s="5">
        <v>1378</v>
      </c>
      <c r="U352" s="5">
        <v>218</v>
      </c>
      <c r="Y352" s="8"/>
      <c r="Z352" s="8"/>
      <c r="AA352" s="8"/>
      <c r="AB352" s="8"/>
      <c r="AC352" s="8"/>
      <c r="AD352" s="8"/>
      <c r="AE352" s="25"/>
      <c r="AF352" s="11"/>
      <c r="AG352" s="25"/>
      <c r="AH352" s="11"/>
      <c r="AI352" s="11">
        <v>23</v>
      </c>
      <c r="AJ352" s="19">
        <v>0</v>
      </c>
      <c r="AK352" s="12">
        <f>(AJ352+AI352)/30*7</f>
        <v>5.3666666666666671</v>
      </c>
      <c r="AL352" s="6">
        <f>IF(AK352-C352&lt;0,0,AK352-C352)</f>
        <v>0</v>
      </c>
      <c r="AM352" s="6">
        <f>IF(AL352-R352-S352&lt;0,0,AL352-R352-S352)</f>
        <v>0</v>
      </c>
      <c r="AN352" s="5" t="str">
        <f t="shared" si="11"/>
        <v/>
      </c>
      <c r="AO352" s="5">
        <v>0</v>
      </c>
      <c r="AP352" s="9"/>
      <c r="AQ352" s="5" t="s">
        <v>1210</v>
      </c>
      <c r="AR352" s="5" t="s">
        <v>1210</v>
      </c>
      <c r="AS352" s="8"/>
      <c r="AT352" s="8"/>
      <c r="AU352" s="8"/>
      <c r="AV352" s="8"/>
      <c r="AW352" s="8"/>
      <c r="AX352" s="8"/>
      <c r="AY352" s="8"/>
      <c r="AZ352" s="8"/>
    </row>
    <row r="353" spans="1:52">
      <c r="A353" s="5" t="s">
        <v>614</v>
      </c>
      <c r="B353" s="5">
        <v>1286</v>
      </c>
      <c r="C353" s="19">
        <v>27</v>
      </c>
      <c r="E353" s="14"/>
      <c r="F353" s="11"/>
      <c r="G353" s="11"/>
      <c r="H353" s="11"/>
      <c r="I353" s="11"/>
      <c r="J353" s="25"/>
      <c r="K353" s="11"/>
      <c r="L353" s="11"/>
      <c r="M353" s="19">
        <v>0</v>
      </c>
      <c r="O353" s="6"/>
      <c r="P353" s="16">
        <v>0</v>
      </c>
      <c r="Q353" s="16">
        <v>0</v>
      </c>
      <c r="R353" s="22"/>
      <c r="S353" s="22">
        <f t="shared" si="10"/>
        <v>0</v>
      </c>
      <c r="T353" s="5">
        <v>1509</v>
      </c>
      <c r="U353" s="5">
        <v>783</v>
      </c>
      <c r="Y353" s="8"/>
      <c r="Z353" s="8"/>
      <c r="AA353" s="8"/>
      <c r="AB353" s="8"/>
      <c r="AC353" s="8"/>
      <c r="AD353" s="8"/>
      <c r="AE353" s="25"/>
      <c r="AF353" s="11"/>
      <c r="AG353" s="25"/>
      <c r="AH353" s="11"/>
      <c r="AI353" s="11">
        <v>23</v>
      </c>
      <c r="AJ353" s="19">
        <v>0</v>
      </c>
      <c r="AK353" s="12">
        <f>(AJ353+AI353)/30*7</f>
        <v>5.3666666666666671</v>
      </c>
      <c r="AL353" s="6">
        <f>IF(AK353-C353&lt;0,0,AK353-C353)</f>
        <v>0</v>
      </c>
      <c r="AM353" s="6">
        <f>IF(AL353-R353-S353&lt;0,0,AL353-R353-S353)</f>
        <v>0</v>
      </c>
      <c r="AN353" s="5" t="str">
        <f t="shared" si="11"/>
        <v/>
      </c>
      <c r="AO353" s="5">
        <v>0</v>
      </c>
      <c r="AP353" s="9"/>
      <c r="AQ353" s="5" t="s">
        <v>1210</v>
      </c>
      <c r="AR353" s="5" t="s">
        <v>1210</v>
      </c>
      <c r="AS353" s="8"/>
      <c r="AT353" s="8"/>
      <c r="AU353" s="8"/>
      <c r="AV353" s="8"/>
      <c r="AW353" s="8"/>
      <c r="AX353" s="8"/>
      <c r="AY353" s="8"/>
      <c r="AZ353" s="8"/>
    </row>
    <row r="354" spans="1:52">
      <c r="A354" s="5" t="s">
        <v>552</v>
      </c>
      <c r="B354" s="5" t="s">
        <v>1154</v>
      </c>
      <c r="C354" s="19">
        <v>18</v>
      </c>
      <c r="E354" s="14"/>
      <c r="F354" s="11"/>
      <c r="G354" s="11"/>
      <c r="H354" s="11"/>
      <c r="I354" s="11"/>
      <c r="J354" s="25"/>
      <c r="K354" s="11"/>
      <c r="L354" s="11"/>
      <c r="M354" s="19">
        <v>0</v>
      </c>
      <c r="O354" s="6"/>
      <c r="P354" s="16">
        <v>0</v>
      </c>
      <c r="Q354" s="16">
        <v>0</v>
      </c>
      <c r="R354" s="22"/>
      <c r="S354" s="22">
        <f t="shared" si="10"/>
        <v>0</v>
      </c>
      <c r="T354" s="5" t="s">
        <v>1210</v>
      </c>
      <c r="U354" s="5" t="s">
        <v>1210</v>
      </c>
      <c r="Y354" s="8"/>
      <c r="Z354" s="8"/>
      <c r="AA354" s="8"/>
      <c r="AB354" s="8"/>
      <c r="AC354" s="8"/>
      <c r="AD354" s="8"/>
      <c r="AE354" s="25"/>
      <c r="AF354" s="11"/>
      <c r="AG354" s="25"/>
      <c r="AH354" s="11"/>
      <c r="AI354" s="11">
        <v>23</v>
      </c>
      <c r="AJ354" s="19">
        <v>0</v>
      </c>
      <c r="AK354" s="12">
        <f>(AJ354+AI354)/30*7</f>
        <v>5.3666666666666671</v>
      </c>
      <c r="AL354" s="6">
        <f>IF(AK354-C354&lt;0,0,AK354-C354)</f>
        <v>0</v>
      </c>
      <c r="AM354" s="6">
        <f>IF(AL354-R354-S354&lt;0,0,AL354-R354-S354)</f>
        <v>0</v>
      </c>
      <c r="AN354" s="5" t="str">
        <f t="shared" si="11"/>
        <v/>
      </c>
      <c r="AO354" s="5">
        <v>0</v>
      </c>
      <c r="AP354" s="9"/>
      <c r="AQ354" s="5" t="s">
        <v>1210</v>
      </c>
      <c r="AR354" s="5" t="s">
        <v>1210</v>
      </c>
      <c r="AS354" s="8"/>
      <c r="AT354" s="8"/>
      <c r="AU354" s="8"/>
      <c r="AV354" s="8"/>
      <c r="AW354" s="8"/>
      <c r="AX354" s="8"/>
      <c r="AY354" s="8"/>
      <c r="AZ354" s="8"/>
    </row>
    <row r="355" spans="1:52">
      <c r="A355" s="5" t="s">
        <v>664</v>
      </c>
      <c r="B355" s="5">
        <v>1693</v>
      </c>
      <c r="C355" s="19">
        <v>32</v>
      </c>
      <c r="E355" s="14"/>
      <c r="F355" s="11"/>
      <c r="G355" s="11"/>
      <c r="H355" s="11"/>
      <c r="I355" s="11"/>
      <c r="J355" s="25"/>
      <c r="K355" s="11"/>
      <c r="L355" s="11"/>
      <c r="M355" s="19">
        <v>0</v>
      </c>
      <c r="O355" s="6"/>
      <c r="P355" s="16">
        <v>564</v>
      </c>
      <c r="Q355" s="16">
        <v>0</v>
      </c>
      <c r="R355" s="22"/>
      <c r="S355" s="22">
        <f t="shared" si="10"/>
        <v>0</v>
      </c>
      <c r="T355" s="5">
        <v>1316</v>
      </c>
      <c r="U355" s="5">
        <v>769</v>
      </c>
      <c r="Y355" s="8"/>
      <c r="Z355" s="8"/>
      <c r="AA355" s="8"/>
      <c r="AB355" s="8"/>
      <c r="AC355" s="8"/>
      <c r="AD355" s="8"/>
      <c r="AE355" s="25"/>
      <c r="AF355" s="11"/>
      <c r="AG355" s="25"/>
      <c r="AH355" s="11"/>
      <c r="AI355" s="11">
        <v>22</v>
      </c>
      <c r="AJ355" s="19">
        <v>0</v>
      </c>
      <c r="AK355" s="12">
        <f>(AJ355+AI355)/30*7</f>
        <v>5.1333333333333329</v>
      </c>
      <c r="AL355" s="6">
        <f>IF(AK355-C355&lt;0,0,AK355-C355)</f>
        <v>0</v>
      </c>
      <c r="AM355" s="6">
        <f>IF(AL355-R355-S355&lt;0,0,AL355-R355-S355)</f>
        <v>0</v>
      </c>
      <c r="AN355" s="5" t="str">
        <f t="shared" si="11"/>
        <v/>
      </c>
      <c r="AO355" s="5">
        <v>0</v>
      </c>
      <c r="AP355" s="9"/>
      <c r="AQ355" s="5" t="s">
        <v>1210</v>
      </c>
      <c r="AR355" s="5" t="s">
        <v>1230</v>
      </c>
      <c r="AS355" s="8"/>
      <c r="AT355" s="8"/>
      <c r="AU355" s="8"/>
      <c r="AV355" s="8"/>
      <c r="AW355" s="8"/>
      <c r="AX355" s="8"/>
      <c r="AY355" s="8"/>
      <c r="AZ355" s="8"/>
    </row>
    <row r="356" spans="1:52">
      <c r="A356" s="5" t="s">
        <v>619</v>
      </c>
      <c r="B356" s="5">
        <v>204</v>
      </c>
      <c r="C356" s="19">
        <v>36</v>
      </c>
      <c r="E356" s="14"/>
      <c r="F356" s="11"/>
      <c r="G356" s="11"/>
      <c r="H356" s="11"/>
      <c r="I356" s="11"/>
      <c r="J356" s="25"/>
      <c r="K356" s="11"/>
      <c r="L356" s="11"/>
      <c r="M356" s="19">
        <v>0</v>
      </c>
      <c r="O356" s="6"/>
      <c r="P356" s="16">
        <v>0</v>
      </c>
      <c r="Q356" s="16">
        <v>0</v>
      </c>
      <c r="R356" s="22"/>
      <c r="S356" s="22">
        <f t="shared" si="10"/>
        <v>0</v>
      </c>
      <c r="T356" s="5" t="s">
        <v>1210</v>
      </c>
      <c r="U356" s="5" t="s">
        <v>1210</v>
      </c>
      <c r="Y356" s="8"/>
      <c r="Z356" s="8"/>
      <c r="AA356" s="8"/>
      <c r="AB356" s="8"/>
      <c r="AC356" s="8"/>
      <c r="AD356" s="8"/>
      <c r="AE356" s="25"/>
      <c r="AF356" s="11"/>
      <c r="AG356" s="25"/>
      <c r="AH356" s="11"/>
      <c r="AI356" s="11">
        <v>21</v>
      </c>
      <c r="AJ356" s="19">
        <v>0</v>
      </c>
      <c r="AK356" s="12">
        <f>(AJ356+AI356)/30*7</f>
        <v>4.8999999999999995</v>
      </c>
      <c r="AL356" s="6">
        <f>IF(AK356-C356&lt;0,0,AK356-C356)</f>
        <v>0</v>
      </c>
      <c r="AM356" s="6">
        <f>IF(AL356-R356-S356&lt;0,0,AL356-R356-S356)</f>
        <v>0</v>
      </c>
      <c r="AN356" s="5" t="str">
        <f t="shared" si="11"/>
        <v/>
      </c>
      <c r="AO356" s="5">
        <v>0</v>
      </c>
      <c r="AP356" s="9"/>
      <c r="AQ356" s="5" t="s">
        <v>1210</v>
      </c>
      <c r="AR356" s="5" t="s">
        <v>1210</v>
      </c>
      <c r="AS356" s="8"/>
      <c r="AT356" s="8"/>
      <c r="AU356" s="8"/>
      <c r="AV356" s="8"/>
      <c r="AW356" s="8"/>
      <c r="AX356" s="8"/>
      <c r="AY356" s="8"/>
      <c r="AZ356" s="8"/>
    </row>
    <row r="357" spans="1:52">
      <c r="A357" s="5" t="s">
        <v>671</v>
      </c>
      <c r="B357" s="5">
        <v>350</v>
      </c>
      <c r="C357" s="19">
        <v>26</v>
      </c>
      <c r="E357" s="14"/>
      <c r="F357" s="11"/>
      <c r="G357" s="11"/>
      <c r="H357" s="11"/>
      <c r="I357" s="11"/>
      <c r="J357" s="25"/>
      <c r="K357" s="11"/>
      <c r="L357" s="11"/>
      <c r="M357" s="19">
        <v>0</v>
      </c>
      <c r="O357" s="6"/>
      <c r="P357" s="16">
        <v>0</v>
      </c>
      <c r="Q357" s="16">
        <v>0</v>
      </c>
      <c r="R357" s="22"/>
      <c r="S357" s="22">
        <f t="shared" si="10"/>
        <v>0</v>
      </c>
      <c r="T357" s="5" t="s">
        <v>1210</v>
      </c>
      <c r="U357" s="5" t="s">
        <v>1210</v>
      </c>
      <c r="Y357" s="8"/>
      <c r="Z357" s="8"/>
      <c r="AA357" s="8"/>
      <c r="AB357" s="8"/>
      <c r="AC357" s="8"/>
      <c r="AD357" s="8"/>
      <c r="AE357" s="25"/>
      <c r="AF357" s="11"/>
      <c r="AG357" s="25"/>
      <c r="AH357" s="11"/>
      <c r="AI357" s="11">
        <v>21</v>
      </c>
      <c r="AJ357" s="19">
        <v>0</v>
      </c>
      <c r="AK357" s="12">
        <f>(AJ357+AI357)/30*7</f>
        <v>4.8999999999999995</v>
      </c>
      <c r="AL357" s="6">
        <f>IF(AK357-C357&lt;0,0,AK357-C357)</f>
        <v>0</v>
      </c>
      <c r="AM357" s="6">
        <f>IF(AL357-R357-S357&lt;0,0,AL357-R357-S357)</f>
        <v>0</v>
      </c>
      <c r="AN357" s="5" t="str">
        <f t="shared" si="11"/>
        <v/>
      </c>
      <c r="AO357" s="5">
        <v>0</v>
      </c>
      <c r="AP357" s="9"/>
      <c r="AQ357" s="5" t="s">
        <v>1210</v>
      </c>
      <c r="AR357" s="5" t="s">
        <v>1210</v>
      </c>
      <c r="AS357" s="8"/>
      <c r="AT357" s="8"/>
      <c r="AU357" s="8"/>
      <c r="AV357" s="8"/>
      <c r="AW357" s="8"/>
      <c r="AX357" s="8"/>
      <c r="AY357" s="8"/>
      <c r="AZ357" s="8"/>
    </row>
    <row r="358" spans="1:52">
      <c r="A358" s="5" t="s">
        <v>964</v>
      </c>
      <c r="B358" s="5">
        <v>593</v>
      </c>
      <c r="C358" s="19">
        <v>35</v>
      </c>
      <c r="E358" s="14"/>
      <c r="F358" s="11"/>
      <c r="G358" s="11"/>
      <c r="H358" s="11"/>
      <c r="I358" s="11"/>
      <c r="J358" s="25"/>
      <c r="K358" s="11"/>
      <c r="L358" s="11"/>
      <c r="M358" s="19">
        <v>0</v>
      </c>
      <c r="O358" s="6"/>
      <c r="P358" s="16">
        <v>0</v>
      </c>
      <c r="Q358" s="16">
        <v>0</v>
      </c>
      <c r="R358" s="22"/>
      <c r="S358" s="22">
        <f t="shared" si="10"/>
        <v>0</v>
      </c>
      <c r="T358" s="5">
        <v>529</v>
      </c>
      <c r="U358" s="5">
        <v>659</v>
      </c>
      <c r="Y358" s="8"/>
      <c r="Z358" s="8"/>
      <c r="AA358" s="8"/>
      <c r="AB358" s="8"/>
      <c r="AC358" s="8"/>
      <c r="AD358" s="8"/>
      <c r="AE358" s="25"/>
      <c r="AF358" s="11"/>
      <c r="AG358" s="25"/>
      <c r="AH358" s="11"/>
      <c r="AI358" s="11">
        <v>21</v>
      </c>
      <c r="AJ358" s="19">
        <v>0</v>
      </c>
      <c r="AK358" s="12">
        <f>(AJ358+AI358)/30*7</f>
        <v>4.8999999999999995</v>
      </c>
      <c r="AL358" s="6">
        <f>IF(AK358-C358&lt;0,0,AK358-C358)</f>
        <v>0</v>
      </c>
      <c r="AM358" s="6">
        <f>IF(AL358-R358-S358&lt;0,0,AL358-R358-S358)</f>
        <v>0</v>
      </c>
      <c r="AN358" s="5" t="str">
        <f t="shared" si="11"/>
        <v/>
      </c>
      <c r="AO358" s="5">
        <v>0</v>
      </c>
      <c r="AP358" s="9"/>
      <c r="AQ358" s="5" t="s">
        <v>1210</v>
      </c>
      <c r="AR358" s="5" t="s">
        <v>1210</v>
      </c>
      <c r="AS358" s="8"/>
      <c r="AT358" s="8"/>
      <c r="AU358" s="8"/>
      <c r="AV358" s="8"/>
      <c r="AW358" s="8"/>
      <c r="AX358" s="8"/>
      <c r="AY358" s="8"/>
      <c r="AZ358" s="8"/>
    </row>
    <row r="359" spans="1:52">
      <c r="A359" s="5" t="s">
        <v>1000</v>
      </c>
      <c r="B359" s="5">
        <v>1038</v>
      </c>
      <c r="C359" s="19">
        <v>30</v>
      </c>
      <c r="E359" s="14"/>
      <c r="F359" s="11"/>
      <c r="G359" s="11"/>
      <c r="H359" s="11"/>
      <c r="I359" s="11"/>
      <c r="J359" s="25"/>
      <c r="K359" s="11"/>
      <c r="L359" s="11"/>
      <c r="M359" s="19">
        <v>0</v>
      </c>
      <c r="O359" s="6"/>
      <c r="P359" s="16">
        <v>514</v>
      </c>
      <c r="Q359" s="16">
        <v>0</v>
      </c>
      <c r="R359" s="22"/>
      <c r="S359" s="22">
        <f t="shared" si="10"/>
        <v>0</v>
      </c>
      <c r="U359" s="5" t="s">
        <v>1210</v>
      </c>
      <c r="Y359" s="8"/>
      <c r="Z359" s="8"/>
      <c r="AA359" s="8"/>
      <c r="AB359" s="8"/>
      <c r="AC359" s="8"/>
      <c r="AD359" s="8"/>
      <c r="AE359" s="25"/>
      <c r="AF359" s="11"/>
      <c r="AG359" s="25"/>
      <c r="AH359" s="11"/>
      <c r="AI359" s="11">
        <v>21</v>
      </c>
      <c r="AJ359" s="19">
        <v>0</v>
      </c>
      <c r="AK359" s="12">
        <f>(AJ359+AI359)/30*7</f>
        <v>4.8999999999999995</v>
      </c>
      <c r="AL359" s="6">
        <f>IF(AK359-C359&lt;0,0,AK359-C359)</f>
        <v>0</v>
      </c>
      <c r="AM359" s="6">
        <f>IF(AL359-R359-S359&lt;0,0,AL359-R359-S359)</f>
        <v>0</v>
      </c>
      <c r="AN359" s="5" t="str">
        <f t="shared" si="11"/>
        <v/>
      </c>
      <c r="AO359" s="5">
        <v>0</v>
      </c>
      <c r="AP359" s="9"/>
      <c r="AQ359" s="5" t="s">
        <v>1210</v>
      </c>
      <c r="AR359" s="5" t="s">
        <v>1230</v>
      </c>
      <c r="AS359" s="8"/>
      <c r="AT359" s="8"/>
      <c r="AU359" s="8"/>
      <c r="AV359" s="8"/>
      <c r="AW359" s="8"/>
      <c r="AX359" s="8"/>
      <c r="AY359" s="8"/>
      <c r="AZ359" s="8"/>
    </row>
    <row r="360" spans="1:52">
      <c r="A360" s="5" t="s">
        <v>902</v>
      </c>
      <c r="B360" s="5" t="s">
        <v>1183</v>
      </c>
      <c r="C360" s="19">
        <v>36</v>
      </c>
      <c r="E360" s="14"/>
      <c r="F360" s="11"/>
      <c r="G360" s="11"/>
      <c r="H360" s="11"/>
      <c r="I360" s="11"/>
      <c r="J360" s="25"/>
      <c r="K360" s="11"/>
      <c r="L360" s="11"/>
      <c r="M360" s="19">
        <v>0</v>
      </c>
      <c r="O360" s="6"/>
      <c r="P360" s="16">
        <v>0</v>
      </c>
      <c r="Q360" s="16">
        <v>0</v>
      </c>
      <c r="R360" s="22"/>
      <c r="S360" s="22">
        <f t="shared" si="10"/>
        <v>0</v>
      </c>
      <c r="T360" s="5" t="s">
        <v>1210</v>
      </c>
      <c r="U360" s="5" t="s">
        <v>1210</v>
      </c>
      <c r="Y360" s="8"/>
      <c r="Z360" s="8"/>
      <c r="AA360" s="8"/>
      <c r="AB360" s="8"/>
      <c r="AC360" s="8"/>
      <c r="AD360" s="8"/>
      <c r="AE360" s="25"/>
      <c r="AF360" s="11"/>
      <c r="AG360" s="25"/>
      <c r="AH360" s="11"/>
      <c r="AI360" s="11">
        <v>21</v>
      </c>
      <c r="AJ360" s="19">
        <v>0</v>
      </c>
      <c r="AK360" s="12">
        <f>(AJ360+AI360)/30*7</f>
        <v>4.8999999999999995</v>
      </c>
      <c r="AL360" s="6">
        <f>IF(AK360-C360&lt;0,0,AK360-C360)</f>
        <v>0</v>
      </c>
      <c r="AM360" s="6">
        <f>IF(AL360-R360-S360&lt;0,0,AL360-R360-S360)</f>
        <v>0</v>
      </c>
      <c r="AN360" s="5" t="str">
        <f t="shared" si="11"/>
        <v/>
      </c>
      <c r="AO360" s="5">
        <v>0</v>
      </c>
      <c r="AP360" s="9"/>
      <c r="AQ360" s="5" t="s">
        <v>1210</v>
      </c>
      <c r="AR360" s="5" t="s">
        <v>1210</v>
      </c>
      <c r="AS360" s="8"/>
      <c r="AT360" s="8"/>
      <c r="AU360" s="8"/>
      <c r="AV360" s="8"/>
      <c r="AW360" s="8"/>
      <c r="AX360" s="8"/>
      <c r="AY360" s="8"/>
      <c r="AZ360" s="8"/>
    </row>
    <row r="361" spans="1:52">
      <c r="A361" s="5" t="s">
        <v>851</v>
      </c>
      <c r="B361" s="5">
        <v>767</v>
      </c>
      <c r="C361" s="19">
        <v>21</v>
      </c>
      <c r="E361" s="14"/>
      <c r="F361" s="11"/>
      <c r="G361" s="11"/>
      <c r="H361" s="11"/>
      <c r="I361" s="11"/>
      <c r="J361" s="25"/>
      <c r="K361" s="11"/>
      <c r="L361" s="11"/>
      <c r="M361" s="19">
        <v>0</v>
      </c>
      <c r="O361" s="6"/>
      <c r="P361" s="16">
        <v>0</v>
      </c>
      <c r="Q361" s="16">
        <v>0</v>
      </c>
      <c r="R361" s="22"/>
      <c r="S361" s="22">
        <f t="shared" si="10"/>
        <v>0</v>
      </c>
      <c r="T361" s="5">
        <v>154</v>
      </c>
      <c r="U361" s="5">
        <v>661</v>
      </c>
      <c r="Y361" s="8"/>
      <c r="Z361" s="8"/>
      <c r="AA361" s="8"/>
      <c r="AB361" s="8"/>
      <c r="AC361" s="8"/>
      <c r="AD361" s="8"/>
      <c r="AE361" s="25"/>
      <c r="AF361" s="11"/>
      <c r="AG361" s="25"/>
      <c r="AH361" s="11"/>
      <c r="AI361" s="11">
        <v>20</v>
      </c>
      <c r="AJ361" s="19">
        <v>0</v>
      </c>
      <c r="AK361" s="12">
        <f>(AJ361+AI361)/30*7</f>
        <v>4.6666666666666661</v>
      </c>
      <c r="AL361" s="6">
        <f>IF(AK361-C361&lt;0,0,AK361-C361)</f>
        <v>0</v>
      </c>
      <c r="AM361" s="6">
        <f>IF(AL361-R361-S361&lt;0,0,AL361-R361-S361)</f>
        <v>0</v>
      </c>
      <c r="AN361" s="5" t="str">
        <f t="shared" si="11"/>
        <v/>
      </c>
      <c r="AO361" s="5">
        <v>0</v>
      </c>
      <c r="AP361" s="9"/>
      <c r="AQ361" s="5" t="s">
        <v>1210</v>
      </c>
      <c r="AR361" s="5" t="s">
        <v>1210</v>
      </c>
      <c r="AS361" s="8"/>
      <c r="AT361" s="8"/>
      <c r="AU361" s="8"/>
      <c r="AV361" s="8"/>
      <c r="AW361" s="8"/>
      <c r="AX361" s="8"/>
      <c r="AY361" s="8"/>
      <c r="AZ361" s="8"/>
    </row>
    <row r="362" spans="1:52">
      <c r="A362" s="5" t="s">
        <v>894</v>
      </c>
      <c r="B362" s="5">
        <v>911</v>
      </c>
      <c r="C362" s="19">
        <v>23</v>
      </c>
      <c r="E362" s="14"/>
      <c r="F362" s="11"/>
      <c r="G362" s="11"/>
      <c r="H362" s="11"/>
      <c r="I362" s="11"/>
      <c r="J362" s="25"/>
      <c r="K362" s="11"/>
      <c r="L362" s="11"/>
      <c r="M362" s="19">
        <v>0</v>
      </c>
      <c r="O362" s="6"/>
      <c r="P362" s="16">
        <v>0</v>
      </c>
      <c r="Q362" s="16">
        <v>0</v>
      </c>
      <c r="R362" s="22"/>
      <c r="S362" s="22">
        <f t="shared" si="10"/>
        <v>0</v>
      </c>
      <c r="T362" s="5" t="s">
        <v>1210</v>
      </c>
      <c r="U362" s="5" t="s">
        <v>1210</v>
      </c>
      <c r="Y362" s="8"/>
      <c r="Z362" s="8"/>
      <c r="AA362" s="8"/>
      <c r="AB362" s="8"/>
      <c r="AC362" s="8"/>
      <c r="AD362" s="8"/>
      <c r="AE362" s="25"/>
      <c r="AF362" s="11"/>
      <c r="AG362" s="25"/>
      <c r="AH362" s="11"/>
      <c r="AI362" s="11">
        <v>20</v>
      </c>
      <c r="AJ362" s="19">
        <v>0</v>
      </c>
      <c r="AK362" s="12">
        <f>(AJ362+AI362)/30*7</f>
        <v>4.6666666666666661</v>
      </c>
      <c r="AL362" s="6">
        <f>IF(AK362-C362&lt;0,0,AK362-C362)</f>
        <v>0</v>
      </c>
      <c r="AM362" s="6">
        <f>IF(AL362-R362-S362&lt;0,0,AL362-R362-S362)</f>
        <v>0</v>
      </c>
      <c r="AN362" s="5" t="str">
        <f t="shared" si="11"/>
        <v/>
      </c>
      <c r="AO362" s="5">
        <v>0</v>
      </c>
      <c r="AP362" s="9"/>
      <c r="AQ362" s="5" t="s">
        <v>1210</v>
      </c>
      <c r="AR362" s="5" t="s">
        <v>1210</v>
      </c>
      <c r="AS362" s="8"/>
      <c r="AT362" s="8"/>
      <c r="AU362" s="8"/>
      <c r="AV362" s="8"/>
      <c r="AW362" s="8"/>
      <c r="AX362" s="8"/>
      <c r="AY362" s="8"/>
      <c r="AZ362" s="8"/>
    </row>
    <row r="363" spans="1:52">
      <c r="A363" s="5" t="s">
        <v>620</v>
      </c>
      <c r="B363" s="5">
        <v>1076</v>
      </c>
      <c r="C363" s="19">
        <v>20</v>
      </c>
      <c r="E363" s="14"/>
      <c r="F363" s="11"/>
      <c r="G363" s="11"/>
      <c r="H363" s="11"/>
      <c r="I363" s="11"/>
      <c r="J363" s="25"/>
      <c r="K363" s="11"/>
      <c r="L363" s="11"/>
      <c r="M363" s="19">
        <v>0</v>
      </c>
      <c r="O363" s="6"/>
      <c r="P363" s="16">
        <v>0</v>
      </c>
      <c r="Q363" s="16">
        <v>0</v>
      </c>
      <c r="R363" s="22"/>
      <c r="S363" s="22">
        <f t="shared" si="10"/>
        <v>0</v>
      </c>
      <c r="T363" s="5">
        <v>699</v>
      </c>
      <c r="U363" s="5">
        <v>268</v>
      </c>
      <c r="Y363" s="8"/>
      <c r="Z363" s="8"/>
      <c r="AA363" s="8"/>
      <c r="AB363" s="8"/>
      <c r="AC363" s="8"/>
      <c r="AD363" s="8"/>
      <c r="AE363" s="25"/>
      <c r="AF363" s="11"/>
      <c r="AG363" s="25"/>
      <c r="AH363" s="11"/>
      <c r="AI363" s="11">
        <v>20</v>
      </c>
      <c r="AJ363" s="19">
        <v>0</v>
      </c>
      <c r="AK363" s="12">
        <f>(AJ363+AI363)/30*7</f>
        <v>4.6666666666666661</v>
      </c>
      <c r="AL363" s="6">
        <f>IF(AK363-C363&lt;0,0,AK363-C363)</f>
        <v>0</v>
      </c>
      <c r="AM363" s="6">
        <f>IF(AL363-R363-S363&lt;0,0,AL363-R363-S363)</f>
        <v>0</v>
      </c>
      <c r="AN363" s="5" t="str">
        <f t="shared" si="11"/>
        <v/>
      </c>
      <c r="AO363" s="5">
        <v>0</v>
      </c>
      <c r="AP363" s="9"/>
      <c r="AQ363" s="5" t="s">
        <v>1210</v>
      </c>
      <c r="AR363" s="5" t="s">
        <v>1210</v>
      </c>
      <c r="AS363" s="8"/>
      <c r="AT363" s="8"/>
      <c r="AU363" s="8"/>
      <c r="AV363" s="8"/>
      <c r="AW363" s="8"/>
      <c r="AX363" s="8"/>
      <c r="AY363" s="8"/>
      <c r="AZ363" s="8"/>
    </row>
    <row r="364" spans="1:52">
      <c r="A364" s="5" t="s">
        <v>847</v>
      </c>
      <c r="B364" s="5" t="s">
        <v>1176</v>
      </c>
      <c r="C364" s="19">
        <v>36</v>
      </c>
      <c r="E364" s="14"/>
      <c r="F364" s="11"/>
      <c r="G364" s="11"/>
      <c r="H364" s="11"/>
      <c r="I364" s="11"/>
      <c r="J364" s="25"/>
      <c r="K364" s="11"/>
      <c r="L364" s="11"/>
      <c r="M364" s="19">
        <v>0</v>
      </c>
      <c r="O364" s="6"/>
      <c r="P364" s="16">
        <v>0</v>
      </c>
      <c r="Q364" s="16">
        <v>0</v>
      </c>
      <c r="R364" s="22"/>
      <c r="S364" s="22">
        <f t="shared" si="10"/>
        <v>0</v>
      </c>
      <c r="T364" s="5" t="s">
        <v>1210</v>
      </c>
      <c r="U364" s="5" t="s">
        <v>1210</v>
      </c>
      <c r="Y364" s="8"/>
      <c r="Z364" s="8"/>
      <c r="AA364" s="8"/>
      <c r="AB364" s="8"/>
      <c r="AC364" s="8"/>
      <c r="AD364" s="8"/>
      <c r="AE364" s="25"/>
      <c r="AF364" s="11"/>
      <c r="AG364" s="25"/>
      <c r="AH364" s="11"/>
      <c r="AI364" s="11">
        <v>20</v>
      </c>
      <c r="AJ364" s="19">
        <v>0</v>
      </c>
      <c r="AK364" s="12">
        <f>(AJ364+AI364)/30*7</f>
        <v>4.6666666666666661</v>
      </c>
      <c r="AL364" s="6">
        <f>IF(AK364-C364&lt;0,0,AK364-C364)</f>
        <v>0</v>
      </c>
      <c r="AM364" s="6">
        <f>IF(AL364-R364-S364&lt;0,0,AL364-R364-S364)</f>
        <v>0</v>
      </c>
      <c r="AN364" s="5" t="str">
        <f t="shared" si="11"/>
        <v/>
      </c>
      <c r="AO364" s="5">
        <v>0</v>
      </c>
      <c r="AP364" s="9"/>
      <c r="AQ364" s="5" t="s">
        <v>1210</v>
      </c>
      <c r="AR364" s="5" t="s">
        <v>1210</v>
      </c>
      <c r="AS364" s="8"/>
      <c r="AT364" s="8"/>
      <c r="AU364" s="8"/>
      <c r="AV364" s="8"/>
      <c r="AW364" s="8"/>
      <c r="AX364" s="8"/>
      <c r="AY364" s="8"/>
      <c r="AZ364" s="8"/>
    </row>
    <row r="365" spans="1:52">
      <c r="A365" s="5" t="s">
        <v>714</v>
      </c>
      <c r="B365" s="5">
        <v>678</v>
      </c>
      <c r="C365" s="19">
        <v>36</v>
      </c>
      <c r="E365" s="14"/>
      <c r="F365" s="11"/>
      <c r="G365" s="11"/>
      <c r="H365" s="11"/>
      <c r="I365" s="11"/>
      <c r="J365" s="25"/>
      <c r="K365" s="11"/>
      <c r="L365" s="11"/>
      <c r="M365" s="19">
        <v>0</v>
      </c>
      <c r="O365" s="6"/>
      <c r="P365" s="16">
        <v>0</v>
      </c>
      <c r="Q365" s="16">
        <v>0</v>
      </c>
      <c r="R365" s="22"/>
      <c r="S365" s="22">
        <f t="shared" si="10"/>
        <v>0</v>
      </c>
      <c r="T365" s="5">
        <v>659</v>
      </c>
      <c r="U365" s="5">
        <v>315</v>
      </c>
      <c r="Y365" s="8"/>
      <c r="Z365" s="8"/>
      <c r="AA365" s="8"/>
      <c r="AB365" s="8"/>
      <c r="AC365" s="8"/>
      <c r="AD365" s="8"/>
      <c r="AE365" s="25"/>
      <c r="AF365" s="11"/>
      <c r="AG365" s="25"/>
      <c r="AH365" s="11"/>
      <c r="AI365" s="11">
        <v>19</v>
      </c>
      <c r="AJ365" s="19">
        <v>0</v>
      </c>
      <c r="AK365" s="12">
        <f>(AJ365+AI365)/30*7</f>
        <v>4.4333333333333336</v>
      </c>
      <c r="AL365" s="6">
        <f>IF(AK365-C365&lt;0,0,AK365-C365)</f>
        <v>0</v>
      </c>
      <c r="AM365" s="6">
        <f>IF(AL365-R365-S365&lt;0,0,AL365-R365-S365)</f>
        <v>0</v>
      </c>
      <c r="AN365" s="5" t="str">
        <f t="shared" si="11"/>
        <v/>
      </c>
      <c r="AO365" s="5">
        <v>0</v>
      </c>
      <c r="AP365" s="9"/>
      <c r="AQ365" s="5" t="s">
        <v>1210</v>
      </c>
      <c r="AR365" s="5" t="s">
        <v>1210</v>
      </c>
      <c r="AS365" s="8"/>
      <c r="AT365" s="8"/>
      <c r="AU365" s="8"/>
      <c r="AV365" s="8"/>
      <c r="AW365" s="8"/>
      <c r="AX365" s="8"/>
      <c r="AY365" s="8"/>
      <c r="AZ365" s="8"/>
    </row>
    <row r="366" spans="1:52">
      <c r="A366" s="5" t="s">
        <v>732</v>
      </c>
      <c r="B366" s="5">
        <v>1063</v>
      </c>
      <c r="C366" s="19">
        <v>17</v>
      </c>
      <c r="E366" s="14"/>
      <c r="F366" s="11"/>
      <c r="G366" s="11"/>
      <c r="H366" s="11"/>
      <c r="I366" s="11"/>
      <c r="J366" s="25"/>
      <c r="K366" s="11"/>
      <c r="L366" s="11"/>
      <c r="M366" s="19">
        <v>0</v>
      </c>
      <c r="O366" s="6"/>
      <c r="P366" s="16">
        <v>0</v>
      </c>
      <c r="Q366" s="16">
        <v>0</v>
      </c>
      <c r="R366" s="22"/>
      <c r="S366" s="22">
        <f t="shared" si="10"/>
        <v>0</v>
      </c>
      <c r="T366" s="5">
        <v>1015</v>
      </c>
      <c r="U366" s="5">
        <v>378</v>
      </c>
      <c r="Y366" s="8"/>
      <c r="Z366" s="8"/>
      <c r="AA366" s="8"/>
      <c r="AB366" s="8"/>
      <c r="AC366" s="8"/>
      <c r="AD366" s="8"/>
      <c r="AE366" s="25"/>
      <c r="AF366" s="11"/>
      <c r="AG366" s="25"/>
      <c r="AH366" s="11"/>
      <c r="AI366" s="11">
        <v>19</v>
      </c>
      <c r="AJ366" s="19">
        <v>0</v>
      </c>
      <c r="AK366" s="12">
        <f>(AJ366+AI366)/30*7</f>
        <v>4.4333333333333336</v>
      </c>
      <c r="AL366" s="6">
        <f>IF(AK366-C366&lt;0,0,AK366-C366)</f>
        <v>0</v>
      </c>
      <c r="AM366" s="6">
        <f>IF(AL366-R366-S366&lt;0,0,AL366-R366-S366)</f>
        <v>0</v>
      </c>
      <c r="AN366" s="5" t="str">
        <f t="shared" si="11"/>
        <v/>
      </c>
      <c r="AO366" s="5">
        <v>0</v>
      </c>
      <c r="AP366" s="9"/>
      <c r="AQ366" s="5" t="s">
        <v>1210</v>
      </c>
      <c r="AR366" s="5" t="s">
        <v>1210</v>
      </c>
      <c r="AS366" s="8"/>
      <c r="AT366" s="8"/>
      <c r="AU366" s="8"/>
      <c r="AV366" s="8"/>
      <c r="AW366" s="8"/>
      <c r="AX366" s="8"/>
      <c r="AY366" s="8"/>
      <c r="AZ366" s="8"/>
    </row>
    <row r="367" spans="1:52">
      <c r="A367" s="5" t="s">
        <v>1098</v>
      </c>
      <c r="B367" s="5">
        <v>1726</v>
      </c>
      <c r="C367" s="19">
        <v>27</v>
      </c>
      <c r="E367" s="14"/>
      <c r="F367" s="11"/>
      <c r="G367" s="11"/>
      <c r="H367" s="11"/>
      <c r="I367" s="11"/>
      <c r="J367" s="25"/>
      <c r="K367" s="11"/>
      <c r="L367" s="11"/>
      <c r="M367" s="19">
        <v>0</v>
      </c>
      <c r="O367" s="6"/>
      <c r="P367" s="16">
        <v>0</v>
      </c>
      <c r="Q367" s="16">
        <v>0</v>
      </c>
      <c r="R367" s="22"/>
      <c r="S367" s="22">
        <f t="shared" si="10"/>
        <v>0</v>
      </c>
      <c r="T367" s="5" t="s">
        <v>1210</v>
      </c>
      <c r="U367" s="5" t="s">
        <v>1210</v>
      </c>
      <c r="Y367" s="8"/>
      <c r="Z367" s="8"/>
      <c r="AA367" s="8"/>
      <c r="AB367" s="8"/>
      <c r="AC367" s="8"/>
      <c r="AD367" s="8"/>
      <c r="AE367" s="25"/>
      <c r="AF367" s="11"/>
      <c r="AG367" s="25"/>
      <c r="AH367" s="11"/>
      <c r="AI367" s="11">
        <v>19</v>
      </c>
      <c r="AJ367" s="19">
        <v>0</v>
      </c>
      <c r="AK367" s="12">
        <f>(AJ367+AI367)/30*7</f>
        <v>4.4333333333333336</v>
      </c>
      <c r="AL367" s="6">
        <f>IF(AK367-C367&lt;0,0,AK367-C367)</f>
        <v>0</v>
      </c>
      <c r="AM367" s="6">
        <f>IF(AL367-R367-S367&lt;0,0,AL367-R367-S367)</f>
        <v>0</v>
      </c>
      <c r="AN367" s="5" t="str">
        <f t="shared" si="11"/>
        <v/>
      </c>
      <c r="AO367" s="5">
        <v>0</v>
      </c>
      <c r="AP367" s="9"/>
      <c r="AQ367" s="5" t="s">
        <v>1210</v>
      </c>
      <c r="AR367" s="5" t="s">
        <v>1210</v>
      </c>
      <c r="AS367" s="8"/>
      <c r="AT367" s="8"/>
      <c r="AU367" s="8"/>
      <c r="AV367" s="8"/>
      <c r="AW367" s="8"/>
      <c r="AX367" s="8"/>
      <c r="AY367" s="8"/>
      <c r="AZ367" s="8"/>
    </row>
    <row r="368" spans="1:52">
      <c r="A368" s="5" t="s">
        <v>852</v>
      </c>
      <c r="B368" s="5" t="s">
        <v>1177</v>
      </c>
      <c r="C368" s="19">
        <v>28</v>
      </c>
      <c r="E368" s="14"/>
      <c r="F368" s="11"/>
      <c r="G368" s="11"/>
      <c r="H368" s="11"/>
      <c r="I368" s="11"/>
      <c r="J368" s="25"/>
      <c r="K368" s="11"/>
      <c r="L368" s="11"/>
      <c r="M368" s="19">
        <v>0</v>
      </c>
      <c r="O368" s="6"/>
      <c r="P368" s="16">
        <v>0</v>
      </c>
      <c r="Q368" s="16">
        <v>0</v>
      </c>
      <c r="R368" s="22"/>
      <c r="S368" s="22">
        <f t="shared" si="10"/>
        <v>0</v>
      </c>
      <c r="T368" s="5" t="s">
        <v>1210</v>
      </c>
      <c r="U368" s="5" t="s">
        <v>1210</v>
      </c>
      <c r="Y368" s="8"/>
      <c r="Z368" s="8"/>
      <c r="AA368" s="8"/>
      <c r="AB368" s="8"/>
      <c r="AC368" s="8"/>
      <c r="AD368" s="8"/>
      <c r="AE368" s="25"/>
      <c r="AF368" s="11"/>
      <c r="AG368" s="25"/>
      <c r="AH368" s="11"/>
      <c r="AI368" s="11">
        <v>19</v>
      </c>
      <c r="AJ368" s="19">
        <v>0</v>
      </c>
      <c r="AK368" s="12">
        <f>(AJ368+AI368)/30*7</f>
        <v>4.4333333333333336</v>
      </c>
      <c r="AL368" s="6">
        <f>IF(AK368-C368&lt;0,0,AK368-C368)</f>
        <v>0</v>
      </c>
      <c r="AM368" s="6">
        <f>IF(AL368-R368-S368&lt;0,0,AL368-R368-S368)</f>
        <v>0</v>
      </c>
      <c r="AN368" s="5" t="str">
        <f t="shared" si="11"/>
        <v/>
      </c>
      <c r="AO368" s="5">
        <v>0</v>
      </c>
      <c r="AP368" s="9"/>
      <c r="AQ368" s="5" t="s">
        <v>1210</v>
      </c>
      <c r="AR368" s="5" t="s">
        <v>1210</v>
      </c>
      <c r="AS368" s="8"/>
      <c r="AT368" s="8"/>
      <c r="AU368" s="8"/>
      <c r="AV368" s="8"/>
      <c r="AW368" s="8"/>
      <c r="AX368" s="8"/>
      <c r="AY368" s="8"/>
      <c r="AZ368" s="8"/>
    </row>
    <row r="369" spans="1:52">
      <c r="A369" s="5" t="s">
        <v>654</v>
      </c>
      <c r="B369" s="5">
        <v>199</v>
      </c>
      <c r="C369" s="19">
        <v>29</v>
      </c>
      <c r="E369" s="14"/>
      <c r="F369" s="11"/>
      <c r="G369" s="11"/>
      <c r="H369" s="11"/>
      <c r="I369" s="11"/>
      <c r="J369" s="25"/>
      <c r="K369" s="11"/>
      <c r="L369" s="11"/>
      <c r="M369" s="19">
        <v>0</v>
      </c>
      <c r="O369" s="6"/>
      <c r="P369" s="16">
        <v>0</v>
      </c>
      <c r="Q369" s="16">
        <v>0</v>
      </c>
      <c r="R369" s="22"/>
      <c r="S369" s="22">
        <f t="shared" si="10"/>
        <v>0</v>
      </c>
      <c r="T369" s="5" t="s">
        <v>1210</v>
      </c>
      <c r="U369" s="5" t="s">
        <v>1210</v>
      </c>
      <c r="Y369" s="8"/>
      <c r="Z369" s="8"/>
      <c r="AA369" s="8"/>
      <c r="AB369" s="8"/>
      <c r="AC369" s="8"/>
      <c r="AD369" s="8"/>
      <c r="AE369" s="25"/>
      <c r="AF369" s="11"/>
      <c r="AG369" s="25"/>
      <c r="AH369" s="11"/>
      <c r="AI369" s="11">
        <v>18</v>
      </c>
      <c r="AJ369" s="19">
        <v>0</v>
      </c>
      <c r="AK369" s="12">
        <f>(AJ369+AI369)/30*7</f>
        <v>4.2</v>
      </c>
      <c r="AL369" s="6">
        <f>IF(AK369-C369&lt;0,0,AK369-C369)</f>
        <v>0</v>
      </c>
      <c r="AM369" s="6">
        <f>IF(AL369-R369-S369&lt;0,0,AL369-R369-S369)</f>
        <v>0</v>
      </c>
      <c r="AN369" s="5" t="str">
        <f t="shared" si="11"/>
        <v/>
      </c>
      <c r="AO369" s="5">
        <v>0</v>
      </c>
      <c r="AP369" s="9"/>
      <c r="AQ369" s="5" t="s">
        <v>1210</v>
      </c>
      <c r="AR369" s="5" t="s">
        <v>1210</v>
      </c>
      <c r="AS369" s="8"/>
      <c r="AT369" s="8"/>
      <c r="AU369" s="8"/>
      <c r="AV369" s="8"/>
      <c r="AW369" s="8"/>
      <c r="AX369" s="8"/>
      <c r="AY369" s="8"/>
      <c r="AZ369" s="8"/>
    </row>
    <row r="370" spans="1:52">
      <c r="A370" s="5" t="s">
        <v>864</v>
      </c>
      <c r="B370" s="5">
        <v>959</v>
      </c>
      <c r="C370" s="19">
        <v>29</v>
      </c>
      <c r="E370" s="14"/>
      <c r="F370" s="11"/>
      <c r="G370" s="11"/>
      <c r="H370" s="11"/>
      <c r="I370" s="11"/>
      <c r="J370" s="25"/>
      <c r="K370" s="11"/>
      <c r="L370" s="11"/>
      <c r="M370" s="19">
        <v>0</v>
      </c>
      <c r="O370" s="6"/>
      <c r="P370" s="16">
        <v>0</v>
      </c>
      <c r="Q370" s="16">
        <v>0</v>
      </c>
      <c r="R370" s="22"/>
      <c r="S370" s="22">
        <f t="shared" si="10"/>
        <v>0</v>
      </c>
      <c r="T370" s="5">
        <v>1506</v>
      </c>
      <c r="U370" s="5">
        <v>442</v>
      </c>
      <c r="Y370" s="8"/>
      <c r="Z370" s="8"/>
      <c r="AA370" s="8"/>
      <c r="AB370" s="8"/>
      <c r="AC370" s="8"/>
      <c r="AD370" s="8"/>
      <c r="AE370" s="25"/>
      <c r="AF370" s="11"/>
      <c r="AG370" s="25"/>
      <c r="AH370" s="11"/>
      <c r="AI370" s="11">
        <v>18</v>
      </c>
      <c r="AJ370" s="19">
        <v>0</v>
      </c>
      <c r="AK370" s="12">
        <f>(AJ370+AI370)/30*7</f>
        <v>4.2</v>
      </c>
      <c r="AL370" s="6">
        <f>IF(AK370-C370&lt;0,0,AK370-C370)</f>
        <v>0</v>
      </c>
      <c r="AM370" s="6">
        <f>IF(AL370-R370-S370&lt;0,0,AL370-R370-S370)</f>
        <v>0</v>
      </c>
      <c r="AN370" s="5" t="str">
        <f t="shared" si="11"/>
        <v/>
      </c>
      <c r="AO370" s="5">
        <v>0</v>
      </c>
      <c r="AP370" s="9"/>
      <c r="AQ370" s="5" t="s">
        <v>1210</v>
      </c>
      <c r="AR370" s="5" t="s">
        <v>1210</v>
      </c>
      <c r="AS370" s="8"/>
      <c r="AT370" s="8"/>
      <c r="AU370" s="8"/>
      <c r="AV370" s="8"/>
      <c r="AW370" s="8"/>
      <c r="AX370" s="8"/>
      <c r="AY370" s="8"/>
      <c r="AZ370" s="8"/>
    </row>
    <row r="371" spans="1:52">
      <c r="A371" s="5" t="s">
        <v>938</v>
      </c>
      <c r="B371" s="5">
        <v>783</v>
      </c>
      <c r="C371" s="19">
        <v>26</v>
      </c>
      <c r="E371" s="14"/>
      <c r="F371" s="11"/>
      <c r="G371" s="11"/>
      <c r="H371" s="11"/>
      <c r="I371" s="11"/>
      <c r="J371" s="25"/>
      <c r="K371" s="11"/>
      <c r="L371" s="11"/>
      <c r="M371" s="19">
        <v>0</v>
      </c>
      <c r="O371" s="6"/>
      <c r="P371" s="16">
        <v>0</v>
      </c>
      <c r="Q371" s="16">
        <v>0</v>
      </c>
      <c r="R371" s="22"/>
      <c r="S371" s="22">
        <f t="shared" si="10"/>
        <v>0</v>
      </c>
      <c r="T371" s="5">
        <v>618</v>
      </c>
      <c r="U371" s="5">
        <v>446</v>
      </c>
      <c r="Y371" s="8"/>
      <c r="Z371" s="8"/>
      <c r="AA371" s="8"/>
      <c r="AB371" s="8"/>
      <c r="AC371" s="8"/>
      <c r="AD371" s="8"/>
      <c r="AE371" s="25"/>
      <c r="AF371" s="11"/>
      <c r="AG371" s="25"/>
      <c r="AH371" s="11"/>
      <c r="AI371" s="11">
        <v>17</v>
      </c>
      <c r="AJ371" s="19">
        <v>0</v>
      </c>
      <c r="AK371" s="12">
        <f>(AJ371+AI371)/30*7</f>
        <v>3.9666666666666668</v>
      </c>
      <c r="AL371" s="6">
        <f>IF(AK371-C371&lt;0,0,AK371-C371)</f>
        <v>0</v>
      </c>
      <c r="AM371" s="6">
        <f>IF(AL371-R371-S371&lt;0,0,AL371-R371-S371)</f>
        <v>0</v>
      </c>
      <c r="AN371" s="5" t="str">
        <f t="shared" si="11"/>
        <v/>
      </c>
      <c r="AO371" s="5">
        <v>0</v>
      </c>
      <c r="AP371" s="9"/>
      <c r="AQ371" s="5" t="s">
        <v>1210</v>
      </c>
      <c r="AR371" s="5" t="s">
        <v>1210</v>
      </c>
      <c r="AS371" s="8"/>
      <c r="AT371" s="8"/>
      <c r="AU371" s="8"/>
      <c r="AV371" s="8"/>
      <c r="AW371" s="8"/>
      <c r="AX371" s="8"/>
      <c r="AY371" s="8"/>
      <c r="AZ371" s="8"/>
    </row>
    <row r="372" spans="1:52">
      <c r="A372" s="5" t="s">
        <v>621</v>
      </c>
      <c r="B372" s="5">
        <v>972</v>
      </c>
      <c r="C372" s="19">
        <v>29</v>
      </c>
      <c r="E372" s="14"/>
      <c r="F372" s="11"/>
      <c r="G372" s="11"/>
      <c r="H372" s="11"/>
      <c r="I372" s="11"/>
      <c r="J372" s="25"/>
      <c r="K372" s="11"/>
      <c r="L372" s="11"/>
      <c r="M372" s="19">
        <v>0</v>
      </c>
      <c r="O372" s="6"/>
      <c r="P372" s="16">
        <v>0</v>
      </c>
      <c r="Q372" s="16">
        <v>0</v>
      </c>
      <c r="R372" s="22"/>
      <c r="S372" s="22">
        <f t="shared" si="10"/>
        <v>0</v>
      </c>
      <c r="T372" s="5">
        <v>1106</v>
      </c>
      <c r="U372" s="5">
        <v>219</v>
      </c>
      <c r="Y372" s="8"/>
      <c r="Z372" s="8"/>
      <c r="AA372" s="8"/>
      <c r="AB372" s="8"/>
      <c r="AC372" s="8"/>
      <c r="AD372" s="8"/>
      <c r="AE372" s="25"/>
      <c r="AF372" s="11"/>
      <c r="AG372" s="25"/>
      <c r="AH372" s="11"/>
      <c r="AI372" s="11">
        <v>17</v>
      </c>
      <c r="AJ372" s="19">
        <v>0</v>
      </c>
      <c r="AK372" s="12">
        <f>(AJ372+AI372)/30*7</f>
        <v>3.9666666666666668</v>
      </c>
      <c r="AL372" s="6">
        <f>IF(AK372-C372&lt;0,0,AK372-C372)</f>
        <v>0</v>
      </c>
      <c r="AM372" s="6">
        <f>IF(AL372-R372-S372&lt;0,0,AL372-R372-S372)</f>
        <v>0</v>
      </c>
      <c r="AN372" s="5" t="str">
        <f t="shared" si="11"/>
        <v/>
      </c>
      <c r="AO372" s="5">
        <v>0</v>
      </c>
      <c r="AP372" s="9"/>
      <c r="AQ372" s="5" t="s">
        <v>1210</v>
      </c>
      <c r="AR372" s="5" t="s">
        <v>1210</v>
      </c>
      <c r="AS372" s="8"/>
      <c r="AT372" s="8"/>
      <c r="AU372" s="8"/>
      <c r="AV372" s="8"/>
      <c r="AW372" s="8"/>
      <c r="AX372" s="8"/>
      <c r="AY372" s="8"/>
      <c r="AZ372" s="8"/>
    </row>
    <row r="373" spans="1:52">
      <c r="A373" s="5" t="s">
        <v>965</v>
      </c>
      <c r="B373" s="5">
        <v>1181</v>
      </c>
      <c r="C373" s="19">
        <v>30</v>
      </c>
      <c r="E373" s="14"/>
      <c r="F373" s="11"/>
      <c r="G373" s="11"/>
      <c r="H373" s="11"/>
      <c r="I373" s="11"/>
      <c r="J373" s="25"/>
      <c r="K373" s="11"/>
      <c r="L373" s="11"/>
      <c r="M373" s="19">
        <v>0</v>
      </c>
      <c r="O373" s="6"/>
      <c r="P373" s="16">
        <v>0</v>
      </c>
      <c r="Q373" s="16">
        <v>0</v>
      </c>
      <c r="R373" s="22"/>
      <c r="S373" s="22">
        <f t="shared" si="10"/>
        <v>0</v>
      </c>
      <c r="T373" s="5">
        <v>1080</v>
      </c>
      <c r="U373" s="5">
        <v>389</v>
      </c>
      <c r="Y373" s="8"/>
      <c r="Z373" s="8"/>
      <c r="AA373" s="8"/>
      <c r="AB373" s="8"/>
      <c r="AC373" s="8"/>
      <c r="AD373" s="8"/>
      <c r="AE373" s="25"/>
      <c r="AF373" s="11"/>
      <c r="AG373" s="25"/>
      <c r="AH373" s="11"/>
      <c r="AI373" s="11">
        <v>17</v>
      </c>
      <c r="AJ373" s="19">
        <v>0</v>
      </c>
      <c r="AK373" s="12">
        <f>(AJ373+AI373)/30*7</f>
        <v>3.9666666666666668</v>
      </c>
      <c r="AL373" s="6">
        <f>IF(AK373-C373&lt;0,0,AK373-C373)</f>
        <v>0</v>
      </c>
      <c r="AM373" s="6">
        <f>IF(AL373-R373-S373&lt;0,0,AL373-R373-S373)</f>
        <v>0</v>
      </c>
      <c r="AN373" s="5" t="str">
        <f t="shared" si="11"/>
        <v/>
      </c>
      <c r="AO373" s="5">
        <v>0</v>
      </c>
      <c r="AP373" s="9"/>
      <c r="AQ373" s="5" t="s">
        <v>1210</v>
      </c>
      <c r="AR373" s="5" t="s">
        <v>1210</v>
      </c>
      <c r="AS373" s="8"/>
      <c r="AT373" s="8"/>
      <c r="AU373" s="8"/>
      <c r="AV373" s="8"/>
      <c r="AW373" s="8"/>
      <c r="AX373" s="8"/>
      <c r="AY373" s="8"/>
      <c r="AZ373" s="8"/>
    </row>
    <row r="374" spans="1:52">
      <c r="A374" s="5" t="s">
        <v>557</v>
      </c>
      <c r="B374" s="5" t="s">
        <v>1155</v>
      </c>
      <c r="C374" s="19">
        <v>35</v>
      </c>
      <c r="E374" s="14"/>
      <c r="F374" s="11"/>
      <c r="G374" s="11"/>
      <c r="H374" s="11"/>
      <c r="I374" s="11"/>
      <c r="J374" s="25"/>
      <c r="K374" s="11"/>
      <c r="L374" s="11"/>
      <c r="M374" s="19">
        <v>0</v>
      </c>
      <c r="O374" s="6"/>
      <c r="P374" s="16">
        <v>0</v>
      </c>
      <c r="Q374" s="16">
        <v>0</v>
      </c>
      <c r="R374" s="22"/>
      <c r="S374" s="22">
        <f t="shared" si="10"/>
        <v>0</v>
      </c>
      <c r="T374" s="5" t="s">
        <v>1210</v>
      </c>
      <c r="U374" s="5" t="s">
        <v>1210</v>
      </c>
      <c r="Y374" s="8"/>
      <c r="Z374" s="8"/>
      <c r="AA374" s="8"/>
      <c r="AB374" s="8"/>
      <c r="AC374" s="8"/>
      <c r="AD374" s="8"/>
      <c r="AE374" s="25"/>
      <c r="AF374" s="11"/>
      <c r="AG374" s="25"/>
      <c r="AH374" s="11"/>
      <c r="AI374" s="11">
        <v>17</v>
      </c>
      <c r="AJ374" s="19">
        <v>0</v>
      </c>
      <c r="AK374" s="12">
        <f>(AJ374+AI374)/30*7</f>
        <v>3.9666666666666668</v>
      </c>
      <c r="AL374" s="6">
        <f>IF(AK374-C374&lt;0,0,AK374-C374)</f>
        <v>0</v>
      </c>
      <c r="AM374" s="6">
        <f>IF(AL374-R374-S374&lt;0,0,AL374-R374-S374)</f>
        <v>0</v>
      </c>
      <c r="AN374" s="5" t="str">
        <f t="shared" si="11"/>
        <v/>
      </c>
      <c r="AO374" s="5">
        <v>0</v>
      </c>
      <c r="AP374" s="9"/>
      <c r="AQ374" s="5" t="s">
        <v>1210</v>
      </c>
      <c r="AR374" s="5" t="s">
        <v>1210</v>
      </c>
      <c r="AS374" s="8"/>
      <c r="AT374" s="8"/>
      <c r="AU374" s="8"/>
      <c r="AV374" s="8"/>
      <c r="AW374" s="8"/>
      <c r="AX374" s="8"/>
      <c r="AY374" s="8"/>
      <c r="AZ374" s="8"/>
    </row>
    <row r="375" spans="1:52">
      <c r="A375" s="5" t="s">
        <v>758</v>
      </c>
      <c r="B375" s="5" t="s">
        <v>1170</v>
      </c>
      <c r="C375" s="19">
        <v>35</v>
      </c>
      <c r="E375" s="14"/>
      <c r="F375" s="11"/>
      <c r="G375" s="11"/>
      <c r="H375" s="11"/>
      <c r="I375" s="11"/>
      <c r="J375" s="25"/>
      <c r="K375" s="11"/>
      <c r="L375" s="11"/>
      <c r="M375" s="19">
        <v>0</v>
      </c>
      <c r="O375" s="6"/>
      <c r="P375" s="16">
        <v>0</v>
      </c>
      <c r="Q375" s="16">
        <v>0</v>
      </c>
      <c r="R375" s="22"/>
      <c r="S375" s="22">
        <f t="shared" si="10"/>
        <v>0</v>
      </c>
      <c r="T375" s="5" t="s">
        <v>1210</v>
      </c>
      <c r="U375" s="5" t="s">
        <v>1210</v>
      </c>
      <c r="Y375" s="8"/>
      <c r="Z375" s="8"/>
      <c r="AA375" s="8"/>
      <c r="AB375" s="8"/>
      <c r="AC375" s="8"/>
      <c r="AD375" s="8"/>
      <c r="AE375" s="25"/>
      <c r="AF375" s="11"/>
      <c r="AG375" s="25"/>
      <c r="AH375" s="11"/>
      <c r="AI375" s="11">
        <v>17</v>
      </c>
      <c r="AJ375" s="19">
        <v>0</v>
      </c>
      <c r="AK375" s="12">
        <f>(AJ375+AI375)/30*7</f>
        <v>3.9666666666666668</v>
      </c>
      <c r="AL375" s="6">
        <f>IF(AK375-C375&lt;0,0,AK375-C375)</f>
        <v>0</v>
      </c>
      <c r="AM375" s="6">
        <f>IF(AL375-R375-S375&lt;0,0,AL375-R375-S375)</f>
        <v>0</v>
      </c>
      <c r="AN375" s="5" t="str">
        <f t="shared" si="11"/>
        <v/>
      </c>
      <c r="AO375" s="5">
        <v>0</v>
      </c>
      <c r="AP375" s="9"/>
      <c r="AQ375" s="5" t="s">
        <v>1210</v>
      </c>
      <c r="AR375" s="5" t="s">
        <v>1210</v>
      </c>
      <c r="AS375" s="8"/>
      <c r="AT375" s="8"/>
      <c r="AU375" s="8"/>
      <c r="AV375" s="8"/>
      <c r="AW375" s="8"/>
      <c r="AX375" s="8"/>
      <c r="AY375" s="8"/>
      <c r="AZ375" s="8"/>
    </row>
    <row r="376" spans="1:52">
      <c r="A376" s="5" t="s">
        <v>845</v>
      </c>
      <c r="B376" s="5">
        <v>488</v>
      </c>
      <c r="C376" s="19">
        <v>33</v>
      </c>
      <c r="E376" s="14"/>
      <c r="F376" s="11"/>
      <c r="G376" s="11"/>
      <c r="H376" s="11"/>
      <c r="I376" s="11"/>
      <c r="J376" s="25"/>
      <c r="K376" s="11"/>
      <c r="L376" s="11"/>
      <c r="M376" s="19">
        <v>0</v>
      </c>
      <c r="O376" s="6"/>
      <c r="P376" s="16">
        <v>0</v>
      </c>
      <c r="Q376" s="16">
        <v>0</v>
      </c>
      <c r="R376" s="22"/>
      <c r="S376" s="22">
        <f t="shared" si="10"/>
        <v>0</v>
      </c>
      <c r="T376" s="5" t="s">
        <v>1210</v>
      </c>
      <c r="U376" s="5" t="s">
        <v>1210</v>
      </c>
      <c r="Y376" s="8"/>
      <c r="Z376" s="8"/>
      <c r="AA376" s="8"/>
      <c r="AB376" s="8"/>
      <c r="AC376" s="8"/>
      <c r="AD376" s="8"/>
      <c r="AE376" s="25"/>
      <c r="AF376" s="11"/>
      <c r="AG376" s="25"/>
      <c r="AH376" s="11"/>
      <c r="AI376" s="11">
        <v>16</v>
      </c>
      <c r="AJ376" s="19">
        <v>0</v>
      </c>
      <c r="AK376" s="12">
        <f>(AJ376+AI376)/30*7</f>
        <v>3.7333333333333334</v>
      </c>
      <c r="AL376" s="6">
        <f>IF(AK376-C376&lt;0,0,AK376-C376)</f>
        <v>0</v>
      </c>
      <c r="AM376" s="6">
        <f>IF(AL376-R376-S376&lt;0,0,AL376-R376-S376)</f>
        <v>0</v>
      </c>
      <c r="AN376" s="5" t="str">
        <f t="shared" si="11"/>
        <v/>
      </c>
      <c r="AO376" s="5">
        <v>0</v>
      </c>
      <c r="AP376" s="9"/>
      <c r="AQ376" s="5" t="s">
        <v>1210</v>
      </c>
      <c r="AR376" s="5" t="s">
        <v>1210</v>
      </c>
      <c r="AS376" s="8"/>
      <c r="AT376" s="8"/>
      <c r="AU376" s="8"/>
      <c r="AV376" s="8"/>
      <c r="AW376" s="8"/>
      <c r="AX376" s="8"/>
      <c r="AY376" s="8"/>
      <c r="AZ376" s="8"/>
    </row>
    <row r="377" spans="1:52">
      <c r="A377" s="5" t="s">
        <v>992</v>
      </c>
      <c r="B377" s="5">
        <v>775</v>
      </c>
      <c r="C377" s="19">
        <v>20</v>
      </c>
      <c r="E377" s="14"/>
      <c r="F377" s="11"/>
      <c r="G377" s="11"/>
      <c r="H377" s="11"/>
      <c r="I377" s="11"/>
      <c r="J377" s="25"/>
      <c r="K377" s="11"/>
      <c r="L377" s="11"/>
      <c r="M377" s="19">
        <v>0</v>
      </c>
      <c r="O377" s="6"/>
      <c r="P377" s="16">
        <v>802</v>
      </c>
      <c r="Q377" s="16">
        <v>319</v>
      </c>
      <c r="R377" s="22"/>
      <c r="S377" s="22">
        <f t="shared" si="10"/>
        <v>0</v>
      </c>
      <c r="T377" s="5" t="s">
        <v>1210</v>
      </c>
      <c r="U377" s="5" t="s">
        <v>1210</v>
      </c>
      <c r="Y377" s="8"/>
      <c r="Z377" s="8"/>
      <c r="AA377" s="8"/>
      <c r="AB377" s="8"/>
      <c r="AC377" s="8"/>
      <c r="AD377" s="8"/>
      <c r="AE377" s="25"/>
      <c r="AF377" s="11"/>
      <c r="AG377" s="25"/>
      <c r="AH377" s="11"/>
      <c r="AI377" s="11">
        <v>16</v>
      </c>
      <c r="AJ377" s="19">
        <v>0</v>
      </c>
      <c r="AK377" s="12">
        <f>(AJ377+AI377)/30*7</f>
        <v>3.7333333333333334</v>
      </c>
      <c r="AL377" s="6">
        <f>IF(AK377-C377&lt;0,0,AK377-C377)</f>
        <v>0</v>
      </c>
      <c r="AM377" s="6">
        <f>IF(AL377-R377-S377&lt;0,0,AL377-R377-S377)</f>
        <v>0</v>
      </c>
      <c r="AN377" s="5" t="str">
        <f t="shared" si="11"/>
        <v/>
      </c>
      <c r="AO377" s="5">
        <v>0</v>
      </c>
      <c r="AP377" s="9"/>
      <c r="AQ377" s="5" t="s">
        <v>1210</v>
      </c>
      <c r="AR377" s="5" t="s">
        <v>1230</v>
      </c>
      <c r="AS377" s="8"/>
      <c r="AT377" s="8"/>
      <c r="AU377" s="8"/>
      <c r="AV377" s="8"/>
      <c r="AW377" s="8"/>
      <c r="AX377" s="8"/>
      <c r="AY377" s="8"/>
      <c r="AZ377" s="8"/>
    </row>
    <row r="378" spans="1:52">
      <c r="A378" s="5" t="s">
        <v>1072</v>
      </c>
      <c r="B378" s="5">
        <v>818</v>
      </c>
      <c r="C378" s="19">
        <v>18</v>
      </c>
      <c r="E378" s="14"/>
      <c r="F378" s="11"/>
      <c r="G378" s="11"/>
      <c r="H378" s="11"/>
      <c r="I378" s="11"/>
      <c r="J378" s="25"/>
      <c r="K378" s="11"/>
      <c r="L378" s="11"/>
      <c r="M378" s="19">
        <v>0</v>
      </c>
      <c r="O378" s="6"/>
      <c r="P378" s="16">
        <v>0</v>
      </c>
      <c r="Q378" s="16">
        <v>0</v>
      </c>
      <c r="R378" s="22"/>
      <c r="S378" s="22">
        <f t="shared" si="10"/>
        <v>0</v>
      </c>
      <c r="T378" s="5">
        <v>699</v>
      </c>
      <c r="U378" s="5">
        <v>268</v>
      </c>
      <c r="Y378" s="8"/>
      <c r="Z378" s="8"/>
      <c r="AA378" s="8"/>
      <c r="AB378" s="8"/>
      <c r="AC378" s="8"/>
      <c r="AD378" s="8"/>
      <c r="AE378" s="25"/>
      <c r="AF378" s="11"/>
      <c r="AG378" s="25"/>
      <c r="AH378" s="11"/>
      <c r="AI378" s="11">
        <v>16</v>
      </c>
      <c r="AJ378" s="19">
        <v>0</v>
      </c>
      <c r="AK378" s="12">
        <f>(AJ378+AI378)/30*7</f>
        <v>3.7333333333333334</v>
      </c>
      <c r="AL378" s="6">
        <f>IF(AK378-C378&lt;0,0,AK378-C378)</f>
        <v>0</v>
      </c>
      <c r="AM378" s="6">
        <f>IF(AL378-R378-S378&lt;0,0,AL378-R378-S378)</f>
        <v>0</v>
      </c>
      <c r="AN378" s="5" t="str">
        <f t="shared" si="11"/>
        <v/>
      </c>
      <c r="AO378" s="5">
        <v>0</v>
      </c>
      <c r="AP378" s="9"/>
      <c r="AQ378" s="5" t="s">
        <v>1210</v>
      </c>
      <c r="AR378" s="5" t="s">
        <v>1210</v>
      </c>
      <c r="AS378" s="8"/>
      <c r="AT378" s="8"/>
      <c r="AU378" s="8"/>
      <c r="AV378" s="8"/>
      <c r="AW378" s="8"/>
      <c r="AX378" s="8"/>
      <c r="AY378" s="8"/>
      <c r="AZ378" s="8"/>
    </row>
    <row r="379" spans="1:52">
      <c r="A379" s="5" t="s">
        <v>640</v>
      </c>
      <c r="B379" s="5">
        <v>1085</v>
      </c>
      <c r="C379" s="19">
        <v>32</v>
      </c>
      <c r="E379" s="14"/>
      <c r="F379" s="11"/>
      <c r="G379" s="11"/>
      <c r="H379" s="11"/>
      <c r="I379" s="11"/>
      <c r="J379" s="25"/>
      <c r="K379" s="11"/>
      <c r="L379" s="11"/>
      <c r="M379" s="19">
        <v>0</v>
      </c>
      <c r="O379" s="6"/>
      <c r="P379" s="16">
        <v>0</v>
      </c>
      <c r="Q379" s="16">
        <v>0</v>
      </c>
      <c r="R379" s="22"/>
      <c r="S379" s="22">
        <f t="shared" si="10"/>
        <v>0</v>
      </c>
      <c r="T379" s="5">
        <v>1085</v>
      </c>
      <c r="U379" s="5">
        <v>32</v>
      </c>
      <c r="Y379" s="8"/>
      <c r="Z379" s="8"/>
      <c r="AA379" s="8"/>
      <c r="AB379" s="8"/>
      <c r="AC379" s="8"/>
      <c r="AD379" s="8"/>
      <c r="AE379" s="25"/>
      <c r="AF379" s="11"/>
      <c r="AG379" s="25"/>
      <c r="AH379" s="11"/>
      <c r="AI379" s="11">
        <v>16</v>
      </c>
      <c r="AJ379" s="19">
        <v>0</v>
      </c>
      <c r="AK379" s="12">
        <f>(AJ379+AI379)/30*7</f>
        <v>3.7333333333333334</v>
      </c>
      <c r="AL379" s="6">
        <f>IF(AK379-C379&lt;0,0,AK379-C379)</f>
        <v>0</v>
      </c>
      <c r="AM379" s="6">
        <f>IF(AL379-R379-S379&lt;0,0,AL379-R379-S379)</f>
        <v>0</v>
      </c>
      <c r="AN379" s="5" t="str">
        <f t="shared" si="11"/>
        <v/>
      </c>
      <c r="AO379" s="5">
        <v>0</v>
      </c>
      <c r="AP379" s="9"/>
      <c r="AQ379" s="5" t="s">
        <v>1210</v>
      </c>
      <c r="AR379" s="5" t="s">
        <v>1210</v>
      </c>
      <c r="AS379" s="8"/>
      <c r="AT379" s="8"/>
      <c r="AU379" s="8"/>
      <c r="AV379" s="8"/>
      <c r="AW379" s="8"/>
      <c r="AX379" s="8"/>
      <c r="AY379" s="8"/>
      <c r="AZ379" s="8"/>
    </row>
    <row r="380" spans="1:52">
      <c r="A380" s="5" t="s">
        <v>1066</v>
      </c>
      <c r="B380" s="5" t="s">
        <v>1200</v>
      </c>
      <c r="C380" s="19">
        <v>24</v>
      </c>
      <c r="E380" s="14"/>
      <c r="F380" s="11"/>
      <c r="G380" s="11"/>
      <c r="H380" s="11"/>
      <c r="I380" s="11"/>
      <c r="J380" s="25"/>
      <c r="K380" s="11"/>
      <c r="L380" s="11"/>
      <c r="M380" s="19">
        <v>0</v>
      </c>
      <c r="O380" s="6"/>
      <c r="P380" s="16">
        <v>0</v>
      </c>
      <c r="Q380" s="16">
        <v>0</v>
      </c>
      <c r="R380" s="22"/>
      <c r="S380" s="22">
        <f t="shared" si="10"/>
        <v>0</v>
      </c>
      <c r="T380" s="5" t="s">
        <v>1210</v>
      </c>
      <c r="U380" s="5" t="s">
        <v>1210</v>
      </c>
      <c r="Y380" s="8"/>
      <c r="Z380" s="8"/>
      <c r="AA380" s="8"/>
      <c r="AB380" s="8"/>
      <c r="AC380" s="8"/>
      <c r="AD380" s="8"/>
      <c r="AE380" s="25"/>
      <c r="AF380" s="11"/>
      <c r="AG380" s="25"/>
      <c r="AH380" s="11"/>
      <c r="AI380" s="11">
        <v>16</v>
      </c>
      <c r="AJ380" s="19">
        <v>0</v>
      </c>
      <c r="AK380" s="12">
        <f>(AJ380+AI380)/30*7</f>
        <v>3.7333333333333334</v>
      </c>
      <c r="AL380" s="6">
        <f>IF(AK380-C380&lt;0,0,AK380-C380)</f>
        <v>0</v>
      </c>
      <c r="AM380" s="6">
        <f>IF(AL380-R380-S380&lt;0,0,AL380-R380-S380)</f>
        <v>0</v>
      </c>
      <c r="AN380" s="5" t="str">
        <f t="shared" si="11"/>
        <v/>
      </c>
      <c r="AO380" s="5">
        <v>0</v>
      </c>
      <c r="AP380" s="9"/>
      <c r="AQ380" s="5" t="s">
        <v>1210</v>
      </c>
      <c r="AR380" s="5" t="s">
        <v>1210</v>
      </c>
      <c r="AS380" s="8"/>
      <c r="AT380" s="8"/>
      <c r="AU380" s="8"/>
      <c r="AV380" s="8"/>
      <c r="AW380" s="8"/>
      <c r="AX380" s="8"/>
      <c r="AY380" s="8"/>
      <c r="AZ380" s="8"/>
    </row>
    <row r="381" spans="1:52">
      <c r="A381" s="5" t="s">
        <v>1090</v>
      </c>
      <c r="B381" s="5">
        <v>592</v>
      </c>
      <c r="C381" s="19">
        <v>20</v>
      </c>
      <c r="E381" s="14"/>
      <c r="F381" s="11"/>
      <c r="G381" s="11"/>
      <c r="H381" s="11"/>
      <c r="I381" s="11"/>
      <c r="J381" s="25"/>
      <c r="K381" s="11"/>
      <c r="L381" s="11"/>
      <c r="M381" s="19">
        <v>0</v>
      </c>
      <c r="O381" s="6"/>
      <c r="P381" s="16">
        <v>0</v>
      </c>
      <c r="Q381" s="16">
        <v>0</v>
      </c>
      <c r="R381" s="22"/>
      <c r="S381" s="22">
        <f t="shared" si="10"/>
        <v>0</v>
      </c>
      <c r="T381" s="5">
        <v>1053</v>
      </c>
      <c r="U381" s="5">
        <v>765</v>
      </c>
      <c r="Y381" s="8"/>
      <c r="Z381" s="8"/>
      <c r="AA381" s="8"/>
      <c r="AB381" s="8"/>
      <c r="AC381" s="8"/>
      <c r="AD381" s="8"/>
      <c r="AE381" s="25"/>
      <c r="AF381" s="11"/>
      <c r="AG381" s="25"/>
      <c r="AH381" s="11"/>
      <c r="AI381" s="11">
        <v>15</v>
      </c>
      <c r="AJ381" s="19">
        <v>0</v>
      </c>
      <c r="AK381" s="12">
        <f>(AJ381+AI381)/30*7</f>
        <v>3.5</v>
      </c>
      <c r="AL381" s="6">
        <f>IF(AK381-C381&lt;0,0,AK381-C381)</f>
        <v>0</v>
      </c>
      <c r="AM381" s="6">
        <f>IF(AL381-R381-S381&lt;0,0,AL381-R381-S381)</f>
        <v>0</v>
      </c>
      <c r="AN381" s="5" t="str">
        <f t="shared" si="11"/>
        <v/>
      </c>
      <c r="AO381" s="5">
        <v>0</v>
      </c>
      <c r="AP381" s="9"/>
      <c r="AQ381" s="5" t="s">
        <v>1210</v>
      </c>
      <c r="AR381" s="5" t="s">
        <v>1210</v>
      </c>
      <c r="AS381" s="8"/>
      <c r="AT381" s="8"/>
      <c r="AU381" s="8"/>
      <c r="AV381" s="8"/>
      <c r="AW381" s="8"/>
      <c r="AX381" s="8"/>
      <c r="AY381" s="8"/>
      <c r="AZ381" s="8"/>
    </row>
    <row r="382" spans="1:52">
      <c r="A382" s="5" t="s">
        <v>831</v>
      </c>
      <c r="B382" s="5">
        <v>759</v>
      </c>
      <c r="C382" s="19">
        <v>17</v>
      </c>
      <c r="E382" s="14"/>
      <c r="F382" s="11"/>
      <c r="G382" s="11"/>
      <c r="H382" s="11"/>
      <c r="I382" s="11"/>
      <c r="J382" s="25"/>
      <c r="K382" s="11"/>
      <c r="L382" s="11"/>
      <c r="M382" s="19">
        <v>0</v>
      </c>
      <c r="O382" s="6"/>
      <c r="P382" s="16">
        <v>0</v>
      </c>
      <c r="Q382" s="16">
        <v>0</v>
      </c>
      <c r="R382" s="22"/>
      <c r="S382" s="22">
        <f t="shared" si="10"/>
        <v>0</v>
      </c>
      <c r="T382" s="5">
        <v>782</v>
      </c>
      <c r="U382" s="5">
        <v>916</v>
      </c>
      <c r="Y382" s="8"/>
      <c r="Z382" s="8"/>
      <c r="AA382" s="8"/>
      <c r="AB382" s="8"/>
      <c r="AC382" s="8"/>
      <c r="AD382" s="8"/>
      <c r="AE382" s="25"/>
      <c r="AF382" s="11"/>
      <c r="AG382" s="25"/>
      <c r="AH382" s="11"/>
      <c r="AI382" s="11">
        <v>15</v>
      </c>
      <c r="AJ382" s="19">
        <v>0</v>
      </c>
      <c r="AK382" s="12">
        <f>(AJ382+AI382)/30*7</f>
        <v>3.5</v>
      </c>
      <c r="AL382" s="6">
        <f>IF(AK382-C382&lt;0,0,AK382-C382)</f>
        <v>0</v>
      </c>
      <c r="AM382" s="6">
        <f>IF(AL382-R382-S382&lt;0,0,AL382-R382-S382)</f>
        <v>0</v>
      </c>
      <c r="AN382" s="5" t="str">
        <f t="shared" si="11"/>
        <v/>
      </c>
      <c r="AO382" s="5">
        <v>0</v>
      </c>
      <c r="AP382" s="9"/>
      <c r="AQ382" s="5" t="s">
        <v>1210</v>
      </c>
      <c r="AR382" s="5" t="s">
        <v>1210</v>
      </c>
      <c r="AS382" s="8"/>
      <c r="AT382" s="8"/>
      <c r="AU382" s="8"/>
      <c r="AV382" s="8"/>
      <c r="AW382" s="8"/>
      <c r="AX382" s="8"/>
      <c r="AY382" s="8"/>
      <c r="AZ382" s="8"/>
    </row>
    <row r="383" spans="1:52">
      <c r="A383" s="5" t="s">
        <v>950</v>
      </c>
      <c r="B383" s="5">
        <v>926</v>
      </c>
      <c r="C383" s="19">
        <v>37</v>
      </c>
      <c r="E383" s="14"/>
      <c r="F383" s="11"/>
      <c r="G383" s="11"/>
      <c r="H383" s="11"/>
      <c r="I383" s="11"/>
      <c r="J383" s="25"/>
      <c r="K383" s="11"/>
      <c r="L383" s="11"/>
      <c r="M383" s="19">
        <v>0</v>
      </c>
      <c r="O383" s="6"/>
      <c r="P383" s="16">
        <v>0</v>
      </c>
      <c r="Q383" s="16">
        <v>0</v>
      </c>
      <c r="R383" s="22"/>
      <c r="S383" s="22">
        <f t="shared" si="10"/>
        <v>0</v>
      </c>
      <c r="T383" s="5" t="s">
        <v>1210</v>
      </c>
      <c r="U383" s="5" t="s">
        <v>1210</v>
      </c>
      <c r="Y383" s="8"/>
      <c r="Z383" s="8"/>
      <c r="AA383" s="8"/>
      <c r="AB383" s="8"/>
      <c r="AC383" s="8"/>
      <c r="AD383" s="8"/>
      <c r="AE383" s="25"/>
      <c r="AF383" s="11"/>
      <c r="AG383" s="25"/>
      <c r="AH383" s="11"/>
      <c r="AI383" s="11">
        <v>15</v>
      </c>
      <c r="AJ383" s="19">
        <v>0</v>
      </c>
      <c r="AK383" s="12">
        <f>(AJ383+AI383)/30*7</f>
        <v>3.5</v>
      </c>
      <c r="AL383" s="6">
        <f>IF(AK383-C383&lt;0,0,AK383-C383)</f>
        <v>0</v>
      </c>
      <c r="AM383" s="6">
        <f>IF(AL383-R383-S383&lt;0,0,AL383-R383-S383)</f>
        <v>0</v>
      </c>
      <c r="AN383" s="5" t="str">
        <f t="shared" si="11"/>
        <v/>
      </c>
      <c r="AO383" s="5">
        <v>0</v>
      </c>
      <c r="AP383" s="9"/>
      <c r="AQ383" s="5" t="s">
        <v>1210</v>
      </c>
      <c r="AR383" s="5" t="s">
        <v>1210</v>
      </c>
      <c r="AS383" s="8"/>
      <c r="AT383" s="8"/>
      <c r="AU383" s="8"/>
      <c r="AV383" s="8"/>
      <c r="AW383" s="8"/>
      <c r="AX383" s="8"/>
      <c r="AY383" s="8"/>
      <c r="AZ383" s="8"/>
    </row>
    <row r="384" spans="1:52">
      <c r="A384" s="5" t="s">
        <v>665</v>
      </c>
      <c r="B384" s="5">
        <v>1348</v>
      </c>
      <c r="C384" s="19">
        <v>38</v>
      </c>
      <c r="E384" s="14"/>
      <c r="F384" s="11"/>
      <c r="G384" s="11"/>
      <c r="H384" s="11"/>
      <c r="I384" s="11"/>
      <c r="J384" s="25"/>
      <c r="K384" s="11"/>
      <c r="L384" s="11"/>
      <c r="M384" s="19">
        <v>0</v>
      </c>
      <c r="O384" s="6"/>
      <c r="P384" s="16">
        <v>0</v>
      </c>
      <c r="Q384" s="16">
        <v>0</v>
      </c>
      <c r="R384" s="22"/>
      <c r="S384" s="22">
        <f t="shared" si="10"/>
        <v>0</v>
      </c>
      <c r="T384" s="5">
        <v>1108</v>
      </c>
      <c r="U384" s="5">
        <v>767</v>
      </c>
      <c r="Y384" s="8"/>
      <c r="Z384" s="8"/>
      <c r="AA384" s="8"/>
      <c r="AB384" s="8"/>
      <c r="AC384" s="8"/>
      <c r="AD384" s="8"/>
      <c r="AE384" s="25"/>
      <c r="AF384" s="11"/>
      <c r="AG384" s="25"/>
      <c r="AH384" s="11"/>
      <c r="AI384" s="11">
        <v>15</v>
      </c>
      <c r="AJ384" s="19">
        <v>0</v>
      </c>
      <c r="AK384" s="12">
        <f>(AJ384+AI384)/30*7</f>
        <v>3.5</v>
      </c>
      <c r="AL384" s="6">
        <f>IF(AK384-C384&lt;0,0,AK384-C384)</f>
        <v>0</v>
      </c>
      <c r="AM384" s="6">
        <f>IF(AL384-R384-S384&lt;0,0,AL384-R384-S384)</f>
        <v>0</v>
      </c>
      <c r="AN384" s="5" t="str">
        <f t="shared" si="11"/>
        <v/>
      </c>
      <c r="AO384" s="5">
        <v>0</v>
      </c>
      <c r="AP384" s="9"/>
      <c r="AQ384" s="5" t="s">
        <v>1210</v>
      </c>
      <c r="AR384" s="5" t="s">
        <v>1210</v>
      </c>
      <c r="AS384" s="8"/>
      <c r="AT384" s="8"/>
      <c r="AU384" s="8"/>
      <c r="AV384" s="8"/>
      <c r="AW384" s="8"/>
      <c r="AX384" s="8"/>
      <c r="AY384" s="8"/>
      <c r="AZ384" s="8"/>
    </row>
    <row r="385" spans="1:52">
      <c r="A385" s="5" t="s">
        <v>716</v>
      </c>
      <c r="B385" s="5" t="s">
        <v>1167</v>
      </c>
      <c r="C385" s="19">
        <v>38</v>
      </c>
      <c r="E385" s="14"/>
      <c r="F385" s="11"/>
      <c r="G385" s="11"/>
      <c r="H385" s="11"/>
      <c r="I385" s="11"/>
      <c r="J385" s="25"/>
      <c r="K385" s="11"/>
      <c r="L385" s="11"/>
      <c r="M385" s="19">
        <v>0</v>
      </c>
      <c r="O385" s="6"/>
      <c r="P385" s="16">
        <v>0</v>
      </c>
      <c r="Q385" s="16">
        <v>0</v>
      </c>
      <c r="R385" s="22"/>
      <c r="S385" s="22">
        <f t="shared" si="10"/>
        <v>0</v>
      </c>
      <c r="T385" s="5">
        <v>768</v>
      </c>
      <c r="U385" s="5">
        <v>397</v>
      </c>
      <c r="Y385" s="8"/>
      <c r="Z385" s="8"/>
      <c r="AA385" s="8"/>
      <c r="AB385" s="8"/>
      <c r="AC385" s="8"/>
      <c r="AD385" s="8"/>
      <c r="AE385" s="25"/>
      <c r="AF385" s="11"/>
      <c r="AG385" s="25"/>
      <c r="AH385" s="11"/>
      <c r="AI385" s="11">
        <v>15</v>
      </c>
      <c r="AJ385" s="19">
        <v>0</v>
      </c>
      <c r="AK385" s="12">
        <f>(AJ385+AI385)/30*7</f>
        <v>3.5</v>
      </c>
      <c r="AL385" s="6">
        <f>IF(AK385-C385&lt;0,0,AK385-C385)</f>
        <v>0</v>
      </c>
      <c r="AM385" s="6">
        <f>IF(AL385-R385-S385&lt;0,0,AL385-R385-S385)</f>
        <v>0</v>
      </c>
      <c r="AN385" s="5" t="str">
        <f t="shared" si="11"/>
        <v/>
      </c>
      <c r="AO385" s="5">
        <v>0</v>
      </c>
      <c r="AP385" s="9"/>
      <c r="AQ385" s="5" t="s">
        <v>1210</v>
      </c>
      <c r="AR385" s="5" t="s">
        <v>1210</v>
      </c>
      <c r="AS385" s="8"/>
      <c r="AT385" s="8"/>
      <c r="AU385" s="8"/>
      <c r="AV385" s="8"/>
      <c r="AW385" s="8"/>
      <c r="AX385" s="8"/>
      <c r="AY385" s="8"/>
      <c r="AZ385" s="8"/>
    </row>
    <row r="386" spans="1:52">
      <c r="A386" s="5" t="s">
        <v>862</v>
      </c>
      <c r="B386" s="5">
        <v>195</v>
      </c>
      <c r="C386" s="19">
        <v>18</v>
      </c>
      <c r="E386" s="14"/>
      <c r="F386" s="11"/>
      <c r="G386" s="11"/>
      <c r="H386" s="11"/>
      <c r="I386" s="11"/>
      <c r="J386" s="25"/>
      <c r="K386" s="11"/>
      <c r="L386" s="11"/>
      <c r="M386" s="19">
        <v>0</v>
      </c>
      <c r="O386" s="6"/>
      <c r="P386" s="16">
        <v>0</v>
      </c>
      <c r="Q386" s="16">
        <v>0</v>
      </c>
      <c r="R386" s="22"/>
      <c r="S386" s="22">
        <f t="shared" si="10"/>
        <v>0</v>
      </c>
      <c r="T386" s="5" t="s">
        <v>1210</v>
      </c>
      <c r="U386" s="5" t="s">
        <v>1210</v>
      </c>
      <c r="Y386" s="8"/>
      <c r="Z386" s="8"/>
      <c r="AA386" s="8"/>
      <c r="AB386" s="8"/>
      <c r="AC386" s="8"/>
      <c r="AD386" s="8"/>
      <c r="AE386" s="25"/>
      <c r="AF386" s="11"/>
      <c r="AG386" s="25"/>
      <c r="AH386" s="11"/>
      <c r="AI386" s="11">
        <v>14</v>
      </c>
      <c r="AJ386" s="19">
        <v>0</v>
      </c>
      <c r="AK386" s="12">
        <f>(AJ386+AI386)/30*7</f>
        <v>3.2666666666666666</v>
      </c>
      <c r="AL386" s="6">
        <f>IF(AK386-C386&lt;0,0,AK386-C386)</f>
        <v>0</v>
      </c>
      <c r="AM386" s="6">
        <f>IF(AL386-R386-S386&lt;0,0,AL386-R386-S386)</f>
        <v>0</v>
      </c>
      <c r="AN386" s="5" t="str">
        <f t="shared" si="11"/>
        <v/>
      </c>
      <c r="AO386" s="5">
        <v>0</v>
      </c>
      <c r="AP386" s="9"/>
      <c r="AQ386" s="5" t="s">
        <v>1210</v>
      </c>
      <c r="AR386" s="5" t="s">
        <v>1210</v>
      </c>
      <c r="AS386" s="8"/>
      <c r="AT386" s="8"/>
      <c r="AU386" s="8"/>
      <c r="AV386" s="8"/>
      <c r="AW386" s="8"/>
      <c r="AX386" s="8"/>
      <c r="AY386" s="8"/>
      <c r="AZ386" s="8"/>
    </row>
    <row r="387" spans="1:52">
      <c r="A387" s="5" t="s">
        <v>755</v>
      </c>
      <c r="B387" s="5">
        <v>589</v>
      </c>
      <c r="C387" s="19">
        <v>17</v>
      </c>
      <c r="E387" s="14"/>
      <c r="F387" s="11"/>
      <c r="G387" s="11"/>
      <c r="H387" s="11"/>
      <c r="I387" s="11"/>
      <c r="J387" s="25"/>
      <c r="K387" s="11"/>
      <c r="L387" s="11"/>
      <c r="M387" s="19">
        <v>0</v>
      </c>
      <c r="O387" s="6"/>
      <c r="P387" s="16">
        <v>0</v>
      </c>
      <c r="Q387" s="16">
        <v>0</v>
      </c>
      <c r="R387" s="22"/>
      <c r="S387" s="22">
        <f t="shared" si="10"/>
        <v>0</v>
      </c>
      <c r="T387" s="5">
        <v>389</v>
      </c>
      <c r="U387" s="5">
        <v>19</v>
      </c>
      <c r="Y387" s="8"/>
      <c r="Z387" s="8"/>
      <c r="AA387" s="8"/>
      <c r="AB387" s="8"/>
      <c r="AC387" s="8"/>
      <c r="AD387" s="8"/>
      <c r="AE387" s="25"/>
      <c r="AF387" s="11"/>
      <c r="AG387" s="25"/>
      <c r="AH387" s="11"/>
      <c r="AI387" s="11">
        <v>14</v>
      </c>
      <c r="AJ387" s="19">
        <v>0</v>
      </c>
      <c r="AK387" s="12">
        <f>(AJ387+AI387)/30*7</f>
        <v>3.2666666666666666</v>
      </c>
      <c r="AL387" s="6">
        <f>IF(AK387-C387&lt;0,0,AK387-C387)</f>
        <v>0</v>
      </c>
      <c r="AM387" s="6">
        <f>IF(AL387-R387-S387&lt;0,0,AL387-R387-S387)</f>
        <v>0</v>
      </c>
      <c r="AN387" s="5" t="str">
        <f t="shared" si="11"/>
        <v/>
      </c>
      <c r="AO387" s="5">
        <v>0</v>
      </c>
      <c r="AP387" s="9"/>
      <c r="AQ387" s="5" t="s">
        <v>1210</v>
      </c>
      <c r="AR387" s="5" t="s">
        <v>1210</v>
      </c>
      <c r="AS387" s="8"/>
      <c r="AT387" s="8"/>
      <c r="AU387" s="8"/>
      <c r="AV387" s="8"/>
      <c r="AW387" s="8"/>
      <c r="AX387" s="8"/>
      <c r="AY387" s="8"/>
      <c r="AZ387" s="8"/>
    </row>
    <row r="388" spans="1:52">
      <c r="A388" s="5" t="s">
        <v>778</v>
      </c>
      <c r="B388" s="5">
        <v>633</v>
      </c>
      <c r="C388" s="19">
        <v>31</v>
      </c>
      <c r="E388" s="14"/>
      <c r="F388" s="11"/>
      <c r="G388" s="11"/>
      <c r="H388" s="11"/>
      <c r="I388" s="11"/>
      <c r="J388" s="25"/>
      <c r="K388" s="11"/>
      <c r="L388" s="11"/>
      <c r="M388" s="19">
        <v>0</v>
      </c>
      <c r="O388" s="6"/>
      <c r="P388" s="16">
        <v>0</v>
      </c>
      <c r="Q388" s="16">
        <v>0</v>
      </c>
      <c r="R388" s="22"/>
      <c r="S388" s="22">
        <f t="shared" ref="S388:S451" si="12">IF(AL388&gt;0,IF(Q388&gt;=AL388,ROUND(AL388,0),Q388),0)</f>
        <v>0</v>
      </c>
      <c r="T388" s="5" t="s">
        <v>1210</v>
      </c>
      <c r="U388" s="5" t="s">
        <v>1210</v>
      </c>
      <c r="Y388" s="8"/>
      <c r="Z388" s="8"/>
      <c r="AA388" s="8"/>
      <c r="AB388" s="8"/>
      <c r="AC388" s="8"/>
      <c r="AD388" s="8"/>
      <c r="AE388" s="25"/>
      <c r="AF388" s="11"/>
      <c r="AG388" s="25"/>
      <c r="AH388" s="11"/>
      <c r="AI388" s="11">
        <v>14</v>
      </c>
      <c r="AJ388" s="19">
        <v>0</v>
      </c>
      <c r="AK388" s="12">
        <f>(AJ388+AI388)/30*7</f>
        <v>3.2666666666666666</v>
      </c>
      <c r="AL388" s="6">
        <f>IF(AK388-C388&lt;0,0,AK388-C388)</f>
        <v>0</v>
      </c>
      <c r="AM388" s="6">
        <f>IF(AL388-R388-S388&lt;0,0,AL388-R388-S388)</f>
        <v>0</v>
      </c>
      <c r="AN388" s="5" t="str">
        <f t="shared" ref="AN388:AN451" si="13">IF(AM388&gt;0,IF(LEN(U388)=0,IF(ROUND(AM388-AO388,0)&gt;0,ROUND(AM388-AO388,0),""),IF(U388+AO388&gt;=AM388,"",ROUND(AM388-U388-AO388,0))),"")</f>
        <v/>
      </c>
      <c r="AO388" s="5">
        <v>0</v>
      </c>
      <c r="AP388" s="9"/>
      <c r="AQ388" s="5" t="s">
        <v>1210</v>
      </c>
      <c r="AR388" s="5" t="s">
        <v>1210</v>
      </c>
      <c r="AS388" s="8"/>
      <c r="AT388" s="8"/>
      <c r="AU388" s="8"/>
      <c r="AV388" s="8"/>
      <c r="AW388" s="8"/>
      <c r="AX388" s="8"/>
      <c r="AY388" s="8"/>
      <c r="AZ388" s="8"/>
    </row>
    <row r="389" spans="1:52">
      <c r="A389" s="5" t="s">
        <v>1132</v>
      </c>
      <c r="B389" s="5">
        <v>1349</v>
      </c>
      <c r="C389" s="19">
        <v>20</v>
      </c>
      <c r="E389" s="14"/>
      <c r="F389" s="11"/>
      <c r="G389" s="11"/>
      <c r="H389" s="11"/>
      <c r="I389" s="11"/>
      <c r="J389" s="25"/>
      <c r="K389" s="11"/>
      <c r="L389" s="11"/>
      <c r="M389" s="19">
        <v>0</v>
      </c>
      <c r="O389" s="6"/>
      <c r="P389" s="16">
        <v>0</v>
      </c>
      <c r="Q389" s="16">
        <v>0</v>
      </c>
      <c r="R389" s="22"/>
      <c r="S389" s="22">
        <f t="shared" si="12"/>
        <v>0</v>
      </c>
      <c r="T389" s="5" t="s">
        <v>1210</v>
      </c>
      <c r="U389" s="5" t="s">
        <v>1210</v>
      </c>
      <c r="Y389" s="8"/>
      <c r="Z389" s="8"/>
      <c r="AA389" s="8"/>
      <c r="AB389" s="8"/>
      <c r="AC389" s="8"/>
      <c r="AD389" s="8"/>
      <c r="AE389" s="25"/>
      <c r="AF389" s="11"/>
      <c r="AG389" s="25"/>
      <c r="AH389" s="11"/>
      <c r="AI389" s="11">
        <v>14</v>
      </c>
      <c r="AJ389" s="19">
        <v>0</v>
      </c>
      <c r="AK389" s="12">
        <f>(AJ389+AI389)/30*7</f>
        <v>3.2666666666666666</v>
      </c>
      <c r="AL389" s="6">
        <f>IF(AK389-C389&lt;0,0,AK389-C389)</f>
        <v>0</v>
      </c>
      <c r="AM389" s="6">
        <f>IF(AL389-R389-S389&lt;0,0,AL389-R389-S389)</f>
        <v>0</v>
      </c>
      <c r="AN389" s="5" t="str">
        <f t="shared" si="13"/>
        <v/>
      </c>
      <c r="AO389" s="5">
        <v>0</v>
      </c>
      <c r="AP389" s="9"/>
      <c r="AQ389" s="5" t="s">
        <v>1210</v>
      </c>
      <c r="AR389" s="5" t="s">
        <v>1210</v>
      </c>
      <c r="AS389" s="8"/>
      <c r="AT389" s="8"/>
      <c r="AU389" s="8"/>
      <c r="AV389" s="8"/>
      <c r="AW389" s="8"/>
      <c r="AX389" s="8"/>
      <c r="AY389" s="8"/>
      <c r="AZ389" s="8"/>
    </row>
    <row r="390" spans="1:52">
      <c r="A390" s="5" t="s">
        <v>1060</v>
      </c>
      <c r="B390" s="5">
        <v>1424</v>
      </c>
      <c r="C390" s="19">
        <v>21</v>
      </c>
      <c r="E390" s="14"/>
      <c r="F390" s="11"/>
      <c r="G390" s="11"/>
      <c r="H390" s="11"/>
      <c r="I390" s="11"/>
      <c r="J390" s="25"/>
      <c r="K390" s="11"/>
      <c r="L390" s="11"/>
      <c r="M390" s="19">
        <v>0</v>
      </c>
      <c r="O390" s="6"/>
      <c r="P390" s="16">
        <v>0</v>
      </c>
      <c r="Q390" s="16">
        <v>0</v>
      </c>
      <c r="R390" s="22"/>
      <c r="S390" s="22">
        <f t="shared" si="12"/>
        <v>0</v>
      </c>
      <c r="T390" s="5">
        <v>986</v>
      </c>
      <c r="U390" s="5">
        <v>927</v>
      </c>
      <c r="Y390" s="8"/>
      <c r="Z390" s="8"/>
      <c r="AA390" s="8"/>
      <c r="AB390" s="8"/>
      <c r="AC390" s="8"/>
      <c r="AD390" s="8"/>
      <c r="AE390" s="25"/>
      <c r="AF390" s="11"/>
      <c r="AG390" s="25"/>
      <c r="AH390" s="11"/>
      <c r="AI390" s="11">
        <v>14</v>
      </c>
      <c r="AJ390" s="19">
        <v>0</v>
      </c>
      <c r="AK390" s="12">
        <f>(AJ390+AI390)/30*7</f>
        <v>3.2666666666666666</v>
      </c>
      <c r="AL390" s="6">
        <f>IF(AK390-C390&lt;0,0,AK390-C390)</f>
        <v>0</v>
      </c>
      <c r="AM390" s="6">
        <f>IF(AL390-R390-S390&lt;0,0,AL390-R390-S390)</f>
        <v>0</v>
      </c>
      <c r="AN390" s="5" t="str">
        <f t="shared" si="13"/>
        <v/>
      </c>
      <c r="AO390" s="5">
        <v>0</v>
      </c>
      <c r="AP390" s="9"/>
      <c r="AQ390" s="5" t="s">
        <v>1210</v>
      </c>
      <c r="AR390" s="5" t="s">
        <v>1210</v>
      </c>
      <c r="AS390" s="8"/>
      <c r="AT390" s="8"/>
      <c r="AU390" s="8"/>
      <c r="AV390" s="8"/>
      <c r="AW390" s="8"/>
      <c r="AX390" s="8"/>
      <c r="AY390" s="8"/>
      <c r="AZ390" s="8"/>
    </row>
    <row r="391" spans="1:52">
      <c r="A391" s="5" t="s">
        <v>1020</v>
      </c>
      <c r="B391" s="5">
        <v>1283</v>
      </c>
      <c r="C391" s="19">
        <v>27</v>
      </c>
      <c r="E391" s="14"/>
      <c r="F391" s="11"/>
      <c r="G391" s="11"/>
      <c r="H391" s="11"/>
      <c r="I391" s="11"/>
      <c r="J391" s="25"/>
      <c r="K391" s="11"/>
      <c r="L391" s="11"/>
      <c r="M391" s="19">
        <v>0</v>
      </c>
      <c r="O391" s="6"/>
      <c r="P391" s="16">
        <v>0</v>
      </c>
      <c r="Q391" s="16">
        <v>0</v>
      </c>
      <c r="R391" s="22"/>
      <c r="S391" s="22">
        <f t="shared" si="12"/>
        <v>0</v>
      </c>
      <c r="T391" s="5" t="s">
        <v>1210</v>
      </c>
      <c r="U391" s="5" t="s">
        <v>1210</v>
      </c>
      <c r="Y391" s="8"/>
      <c r="Z391" s="8"/>
      <c r="AA391" s="8"/>
      <c r="AB391" s="8"/>
      <c r="AC391" s="8"/>
      <c r="AD391" s="8"/>
      <c r="AE391" s="25"/>
      <c r="AF391" s="11"/>
      <c r="AG391" s="25"/>
      <c r="AH391" s="11"/>
      <c r="AI391" s="11">
        <v>13</v>
      </c>
      <c r="AJ391" s="19">
        <v>0</v>
      </c>
      <c r="AK391" s="12">
        <f>(AJ391+AI391)/30*7</f>
        <v>3.0333333333333332</v>
      </c>
      <c r="AL391" s="6">
        <f>IF(AK391-C391&lt;0,0,AK391-C391)</f>
        <v>0</v>
      </c>
      <c r="AM391" s="6">
        <f>IF(AL391-R391-S391&lt;0,0,AL391-R391-S391)</f>
        <v>0</v>
      </c>
      <c r="AN391" s="5" t="str">
        <f t="shared" si="13"/>
        <v/>
      </c>
      <c r="AO391" s="5">
        <v>0</v>
      </c>
      <c r="AP391" s="9"/>
      <c r="AQ391" s="5" t="s">
        <v>1210</v>
      </c>
      <c r="AR391" s="5" t="s">
        <v>1210</v>
      </c>
      <c r="AS391" s="8"/>
      <c r="AT391" s="8"/>
      <c r="AU391" s="8"/>
      <c r="AV391" s="8"/>
      <c r="AW391" s="8"/>
      <c r="AX391" s="8"/>
      <c r="AY391" s="8"/>
      <c r="AZ391" s="8"/>
    </row>
    <row r="392" spans="1:52">
      <c r="A392" s="5" t="s">
        <v>598</v>
      </c>
      <c r="B392" s="5">
        <v>364</v>
      </c>
      <c r="C392" s="19">
        <v>36</v>
      </c>
      <c r="E392" s="14"/>
      <c r="F392" s="11"/>
      <c r="G392" s="11"/>
      <c r="H392" s="11"/>
      <c r="I392" s="11"/>
      <c r="J392" s="25"/>
      <c r="K392" s="11"/>
      <c r="L392" s="11"/>
      <c r="M392" s="19">
        <v>0</v>
      </c>
      <c r="O392" s="6"/>
      <c r="P392" s="16">
        <v>0</v>
      </c>
      <c r="Q392" s="16">
        <v>0</v>
      </c>
      <c r="R392" s="22"/>
      <c r="S392" s="22">
        <f t="shared" si="12"/>
        <v>0</v>
      </c>
      <c r="T392" s="5">
        <v>374</v>
      </c>
      <c r="U392" s="5">
        <v>435</v>
      </c>
      <c r="Y392" s="8"/>
      <c r="Z392" s="8"/>
      <c r="AA392" s="8"/>
      <c r="AB392" s="8"/>
      <c r="AC392" s="8"/>
      <c r="AD392" s="8"/>
      <c r="AE392" s="25"/>
      <c r="AF392" s="11"/>
      <c r="AG392" s="25"/>
      <c r="AH392" s="11"/>
      <c r="AI392" s="11">
        <v>13</v>
      </c>
      <c r="AJ392" s="19">
        <v>0</v>
      </c>
      <c r="AK392" s="12">
        <f>(AJ392+AI392)/30*7</f>
        <v>3.0333333333333332</v>
      </c>
      <c r="AL392" s="6">
        <f>IF(AK392-C392&lt;0,0,AK392-C392)</f>
        <v>0</v>
      </c>
      <c r="AM392" s="6">
        <f>IF(AL392-R392-S392&lt;0,0,AL392-R392-S392)</f>
        <v>0</v>
      </c>
      <c r="AN392" s="5" t="str">
        <f t="shared" si="13"/>
        <v/>
      </c>
      <c r="AO392" s="5">
        <v>0</v>
      </c>
      <c r="AP392" s="9"/>
      <c r="AQ392" s="5" t="s">
        <v>1210</v>
      </c>
      <c r="AR392" s="5" t="s">
        <v>1210</v>
      </c>
      <c r="AS392" s="8"/>
      <c r="AT392" s="8"/>
      <c r="AU392" s="8"/>
      <c r="AV392" s="8"/>
      <c r="AW392" s="8"/>
      <c r="AX392" s="8"/>
      <c r="AY392" s="8"/>
      <c r="AZ392" s="8"/>
    </row>
    <row r="393" spans="1:52">
      <c r="A393" s="5" t="s">
        <v>693</v>
      </c>
      <c r="B393" s="5">
        <v>849</v>
      </c>
      <c r="C393" s="19">
        <v>34</v>
      </c>
      <c r="E393" s="14"/>
      <c r="F393" s="11"/>
      <c r="G393" s="11"/>
      <c r="H393" s="11"/>
      <c r="I393" s="11"/>
      <c r="J393" s="25"/>
      <c r="K393" s="11"/>
      <c r="L393" s="11"/>
      <c r="M393" s="19">
        <v>0</v>
      </c>
      <c r="O393" s="6"/>
      <c r="P393" s="16">
        <v>0</v>
      </c>
      <c r="Q393" s="16">
        <v>0</v>
      </c>
      <c r="R393" s="22"/>
      <c r="S393" s="22">
        <f t="shared" si="12"/>
        <v>0</v>
      </c>
      <c r="T393" s="5">
        <v>805</v>
      </c>
      <c r="U393" s="5">
        <v>635</v>
      </c>
      <c r="Y393" s="8"/>
      <c r="Z393" s="8"/>
      <c r="AA393" s="8"/>
      <c r="AB393" s="8"/>
      <c r="AC393" s="8"/>
      <c r="AD393" s="8"/>
      <c r="AE393" s="25"/>
      <c r="AF393" s="11"/>
      <c r="AG393" s="25"/>
      <c r="AH393" s="11"/>
      <c r="AI393" s="11">
        <v>13</v>
      </c>
      <c r="AJ393" s="19">
        <v>0</v>
      </c>
      <c r="AK393" s="12">
        <f>(AJ393+AI393)/30*7</f>
        <v>3.0333333333333332</v>
      </c>
      <c r="AL393" s="6">
        <f>IF(AK393-C393&lt;0,0,AK393-C393)</f>
        <v>0</v>
      </c>
      <c r="AM393" s="6">
        <f>IF(AL393-R393-S393&lt;0,0,AL393-R393-S393)</f>
        <v>0</v>
      </c>
      <c r="AN393" s="5" t="str">
        <f t="shared" si="13"/>
        <v/>
      </c>
      <c r="AO393" s="5">
        <v>0</v>
      </c>
      <c r="AP393" s="9"/>
      <c r="AQ393" s="5" t="s">
        <v>1210</v>
      </c>
      <c r="AR393" s="5" t="s">
        <v>1210</v>
      </c>
      <c r="AS393" s="8"/>
      <c r="AT393" s="8"/>
      <c r="AU393" s="8"/>
      <c r="AV393" s="8"/>
      <c r="AW393" s="8"/>
      <c r="AX393" s="8"/>
      <c r="AY393" s="8"/>
      <c r="AZ393" s="8"/>
    </row>
    <row r="394" spans="1:52">
      <c r="A394" s="5" t="s">
        <v>1008</v>
      </c>
      <c r="B394" s="5">
        <v>967</v>
      </c>
      <c r="C394" s="19">
        <v>38</v>
      </c>
      <c r="E394" s="14"/>
      <c r="F394" s="11"/>
      <c r="G394" s="11"/>
      <c r="H394" s="11"/>
      <c r="I394" s="11"/>
      <c r="J394" s="25"/>
      <c r="K394" s="11"/>
      <c r="L394" s="11"/>
      <c r="M394" s="19">
        <v>0</v>
      </c>
      <c r="O394" s="6"/>
      <c r="P394" s="16">
        <v>0</v>
      </c>
      <c r="Q394" s="16">
        <v>0</v>
      </c>
      <c r="R394" s="22"/>
      <c r="S394" s="22">
        <f t="shared" si="12"/>
        <v>0</v>
      </c>
      <c r="T394" s="5">
        <v>898</v>
      </c>
      <c r="U394" s="5">
        <v>744</v>
      </c>
      <c r="Y394" s="8"/>
      <c r="Z394" s="8"/>
      <c r="AA394" s="8"/>
      <c r="AB394" s="8"/>
      <c r="AC394" s="8"/>
      <c r="AD394" s="8"/>
      <c r="AE394" s="25"/>
      <c r="AF394" s="11"/>
      <c r="AG394" s="25"/>
      <c r="AH394" s="11"/>
      <c r="AI394" s="11">
        <v>13</v>
      </c>
      <c r="AJ394" s="19">
        <v>0</v>
      </c>
      <c r="AK394" s="12">
        <f>(AJ394+AI394)/30*7</f>
        <v>3.0333333333333332</v>
      </c>
      <c r="AL394" s="6">
        <f>IF(AK394-C394&lt;0,0,AK394-C394)</f>
        <v>0</v>
      </c>
      <c r="AM394" s="6">
        <f>IF(AL394-R394-S394&lt;0,0,AL394-R394-S394)</f>
        <v>0</v>
      </c>
      <c r="AN394" s="5" t="str">
        <f t="shared" si="13"/>
        <v/>
      </c>
      <c r="AO394" s="5">
        <v>0</v>
      </c>
      <c r="AP394" s="9"/>
      <c r="AQ394" s="5" t="s">
        <v>1210</v>
      </c>
      <c r="AR394" s="5" t="s">
        <v>1210</v>
      </c>
      <c r="AS394" s="8"/>
      <c r="AT394" s="8"/>
      <c r="AU394" s="8"/>
      <c r="AV394" s="8"/>
      <c r="AW394" s="8"/>
      <c r="AX394" s="8"/>
      <c r="AY394" s="8"/>
      <c r="AZ394" s="8"/>
    </row>
    <row r="395" spans="1:52">
      <c r="A395" s="5" t="s">
        <v>686</v>
      </c>
      <c r="B395" s="5">
        <v>1257</v>
      </c>
      <c r="C395" s="19">
        <v>19</v>
      </c>
      <c r="E395" s="14"/>
      <c r="F395" s="11"/>
      <c r="G395" s="11"/>
      <c r="H395" s="11"/>
      <c r="I395" s="11"/>
      <c r="J395" s="25"/>
      <c r="K395" s="11"/>
      <c r="L395" s="11"/>
      <c r="M395" s="19">
        <v>0</v>
      </c>
      <c r="O395" s="6"/>
      <c r="P395" s="16">
        <v>0</v>
      </c>
      <c r="Q395" s="16">
        <v>0</v>
      </c>
      <c r="R395" s="22"/>
      <c r="S395" s="22">
        <f t="shared" si="12"/>
        <v>0</v>
      </c>
      <c r="T395" s="5" t="s">
        <v>1210</v>
      </c>
      <c r="U395" s="5" t="s">
        <v>1210</v>
      </c>
      <c r="Y395" s="8"/>
      <c r="Z395" s="8"/>
      <c r="AA395" s="8"/>
      <c r="AB395" s="8"/>
      <c r="AC395" s="8"/>
      <c r="AD395" s="8"/>
      <c r="AE395" s="25"/>
      <c r="AF395" s="11"/>
      <c r="AG395" s="25"/>
      <c r="AH395" s="11"/>
      <c r="AI395" s="11">
        <v>12</v>
      </c>
      <c r="AJ395" s="19">
        <v>0</v>
      </c>
      <c r="AK395" s="12">
        <f>(AJ395+AI395)/30*7</f>
        <v>2.8000000000000003</v>
      </c>
      <c r="AL395" s="6">
        <f>IF(AK395-C395&lt;0,0,AK395-C395)</f>
        <v>0</v>
      </c>
      <c r="AM395" s="6">
        <f>IF(AL395-R395-S395&lt;0,0,AL395-R395-S395)</f>
        <v>0</v>
      </c>
      <c r="AN395" s="5" t="str">
        <f t="shared" si="13"/>
        <v/>
      </c>
      <c r="AO395" s="5">
        <v>0</v>
      </c>
      <c r="AP395" s="9"/>
      <c r="AQ395" s="5" t="s">
        <v>1210</v>
      </c>
      <c r="AR395" s="5" t="s">
        <v>1210</v>
      </c>
      <c r="AS395" s="8"/>
      <c r="AT395" s="8"/>
      <c r="AU395" s="8"/>
      <c r="AV395" s="8"/>
      <c r="AW395" s="8"/>
      <c r="AX395" s="8"/>
      <c r="AY395" s="8"/>
      <c r="AZ395" s="8"/>
    </row>
    <row r="396" spans="1:52">
      <c r="A396" s="5" t="s">
        <v>843</v>
      </c>
      <c r="B396" s="5">
        <v>624</v>
      </c>
      <c r="C396" s="19">
        <v>16</v>
      </c>
      <c r="E396" s="14"/>
      <c r="F396" s="11"/>
      <c r="G396" s="11"/>
      <c r="H396" s="11"/>
      <c r="I396" s="11"/>
      <c r="J396" s="25"/>
      <c r="K396" s="11"/>
      <c r="L396" s="11"/>
      <c r="M396" s="19">
        <v>0</v>
      </c>
      <c r="O396" s="6"/>
      <c r="P396" s="16">
        <v>0</v>
      </c>
      <c r="Q396" s="16">
        <v>0</v>
      </c>
      <c r="R396" s="22"/>
      <c r="S396" s="22">
        <f t="shared" si="12"/>
        <v>0</v>
      </c>
      <c r="T396" s="5" t="s">
        <v>1210</v>
      </c>
      <c r="U396" s="5" t="s">
        <v>1210</v>
      </c>
      <c r="Y396" s="8"/>
      <c r="Z396" s="8"/>
      <c r="AA396" s="8"/>
      <c r="AB396" s="8"/>
      <c r="AC396" s="8"/>
      <c r="AD396" s="8"/>
      <c r="AE396" s="25"/>
      <c r="AF396" s="11"/>
      <c r="AG396" s="25"/>
      <c r="AH396" s="11"/>
      <c r="AI396" s="11">
        <v>12</v>
      </c>
      <c r="AJ396" s="19">
        <v>0</v>
      </c>
      <c r="AK396" s="12">
        <f>(AJ396+AI396)/30*7</f>
        <v>2.8000000000000003</v>
      </c>
      <c r="AL396" s="6">
        <f>IF(AK396-C396&lt;0,0,AK396-C396)</f>
        <v>0</v>
      </c>
      <c r="AM396" s="6">
        <f>IF(AL396-R396-S396&lt;0,0,AL396-R396-S396)</f>
        <v>0</v>
      </c>
      <c r="AN396" s="5" t="str">
        <f t="shared" si="13"/>
        <v/>
      </c>
      <c r="AO396" s="5">
        <v>0</v>
      </c>
      <c r="AP396" s="9"/>
      <c r="AQ396" s="5" t="s">
        <v>1210</v>
      </c>
      <c r="AR396" s="5" t="s">
        <v>1210</v>
      </c>
      <c r="AS396" s="8"/>
      <c r="AT396" s="8"/>
      <c r="AU396" s="8"/>
      <c r="AV396" s="8"/>
      <c r="AW396" s="8"/>
      <c r="AX396" s="8"/>
      <c r="AY396" s="8"/>
      <c r="AZ396" s="8"/>
    </row>
    <row r="397" spans="1:52">
      <c r="A397" s="5" t="s">
        <v>954</v>
      </c>
      <c r="B397" s="5">
        <v>1288</v>
      </c>
      <c r="C397" s="19">
        <v>34</v>
      </c>
      <c r="E397" s="14"/>
      <c r="F397" s="11"/>
      <c r="G397" s="11"/>
      <c r="H397" s="11"/>
      <c r="I397" s="11"/>
      <c r="J397" s="25"/>
      <c r="K397" s="11"/>
      <c r="L397" s="11"/>
      <c r="M397" s="19">
        <v>0</v>
      </c>
      <c r="O397" s="6"/>
      <c r="P397" s="16">
        <v>0</v>
      </c>
      <c r="Q397" s="16">
        <v>0</v>
      </c>
      <c r="R397" s="22"/>
      <c r="S397" s="22">
        <f t="shared" si="12"/>
        <v>0</v>
      </c>
      <c r="T397" s="5">
        <v>905</v>
      </c>
      <c r="U397" s="5">
        <v>425</v>
      </c>
      <c r="Y397" s="8"/>
      <c r="Z397" s="8"/>
      <c r="AA397" s="8"/>
      <c r="AB397" s="8"/>
      <c r="AC397" s="8"/>
      <c r="AD397" s="8"/>
      <c r="AE397" s="25"/>
      <c r="AF397" s="11"/>
      <c r="AG397" s="25"/>
      <c r="AH397" s="11"/>
      <c r="AI397" s="11">
        <v>12</v>
      </c>
      <c r="AJ397" s="19">
        <v>0</v>
      </c>
      <c r="AK397" s="12">
        <f>(AJ397+AI397)/30*7</f>
        <v>2.8000000000000003</v>
      </c>
      <c r="AL397" s="6">
        <f>IF(AK397-C397&lt;0,0,AK397-C397)</f>
        <v>0</v>
      </c>
      <c r="AM397" s="6">
        <f>IF(AL397-R397-S397&lt;0,0,AL397-R397-S397)</f>
        <v>0</v>
      </c>
      <c r="AN397" s="5" t="str">
        <f t="shared" si="13"/>
        <v/>
      </c>
      <c r="AO397" s="5">
        <v>0</v>
      </c>
      <c r="AP397" s="9"/>
      <c r="AQ397" s="5" t="s">
        <v>1210</v>
      </c>
      <c r="AR397" s="5" t="s">
        <v>1210</v>
      </c>
      <c r="AS397" s="8"/>
      <c r="AT397" s="8"/>
      <c r="AU397" s="8"/>
      <c r="AV397" s="8"/>
      <c r="AW397" s="8"/>
      <c r="AX397" s="8"/>
      <c r="AY397" s="8"/>
      <c r="AZ397" s="8"/>
    </row>
    <row r="398" spans="1:52">
      <c r="A398" s="5" t="s">
        <v>1070</v>
      </c>
      <c r="B398" s="5">
        <v>1709</v>
      </c>
      <c r="C398" s="19">
        <v>18</v>
      </c>
      <c r="E398" s="14"/>
      <c r="F398" s="11"/>
      <c r="G398" s="11"/>
      <c r="H398" s="11"/>
      <c r="I398" s="11"/>
      <c r="J398" s="25"/>
      <c r="K398" s="11"/>
      <c r="L398" s="11"/>
      <c r="M398" s="19">
        <v>0</v>
      </c>
      <c r="O398" s="6"/>
      <c r="P398" s="16">
        <v>0</v>
      </c>
      <c r="Q398" s="16">
        <v>0</v>
      </c>
      <c r="R398" s="22"/>
      <c r="S398" s="22">
        <f t="shared" si="12"/>
        <v>0</v>
      </c>
      <c r="T398" s="5">
        <v>1843</v>
      </c>
      <c r="U398" s="5">
        <v>559</v>
      </c>
      <c r="Y398" s="8"/>
      <c r="Z398" s="8"/>
      <c r="AA398" s="8"/>
      <c r="AB398" s="8"/>
      <c r="AC398" s="8"/>
      <c r="AD398" s="8"/>
      <c r="AE398" s="25"/>
      <c r="AF398" s="11"/>
      <c r="AG398" s="25"/>
      <c r="AH398" s="11"/>
      <c r="AI398" s="11">
        <v>12</v>
      </c>
      <c r="AJ398" s="19">
        <v>0</v>
      </c>
      <c r="AK398" s="12">
        <f>(AJ398+AI398)/30*7</f>
        <v>2.8000000000000003</v>
      </c>
      <c r="AL398" s="6">
        <f>IF(AK398-C398&lt;0,0,AK398-C398)</f>
        <v>0</v>
      </c>
      <c r="AM398" s="6">
        <f>IF(AL398-R398-S398&lt;0,0,AL398-R398-S398)</f>
        <v>0</v>
      </c>
      <c r="AN398" s="5" t="str">
        <f t="shared" si="13"/>
        <v/>
      </c>
      <c r="AO398" s="5">
        <v>0</v>
      </c>
      <c r="AP398" s="9"/>
      <c r="AQ398" s="5" t="s">
        <v>1210</v>
      </c>
      <c r="AR398" s="5" t="s">
        <v>1210</v>
      </c>
      <c r="AS398" s="8"/>
      <c r="AT398" s="8"/>
      <c r="AU398" s="8"/>
      <c r="AV398" s="8"/>
      <c r="AW398" s="8"/>
      <c r="AX398" s="8"/>
      <c r="AY398" s="8"/>
      <c r="AZ398" s="8"/>
    </row>
    <row r="399" spans="1:52">
      <c r="A399" s="5" t="s">
        <v>1127</v>
      </c>
      <c r="B399" s="5">
        <v>417</v>
      </c>
      <c r="C399" s="19">
        <v>34</v>
      </c>
      <c r="E399" s="14"/>
      <c r="F399" s="11"/>
      <c r="G399" s="11"/>
      <c r="H399" s="11"/>
      <c r="I399" s="11"/>
      <c r="J399" s="25"/>
      <c r="K399" s="11"/>
      <c r="L399" s="11"/>
      <c r="M399" s="19">
        <v>0</v>
      </c>
      <c r="O399" s="6"/>
      <c r="P399" s="16">
        <v>0</v>
      </c>
      <c r="Q399" s="16">
        <v>0</v>
      </c>
      <c r="R399" s="22"/>
      <c r="S399" s="22">
        <f t="shared" si="12"/>
        <v>0</v>
      </c>
      <c r="T399" s="5" t="s">
        <v>1210</v>
      </c>
      <c r="U399" s="5" t="s">
        <v>1210</v>
      </c>
      <c r="Y399" s="8"/>
      <c r="Z399" s="8"/>
      <c r="AA399" s="8"/>
      <c r="AB399" s="8"/>
      <c r="AC399" s="8"/>
      <c r="AD399" s="8"/>
      <c r="AE399" s="25"/>
      <c r="AF399" s="11"/>
      <c r="AG399" s="25"/>
      <c r="AH399" s="11"/>
      <c r="AI399" s="11">
        <v>11</v>
      </c>
      <c r="AJ399" s="19">
        <v>0</v>
      </c>
      <c r="AK399" s="12">
        <f>(AJ399+AI399)/30*7</f>
        <v>2.5666666666666664</v>
      </c>
      <c r="AL399" s="6">
        <f>IF(AK399-C399&lt;0,0,AK399-C399)</f>
        <v>0</v>
      </c>
      <c r="AM399" s="6">
        <f>IF(AL399-R399-S399&lt;0,0,AL399-R399-S399)</f>
        <v>0</v>
      </c>
      <c r="AN399" s="5" t="str">
        <f t="shared" si="13"/>
        <v/>
      </c>
      <c r="AO399" s="5">
        <v>0</v>
      </c>
      <c r="AP399" s="9"/>
      <c r="AQ399" s="5" t="s">
        <v>1210</v>
      </c>
      <c r="AR399" s="5" t="s">
        <v>1210</v>
      </c>
      <c r="AS399" s="8"/>
      <c r="AT399" s="8"/>
      <c r="AU399" s="8"/>
      <c r="AV399" s="8"/>
      <c r="AW399" s="8"/>
      <c r="AX399" s="8"/>
      <c r="AY399" s="8"/>
      <c r="AZ399" s="8"/>
    </row>
    <row r="400" spans="1:52">
      <c r="A400" s="5" t="s">
        <v>735</v>
      </c>
      <c r="B400" s="5" t="s">
        <v>1168</v>
      </c>
      <c r="C400" s="19">
        <v>28</v>
      </c>
      <c r="E400" s="14"/>
      <c r="F400" s="11"/>
      <c r="G400" s="11"/>
      <c r="H400" s="11"/>
      <c r="I400" s="11"/>
      <c r="J400" s="25"/>
      <c r="K400" s="11"/>
      <c r="L400" s="11"/>
      <c r="M400" s="19">
        <v>0</v>
      </c>
      <c r="O400" s="6"/>
      <c r="P400" s="16">
        <v>0</v>
      </c>
      <c r="Q400" s="16">
        <v>0</v>
      </c>
      <c r="R400" s="22"/>
      <c r="S400" s="22">
        <f t="shared" si="12"/>
        <v>0</v>
      </c>
      <c r="T400" s="5" t="s">
        <v>1210</v>
      </c>
      <c r="U400" s="5" t="s">
        <v>1210</v>
      </c>
      <c r="Y400" s="8"/>
      <c r="Z400" s="8"/>
      <c r="AA400" s="8"/>
      <c r="AB400" s="8"/>
      <c r="AC400" s="8"/>
      <c r="AD400" s="8"/>
      <c r="AE400" s="25"/>
      <c r="AF400" s="11"/>
      <c r="AG400" s="25"/>
      <c r="AH400" s="11"/>
      <c r="AI400" s="11">
        <v>11</v>
      </c>
      <c r="AJ400" s="19">
        <v>0</v>
      </c>
      <c r="AK400" s="12">
        <f>(AJ400+AI400)/30*7</f>
        <v>2.5666666666666664</v>
      </c>
      <c r="AL400" s="6">
        <f>IF(AK400-C400&lt;0,0,AK400-C400)</f>
        <v>0</v>
      </c>
      <c r="AM400" s="6">
        <f>IF(AL400-R400-S400&lt;0,0,AL400-R400-S400)</f>
        <v>0</v>
      </c>
      <c r="AN400" s="5" t="str">
        <f t="shared" si="13"/>
        <v/>
      </c>
      <c r="AO400" s="5">
        <v>0</v>
      </c>
      <c r="AP400" s="9"/>
      <c r="AQ400" s="5" t="s">
        <v>1210</v>
      </c>
      <c r="AR400" s="5" t="s">
        <v>1210</v>
      </c>
      <c r="AS400" s="8"/>
      <c r="AT400" s="8"/>
      <c r="AU400" s="8"/>
      <c r="AV400" s="8"/>
      <c r="AW400" s="8"/>
      <c r="AX400" s="8"/>
      <c r="AY400" s="8"/>
      <c r="AZ400" s="8"/>
    </row>
    <row r="401" spans="1:52">
      <c r="A401" s="5" t="s">
        <v>1012</v>
      </c>
      <c r="B401" s="5">
        <v>789</v>
      </c>
      <c r="C401" s="19">
        <v>24</v>
      </c>
      <c r="E401" s="14"/>
      <c r="F401" s="11"/>
      <c r="G401" s="11"/>
      <c r="H401" s="11"/>
      <c r="I401" s="11"/>
      <c r="J401" s="25"/>
      <c r="K401" s="11"/>
      <c r="L401" s="11"/>
      <c r="M401" s="19">
        <v>0</v>
      </c>
      <c r="O401" s="6"/>
      <c r="P401" s="16">
        <v>0</v>
      </c>
      <c r="Q401" s="16">
        <v>0</v>
      </c>
      <c r="R401" s="22"/>
      <c r="S401" s="22">
        <f t="shared" si="12"/>
        <v>0</v>
      </c>
      <c r="T401" s="5">
        <v>369</v>
      </c>
      <c r="U401" s="5">
        <v>988</v>
      </c>
      <c r="Y401" s="8"/>
      <c r="Z401" s="8"/>
      <c r="AA401" s="8"/>
      <c r="AB401" s="8"/>
      <c r="AC401" s="8"/>
      <c r="AD401" s="8"/>
      <c r="AE401" s="25"/>
      <c r="AF401" s="11"/>
      <c r="AG401" s="25"/>
      <c r="AH401" s="11"/>
      <c r="AI401" s="11">
        <v>10</v>
      </c>
      <c r="AJ401" s="19">
        <v>0</v>
      </c>
      <c r="AK401" s="12">
        <f>(AJ401+AI401)/30*7</f>
        <v>2.333333333333333</v>
      </c>
      <c r="AL401" s="6">
        <f>IF(AK401-C401&lt;0,0,AK401-C401)</f>
        <v>0</v>
      </c>
      <c r="AM401" s="6">
        <f>IF(AL401-R401-S401&lt;0,0,AL401-R401-S401)</f>
        <v>0</v>
      </c>
      <c r="AN401" s="5" t="str">
        <f t="shared" si="13"/>
        <v/>
      </c>
      <c r="AO401" s="5">
        <v>0</v>
      </c>
      <c r="AP401" s="9"/>
      <c r="AQ401" s="5" t="s">
        <v>1210</v>
      </c>
      <c r="AR401" s="5" t="s">
        <v>1210</v>
      </c>
      <c r="AS401" s="8"/>
      <c r="AT401" s="8"/>
      <c r="AU401" s="8"/>
      <c r="AV401" s="8"/>
      <c r="AW401" s="8"/>
      <c r="AX401" s="8"/>
      <c r="AY401" s="8"/>
      <c r="AZ401" s="8"/>
    </row>
    <row r="402" spans="1:52">
      <c r="A402" s="5" t="s">
        <v>1044</v>
      </c>
      <c r="B402" s="5">
        <v>1125</v>
      </c>
      <c r="C402" s="19">
        <v>21</v>
      </c>
      <c r="E402" s="14"/>
      <c r="F402" s="11"/>
      <c r="G402" s="11"/>
      <c r="H402" s="11"/>
      <c r="I402" s="11"/>
      <c r="J402" s="25"/>
      <c r="K402" s="11"/>
      <c r="L402" s="11"/>
      <c r="M402" s="19">
        <v>0</v>
      </c>
      <c r="O402" s="6"/>
      <c r="P402" s="16">
        <v>0</v>
      </c>
      <c r="Q402" s="16">
        <v>0</v>
      </c>
      <c r="R402" s="22"/>
      <c r="S402" s="22">
        <f t="shared" si="12"/>
        <v>0</v>
      </c>
      <c r="T402" s="5">
        <v>1421</v>
      </c>
      <c r="U402" s="5">
        <v>859</v>
      </c>
      <c r="Y402" s="8"/>
      <c r="Z402" s="8"/>
      <c r="AA402" s="8"/>
      <c r="AB402" s="8"/>
      <c r="AC402" s="8"/>
      <c r="AD402" s="8"/>
      <c r="AE402" s="25"/>
      <c r="AF402" s="11"/>
      <c r="AG402" s="25"/>
      <c r="AH402" s="11"/>
      <c r="AI402" s="11">
        <v>10</v>
      </c>
      <c r="AJ402" s="19">
        <v>0</v>
      </c>
      <c r="AK402" s="12">
        <f>(AJ402+AI402)/30*7</f>
        <v>2.333333333333333</v>
      </c>
      <c r="AL402" s="6">
        <f>IF(AK402-C402&lt;0,0,AK402-C402)</f>
        <v>0</v>
      </c>
      <c r="AM402" s="6">
        <f>IF(AL402-R402-S402&lt;0,0,AL402-R402-S402)</f>
        <v>0</v>
      </c>
      <c r="AN402" s="5" t="str">
        <f t="shared" si="13"/>
        <v/>
      </c>
      <c r="AO402" s="5">
        <v>0</v>
      </c>
      <c r="AP402" s="9"/>
      <c r="AQ402" s="5" t="s">
        <v>1210</v>
      </c>
      <c r="AR402" s="5" t="s">
        <v>1210</v>
      </c>
      <c r="AS402" s="8"/>
      <c r="AT402" s="8"/>
      <c r="AU402" s="8"/>
      <c r="AV402" s="8"/>
      <c r="AW402" s="8"/>
      <c r="AX402" s="8"/>
      <c r="AY402" s="8"/>
      <c r="AZ402" s="8"/>
    </row>
    <row r="403" spans="1:52">
      <c r="A403" s="5" t="s">
        <v>566</v>
      </c>
      <c r="B403" s="5">
        <v>1826</v>
      </c>
      <c r="C403" s="19">
        <v>30</v>
      </c>
      <c r="E403" s="14"/>
      <c r="F403" s="11"/>
      <c r="G403" s="11"/>
      <c r="H403" s="11"/>
      <c r="I403" s="11"/>
      <c r="J403" s="25"/>
      <c r="K403" s="11"/>
      <c r="L403" s="11"/>
      <c r="M403" s="19">
        <v>3</v>
      </c>
      <c r="O403" s="6"/>
      <c r="P403" s="16">
        <v>469</v>
      </c>
      <c r="Q403" s="16">
        <v>0</v>
      </c>
      <c r="R403" s="22"/>
      <c r="S403" s="22">
        <f t="shared" si="12"/>
        <v>0</v>
      </c>
      <c r="T403" s="5">
        <v>1855</v>
      </c>
      <c r="U403" s="5">
        <v>488</v>
      </c>
      <c r="Y403" s="8"/>
      <c r="Z403" s="8"/>
      <c r="AA403" s="8"/>
      <c r="AB403" s="8"/>
      <c r="AC403" s="8"/>
      <c r="AD403" s="8"/>
      <c r="AE403" s="25"/>
      <c r="AF403" s="11"/>
      <c r="AG403" s="25"/>
      <c r="AH403" s="11"/>
      <c r="AI403" s="11">
        <v>10</v>
      </c>
      <c r="AJ403" s="19">
        <v>0</v>
      </c>
      <c r="AK403" s="12">
        <f>(AJ403+AI403)/30*7</f>
        <v>2.333333333333333</v>
      </c>
      <c r="AL403" s="6">
        <f>IF(AK403-C403&lt;0,0,AK403-C403)</f>
        <v>0</v>
      </c>
      <c r="AM403" s="6">
        <f>IF(AL403-R403-S403&lt;0,0,AL403-R403-S403)</f>
        <v>0</v>
      </c>
      <c r="AN403" s="5" t="str">
        <f t="shared" si="13"/>
        <v/>
      </c>
      <c r="AO403" s="5">
        <v>0</v>
      </c>
      <c r="AP403" s="9"/>
      <c r="AQ403" s="5" t="s">
        <v>1210</v>
      </c>
      <c r="AR403" s="5" t="s">
        <v>1230</v>
      </c>
      <c r="AS403" s="8"/>
      <c r="AT403" s="8"/>
      <c r="AU403" s="8"/>
      <c r="AV403" s="8"/>
      <c r="AW403" s="8"/>
      <c r="AX403" s="8"/>
      <c r="AY403" s="8"/>
      <c r="AZ403" s="8"/>
    </row>
    <row r="404" spans="1:52">
      <c r="A404" s="5" t="s">
        <v>1084</v>
      </c>
      <c r="B404" s="5">
        <v>2050</v>
      </c>
      <c r="C404" s="19">
        <v>27</v>
      </c>
      <c r="E404" s="14"/>
      <c r="F404" s="11"/>
      <c r="G404" s="11"/>
      <c r="H404" s="11"/>
      <c r="I404" s="11"/>
      <c r="J404" s="25"/>
      <c r="K404" s="11"/>
      <c r="L404" s="11"/>
      <c r="M404" s="19">
        <v>0</v>
      </c>
      <c r="O404" s="6"/>
      <c r="P404" s="16">
        <v>801</v>
      </c>
      <c r="Q404" s="16">
        <v>0</v>
      </c>
      <c r="R404" s="22"/>
      <c r="S404" s="22">
        <f t="shared" si="12"/>
        <v>0</v>
      </c>
      <c r="T404" s="5" t="s">
        <v>1210</v>
      </c>
      <c r="U404" s="5" t="s">
        <v>1210</v>
      </c>
      <c r="Y404" s="8"/>
      <c r="Z404" s="8"/>
      <c r="AA404" s="8"/>
      <c r="AB404" s="8"/>
      <c r="AC404" s="8"/>
      <c r="AD404" s="8"/>
      <c r="AE404" s="25"/>
      <c r="AF404" s="11"/>
      <c r="AG404" s="25"/>
      <c r="AH404" s="11"/>
      <c r="AI404" s="11">
        <v>10</v>
      </c>
      <c r="AJ404" s="19">
        <v>0</v>
      </c>
      <c r="AK404" s="12">
        <f>(AJ404+AI404)/30*7</f>
        <v>2.333333333333333</v>
      </c>
      <c r="AL404" s="6">
        <f>IF(AK404-C404&lt;0,0,AK404-C404)</f>
        <v>0</v>
      </c>
      <c r="AM404" s="6">
        <f>IF(AL404-R404-S404&lt;0,0,AL404-R404-S404)</f>
        <v>0</v>
      </c>
      <c r="AN404" s="5" t="str">
        <f t="shared" si="13"/>
        <v/>
      </c>
      <c r="AO404" s="5">
        <v>0</v>
      </c>
      <c r="AP404" s="9"/>
      <c r="AQ404" s="5" t="s">
        <v>1210</v>
      </c>
      <c r="AR404" s="5" t="s">
        <v>1230</v>
      </c>
      <c r="AS404" s="8"/>
      <c r="AT404" s="8"/>
      <c r="AU404" s="8"/>
      <c r="AV404" s="8"/>
      <c r="AW404" s="8"/>
      <c r="AX404" s="8"/>
      <c r="AY404" s="8"/>
      <c r="AZ404" s="8"/>
    </row>
    <row r="405" spans="1:52">
      <c r="A405" s="5" t="s">
        <v>961</v>
      </c>
      <c r="B405" s="5" t="s">
        <v>1193</v>
      </c>
      <c r="C405" s="19">
        <v>35</v>
      </c>
      <c r="E405" s="14"/>
      <c r="F405" s="11"/>
      <c r="G405" s="11"/>
      <c r="H405" s="11"/>
      <c r="I405" s="11"/>
      <c r="J405" s="25"/>
      <c r="K405" s="11"/>
      <c r="L405" s="11"/>
      <c r="M405" s="19">
        <v>0</v>
      </c>
      <c r="O405" s="6"/>
      <c r="P405" s="16">
        <v>0</v>
      </c>
      <c r="Q405" s="16">
        <v>0</v>
      </c>
      <c r="R405" s="22"/>
      <c r="S405" s="22">
        <f t="shared" si="12"/>
        <v>0</v>
      </c>
      <c r="T405" s="5" t="s">
        <v>1210</v>
      </c>
      <c r="U405" s="5" t="s">
        <v>1210</v>
      </c>
      <c r="Y405" s="8"/>
      <c r="Z405" s="8"/>
      <c r="AA405" s="8"/>
      <c r="AB405" s="8"/>
      <c r="AC405" s="8"/>
      <c r="AD405" s="8"/>
      <c r="AE405" s="25"/>
      <c r="AF405" s="11"/>
      <c r="AG405" s="25"/>
      <c r="AH405" s="11"/>
      <c r="AI405" s="11">
        <v>10</v>
      </c>
      <c r="AJ405" s="19">
        <v>0</v>
      </c>
      <c r="AK405" s="12">
        <f>(AJ405+AI405)/30*7</f>
        <v>2.333333333333333</v>
      </c>
      <c r="AL405" s="6">
        <f>IF(AK405-C405&lt;0,0,AK405-C405)</f>
        <v>0</v>
      </c>
      <c r="AM405" s="6">
        <f>IF(AL405-R405-S405&lt;0,0,AL405-R405-S405)</f>
        <v>0</v>
      </c>
      <c r="AN405" s="5" t="str">
        <f t="shared" si="13"/>
        <v/>
      </c>
      <c r="AO405" s="5">
        <v>0</v>
      </c>
      <c r="AP405" s="9"/>
      <c r="AQ405" s="5" t="s">
        <v>1210</v>
      </c>
      <c r="AR405" s="5" t="s">
        <v>1210</v>
      </c>
      <c r="AS405" s="8"/>
      <c r="AT405" s="8"/>
      <c r="AU405" s="8"/>
      <c r="AV405" s="8"/>
      <c r="AW405" s="8"/>
      <c r="AX405" s="8"/>
      <c r="AY405" s="8"/>
      <c r="AZ405" s="8"/>
    </row>
    <row r="406" spans="1:52">
      <c r="A406" s="5" t="s">
        <v>570</v>
      </c>
      <c r="B406" s="5">
        <v>599</v>
      </c>
      <c r="C406" s="19">
        <v>35</v>
      </c>
      <c r="E406" s="14"/>
      <c r="F406" s="11"/>
      <c r="G406" s="11"/>
      <c r="H406" s="11"/>
      <c r="I406" s="11"/>
      <c r="J406" s="25"/>
      <c r="K406" s="11"/>
      <c r="L406" s="11"/>
      <c r="M406" s="19">
        <v>0</v>
      </c>
      <c r="O406" s="6"/>
      <c r="P406" s="16">
        <v>0</v>
      </c>
      <c r="Q406" s="16">
        <v>0</v>
      </c>
      <c r="R406" s="22"/>
      <c r="S406" s="22">
        <f t="shared" si="12"/>
        <v>0</v>
      </c>
      <c r="T406" s="5">
        <v>806</v>
      </c>
      <c r="U406" s="5">
        <v>641</v>
      </c>
      <c r="Y406" s="8"/>
      <c r="Z406" s="8"/>
      <c r="AA406" s="8"/>
      <c r="AB406" s="8"/>
      <c r="AC406" s="8"/>
      <c r="AD406" s="8"/>
      <c r="AE406" s="25"/>
      <c r="AF406" s="11"/>
      <c r="AG406" s="25"/>
      <c r="AH406" s="11"/>
      <c r="AI406" s="11">
        <v>9</v>
      </c>
      <c r="AJ406" s="19">
        <v>0</v>
      </c>
      <c r="AK406" s="12">
        <f>(AJ406+AI406)/30*7</f>
        <v>2.1</v>
      </c>
      <c r="AL406" s="6">
        <f>IF(AK406-C406&lt;0,0,AK406-C406)</f>
        <v>0</v>
      </c>
      <c r="AM406" s="6">
        <f>IF(AL406-R406-S406&lt;0,0,AL406-R406-S406)</f>
        <v>0</v>
      </c>
      <c r="AN406" s="5" t="str">
        <f t="shared" si="13"/>
        <v/>
      </c>
      <c r="AO406" s="5">
        <v>0</v>
      </c>
      <c r="AP406" s="9"/>
      <c r="AQ406" s="5" t="s">
        <v>1210</v>
      </c>
      <c r="AR406" s="5" t="s">
        <v>1210</v>
      </c>
      <c r="AS406" s="8"/>
      <c r="AT406" s="8"/>
      <c r="AU406" s="8"/>
      <c r="AV406" s="8"/>
      <c r="AW406" s="8"/>
      <c r="AX406" s="8"/>
      <c r="AY406" s="8"/>
      <c r="AZ406" s="8"/>
    </row>
    <row r="407" spans="1:52">
      <c r="A407" s="5" t="s">
        <v>634</v>
      </c>
      <c r="B407" s="5">
        <v>854</v>
      </c>
      <c r="C407" s="19">
        <v>38</v>
      </c>
      <c r="E407" s="14"/>
      <c r="F407" s="11"/>
      <c r="G407" s="11"/>
      <c r="H407" s="11"/>
      <c r="I407" s="11"/>
      <c r="J407" s="25"/>
      <c r="K407" s="11"/>
      <c r="L407" s="11"/>
      <c r="M407" s="19">
        <v>0</v>
      </c>
      <c r="O407" s="6"/>
      <c r="P407" s="16">
        <v>0</v>
      </c>
      <c r="Q407" s="16">
        <v>0</v>
      </c>
      <c r="R407" s="22"/>
      <c r="S407" s="22">
        <f t="shared" si="12"/>
        <v>0</v>
      </c>
      <c r="T407" s="5" t="s">
        <v>1210</v>
      </c>
      <c r="U407" s="5" t="s">
        <v>1210</v>
      </c>
      <c r="Y407" s="8"/>
      <c r="Z407" s="8"/>
      <c r="AA407" s="8"/>
      <c r="AB407" s="8"/>
      <c r="AC407" s="8"/>
      <c r="AD407" s="8"/>
      <c r="AE407" s="25"/>
      <c r="AF407" s="11"/>
      <c r="AG407" s="25"/>
      <c r="AH407" s="11"/>
      <c r="AI407" s="11">
        <v>9</v>
      </c>
      <c r="AJ407" s="19">
        <v>0</v>
      </c>
      <c r="AK407" s="12">
        <f>(AJ407+AI407)/30*7</f>
        <v>2.1</v>
      </c>
      <c r="AL407" s="6">
        <f>IF(AK407-C407&lt;0,0,AK407-C407)</f>
        <v>0</v>
      </c>
      <c r="AM407" s="6">
        <f>IF(AL407-R407-S407&lt;0,0,AL407-R407-S407)</f>
        <v>0</v>
      </c>
      <c r="AN407" s="5" t="str">
        <f t="shared" si="13"/>
        <v/>
      </c>
      <c r="AO407" s="5">
        <v>0</v>
      </c>
      <c r="AP407" s="9"/>
      <c r="AQ407" s="5" t="s">
        <v>1210</v>
      </c>
      <c r="AR407" s="5" t="s">
        <v>1210</v>
      </c>
      <c r="AS407" s="8"/>
      <c r="AT407" s="8"/>
      <c r="AU407" s="8"/>
      <c r="AV407" s="8"/>
      <c r="AW407" s="8"/>
      <c r="AX407" s="8"/>
      <c r="AY407" s="8"/>
      <c r="AZ407" s="8"/>
    </row>
    <row r="408" spans="1:52">
      <c r="A408" s="5" t="s">
        <v>772</v>
      </c>
      <c r="B408" s="5">
        <v>887</v>
      </c>
      <c r="C408" s="19">
        <v>36</v>
      </c>
      <c r="E408" s="14"/>
      <c r="F408" s="11"/>
      <c r="G408" s="11"/>
      <c r="H408" s="11"/>
      <c r="I408" s="11"/>
      <c r="J408" s="25"/>
      <c r="K408" s="11"/>
      <c r="L408" s="11"/>
      <c r="M408" s="19">
        <v>0</v>
      </c>
      <c r="O408" s="6"/>
      <c r="P408" s="16">
        <v>0</v>
      </c>
      <c r="Q408" s="16">
        <v>0</v>
      </c>
      <c r="R408" s="22"/>
      <c r="S408" s="22">
        <f t="shared" si="12"/>
        <v>0</v>
      </c>
      <c r="T408" s="5">
        <v>700</v>
      </c>
      <c r="U408" s="5">
        <v>687</v>
      </c>
      <c r="Y408" s="8"/>
      <c r="Z408" s="8"/>
      <c r="AA408" s="8"/>
      <c r="AB408" s="8"/>
      <c r="AC408" s="8"/>
      <c r="AD408" s="8"/>
      <c r="AE408" s="25"/>
      <c r="AF408" s="11"/>
      <c r="AG408" s="25"/>
      <c r="AH408" s="11"/>
      <c r="AI408" s="11">
        <v>9</v>
      </c>
      <c r="AJ408" s="19">
        <v>0</v>
      </c>
      <c r="AK408" s="12">
        <f>(AJ408+AI408)/30*7</f>
        <v>2.1</v>
      </c>
      <c r="AL408" s="6">
        <f>IF(AK408-C408&lt;0,0,AK408-C408)</f>
        <v>0</v>
      </c>
      <c r="AM408" s="6">
        <f>IF(AL408-R408-S408&lt;0,0,AL408-R408-S408)</f>
        <v>0</v>
      </c>
      <c r="AN408" s="5" t="str">
        <f t="shared" si="13"/>
        <v/>
      </c>
      <c r="AO408" s="5">
        <v>0</v>
      </c>
      <c r="AP408" s="9"/>
      <c r="AQ408" s="5" t="s">
        <v>1210</v>
      </c>
      <c r="AR408" s="5" t="s">
        <v>1210</v>
      </c>
      <c r="AS408" s="8"/>
      <c r="AT408" s="8"/>
      <c r="AU408" s="8"/>
      <c r="AV408" s="8"/>
      <c r="AW408" s="8"/>
      <c r="AX408" s="8"/>
      <c r="AY408" s="8"/>
      <c r="AZ408" s="8"/>
    </row>
    <row r="409" spans="1:52">
      <c r="A409" s="5" t="s">
        <v>573</v>
      </c>
      <c r="B409" s="5">
        <v>1017</v>
      </c>
      <c r="C409" s="19">
        <v>20</v>
      </c>
      <c r="E409" s="14"/>
      <c r="F409" s="11"/>
      <c r="G409" s="11"/>
      <c r="H409" s="11"/>
      <c r="I409" s="11"/>
      <c r="J409" s="25"/>
      <c r="K409" s="11"/>
      <c r="L409" s="11"/>
      <c r="M409" s="19">
        <v>0</v>
      </c>
      <c r="O409" s="6"/>
      <c r="P409" s="16">
        <v>0</v>
      </c>
      <c r="Q409" s="16">
        <v>0</v>
      </c>
      <c r="R409" s="22"/>
      <c r="S409" s="22">
        <f t="shared" si="12"/>
        <v>0</v>
      </c>
      <c r="T409" s="5">
        <v>340</v>
      </c>
      <c r="U409" s="5">
        <v>902</v>
      </c>
      <c r="Y409" s="8"/>
      <c r="Z409" s="8"/>
      <c r="AA409" s="8"/>
      <c r="AB409" s="8"/>
      <c r="AC409" s="8"/>
      <c r="AD409" s="8"/>
      <c r="AE409" s="25"/>
      <c r="AF409" s="11"/>
      <c r="AG409" s="25"/>
      <c r="AH409" s="11"/>
      <c r="AI409" s="11">
        <v>9</v>
      </c>
      <c r="AJ409" s="19">
        <v>0</v>
      </c>
      <c r="AK409" s="12">
        <f>(AJ409+AI409)/30*7</f>
        <v>2.1</v>
      </c>
      <c r="AL409" s="6">
        <f>IF(AK409-C409&lt;0,0,AK409-C409)</f>
        <v>0</v>
      </c>
      <c r="AM409" s="6">
        <f>IF(AL409-R409-S409&lt;0,0,AL409-R409-S409)</f>
        <v>0</v>
      </c>
      <c r="AN409" s="5" t="str">
        <f t="shared" si="13"/>
        <v/>
      </c>
      <c r="AO409" s="5">
        <v>0</v>
      </c>
      <c r="AP409" s="9"/>
      <c r="AQ409" s="5" t="s">
        <v>1210</v>
      </c>
      <c r="AR409" s="5" t="s">
        <v>1210</v>
      </c>
      <c r="AS409" s="8"/>
      <c r="AT409" s="8"/>
      <c r="AU409" s="8"/>
      <c r="AV409" s="8"/>
      <c r="AW409" s="8"/>
      <c r="AX409" s="8"/>
      <c r="AY409" s="8"/>
      <c r="AZ409" s="8"/>
    </row>
    <row r="410" spans="1:52">
      <c r="A410" s="5" t="s">
        <v>1107</v>
      </c>
      <c r="B410" s="5" t="s">
        <v>1204</v>
      </c>
      <c r="C410" s="19">
        <v>26</v>
      </c>
      <c r="E410" s="14"/>
      <c r="F410" s="11"/>
      <c r="G410" s="11"/>
      <c r="H410" s="11"/>
      <c r="I410" s="11"/>
      <c r="J410" s="25"/>
      <c r="K410" s="11"/>
      <c r="L410" s="11"/>
      <c r="M410" s="19">
        <v>0</v>
      </c>
      <c r="O410" s="6"/>
      <c r="P410" s="16">
        <v>0</v>
      </c>
      <c r="Q410" s="16">
        <v>0</v>
      </c>
      <c r="R410" s="22"/>
      <c r="S410" s="22">
        <f t="shared" si="12"/>
        <v>0</v>
      </c>
      <c r="T410" s="5" t="s">
        <v>1210</v>
      </c>
      <c r="U410" s="5" t="s">
        <v>1210</v>
      </c>
      <c r="Y410" s="8"/>
      <c r="Z410" s="8"/>
      <c r="AA410" s="8"/>
      <c r="AB410" s="8"/>
      <c r="AC410" s="8"/>
      <c r="AD410" s="8"/>
      <c r="AE410" s="25"/>
      <c r="AF410" s="11"/>
      <c r="AG410" s="25"/>
      <c r="AH410" s="11"/>
      <c r="AI410" s="11">
        <v>9</v>
      </c>
      <c r="AJ410" s="19">
        <v>0</v>
      </c>
      <c r="AK410" s="12">
        <f>(AJ410+AI410)/30*7</f>
        <v>2.1</v>
      </c>
      <c r="AL410" s="6">
        <f>IF(AK410-C410&lt;0,0,AK410-C410)</f>
        <v>0</v>
      </c>
      <c r="AM410" s="6">
        <f>IF(AL410-R410-S410&lt;0,0,AL410-R410-S410)</f>
        <v>0</v>
      </c>
      <c r="AN410" s="5" t="str">
        <f t="shared" si="13"/>
        <v/>
      </c>
      <c r="AO410" s="5">
        <v>0</v>
      </c>
      <c r="AP410" s="9"/>
      <c r="AQ410" s="5" t="s">
        <v>1210</v>
      </c>
      <c r="AR410" s="5" t="s">
        <v>1210</v>
      </c>
      <c r="AS410" s="8"/>
      <c r="AT410" s="8"/>
      <c r="AU410" s="8"/>
      <c r="AV410" s="8"/>
      <c r="AW410" s="8"/>
      <c r="AX410" s="8"/>
      <c r="AY410" s="8"/>
      <c r="AZ410" s="8"/>
    </row>
    <row r="411" spans="1:52">
      <c r="A411" s="5" t="s">
        <v>824</v>
      </c>
      <c r="B411" s="5" t="s">
        <v>1174</v>
      </c>
      <c r="C411" s="19">
        <v>17</v>
      </c>
      <c r="E411" s="14"/>
      <c r="F411" s="11"/>
      <c r="G411" s="11"/>
      <c r="H411" s="11"/>
      <c r="I411" s="11"/>
      <c r="J411" s="25"/>
      <c r="K411" s="11"/>
      <c r="L411" s="11"/>
      <c r="M411" s="19">
        <v>0</v>
      </c>
      <c r="O411" s="6"/>
      <c r="P411" s="16">
        <v>0</v>
      </c>
      <c r="Q411" s="16">
        <v>0</v>
      </c>
      <c r="R411" s="22"/>
      <c r="S411" s="22">
        <f t="shared" si="12"/>
        <v>0</v>
      </c>
      <c r="T411" s="5" t="s">
        <v>1210</v>
      </c>
      <c r="U411" s="5" t="s">
        <v>1210</v>
      </c>
      <c r="Y411" s="8"/>
      <c r="Z411" s="8"/>
      <c r="AA411" s="8"/>
      <c r="AB411" s="8"/>
      <c r="AC411" s="8"/>
      <c r="AD411" s="8"/>
      <c r="AE411" s="25"/>
      <c r="AF411" s="11"/>
      <c r="AG411" s="25"/>
      <c r="AH411" s="11"/>
      <c r="AI411" s="11">
        <v>9</v>
      </c>
      <c r="AJ411" s="19">
        <v>0</v>
      </c>
      <c r="AK411" s="12">
        <f>(AJ411+AI411)/30*7</f>
        <v>2.1</v>
      </c>
      <c r="AL411" s="6">
        <f>IF(AK411-C411&lt;0,0,AK411-C411)</f>
        <v>0</v>
      </c>
      <c r="AM411" s="6">
        <f>IF(AL411-R411-S411&lt;0,0,AL411-R411-S411)</f>
        <v>0</v>
      </c>
      <c r="AN411" s="5" t="str">
        <f t="shared" si="13"/>
        <v/>
      </c>
      <c r="AO411" s="5">
        <v>0</v>
      </c>
      <c r="AP411" s="9"/>
      <c r="AQ411" s="5" t="s">
        <v>1210</v>
      </c>
      <c r="AR411" s="5" t="s">
        <v>1210</v>
      </c>
      <c r="AS411" s="8"/>
      <c r="AT411" s="8"/>
      <c r="AU411" s="8"/>
      <c r="AV411" s="8"/>
      <c r="AW411" s="8"/>
      <c r="AX411" s="8"/>
      <c r="AY411" s="8"/>
      <c r="AZ411" s="8"/>
    </row>
    <row r="412" spans="1:52">
      <c r="A412" s="5" t="s">
        <v>1095</v>
      </c>
      <c r="B412" s="5">
        <v>622</v>
      </c>
      <c r="C412" s="19">
        <v>21</v>
      </c>
      <c r="E412" s="14"/>
      <c r="F412" s="11"/>
      <c r="G412" s="11"/>
      <c r="H412" s="11"/>
      <c r="I412" s="11"/>
      <c r="J412" s="25"/>
      <c r="K412" s="11"/>
      <c r="L412" s="11"/>
      <c r="M412" s="19">
        <v>0</v>
      </c>
      <c r="O412" s="6"/>
      <c r="P412" s="16">
        <v>0</v>
      </c>
      <c r="Q412" s="16">
        <v>0</v>
      </c>
      <c r="R412" s="22"/>
      <c r="S412" s="22">
        <f t="shared" si="12"/>
        <v>0</v>
      </c>
      <c r="T412" s="5" t="s">
        <v>1210</v>
      </c>
      <c r="U412" s="5" t="s">
        <v>1210</v>
      </c>
      <c r="Y412" s="8"/>
      <c r="Z412" s="8"/>
      <c r="AA412" s="8"/>
      <c r="AB412" s="8"/>
      <c r="AC412" s="8"/>
      <c r="AD412" s="8"/>
      <c r="AE412" s="25"/>
      <c r="AF412" s="11"/>
      <c r="AG412" s="25"/>
      <c r="AH412" s="11"/>
      <c r="AI412" s="11">
        <v>8</v>
      </c>
      <c r="AJ412" s="19">
        <v>0</v>
      </c>
      <c r="AK412" s="12">
        <f>(AJ412+AI412)/30*7</f>
        <v>1.8666666666666667</v>
      </c>
      <c r="AL412" s="6">
        <f>IF(AK412-C412&lt;0,0,AK412-C412)</f>
        <v>0</v>
      </c>
      <c r="AM412" s="6">
        <f>IF(AL412-R412-S412&lt;0,0,AL412-R412-S412)</f>
        <v>0</v>
      </c>
      <c r="AN412" s="5" t="str">
        <f t="shared" si="13"/>
        <v/>
      </c>
      <c r="AO412" s="5">
        <v>0</v>
      </c>
      <c r="AP412" s="9"/>
      <c r="AQ412" s="5" t="s">
        <v>1210</v>
      </c>
      <c r="AR412" s="5" t="s">
        <v>1210</v>
      </c>
      <c r="AS412" s="8"/>
      <c r="AT412" s="8"/>
      <c r="AU412" s="8"/>
      <c r="AV412" s="8"/>
      <c r="AW412" s="8"/>
      <c r="AX412" s="8"/>
      <c r="AY412" s="8"/>
      <c r="AZ412" s="8"/>
    </row>
    <row r="413" spans="1:52">
      <c r="A413" s="5" t="s">
        <v>870</v>
      </c>
      <c r="B413" s="5" t="s">
        <v>1179</v>
      </c>
      <c r="C413" s="19">
        <v>40</v>
      </c>
      <c r="E413" s="14"/>
      <c r="F413" s="11"/>
      <c r="G413" s="11"/>
      <c r="H413" s="11"/>
      <c r="I413" s="11"/>
      <c r="J413" s="25"/>
      <c r="K413" s="11"/>
      <c r="L413" s="11"/>
      <c r="M413" s="19">
        <v>0</v>
      </c>
      <c r="O413" s="6"/>
      <c r="P413" s="16">
        <v>0</v>
      </c>
      <c r="Q413" s="16">
        <v>0</v>
      </c>
      <c r="R413" s="22"/>
      <c r="S413" s="22">
        <f t="shared" si="12"/>
        <v>0</v>
      </c>
      <c r="T413" s="5" t="s">
        <v>1210</v>
      </c>
      <c r="U413" s="5" t="s">
        <v>1210</v>
      </c>
      <c r="Y413" s="8"/>
      <c r="Z413" s="8"/>
      <c r="AA413" s="8"/>
      <c r="AB413" s="8"/>
      <c r="AC413" s="8"/>
      <c r="AD413" s="8"/>
      <c r="AE413" s="25"/>
      <c r="AF413" s="11"/>
      <c r="AG413" s="25"/>
      <c r="AH413" s="11"/>
      <c r="AI413" s="11">
        <v>8</v>
      </c>
      <c r="AJ413" s="19">
        <v>0</v>
      </c>
      <c r="AK413" s="12">
        <f>(AJ413+AI413)/30*7</f>
        <v>1.8666666666666667</v>
      </c>
      <c r="AL413" s="6">
        <f>IF(AK413-C413&lt;0,0,AK413-C413)</f>
        <v>0</v>
      </c>
      <c r="AM413" s="6">
        <f>IF(AL413-R413-S413&lt;0,0,AL413-R413-S413)</f>
        <v>0</v>
      </c>
      <c r="AN413" s="5" t="str">
        <f t="shared" si="13"/>
        <v/>
      </c>
      <c r="AO413" s="5">
        <v>0</v>
      </c>
      <c r="AP413" s="9"/>
      <c r="AQ413" s="5" t="s">
        <v>1210</v>
      </c>
      <c r="AR413" s="5" t="s">
        <v>1210</v>
      </c>
      <c r="AS413" s="8"/>
      <c r="AT413" s="8"/>
      <c r="AU413" s="8"/>
      <c r="AV413" s="8"/>
      <c r="AW413" s="8"/>
      <c r="AX413" s="8"/>
      <c r="AY413" s="8"/>
      <c r="AZ413" s="8"/>
    </row>
    <row r="414" spans="1:52">
      <c r="A414" s="5" t="s">
        <v>890</v>
      </c>
      <c r="B414" s="5">
        <v>588</v>
      </c>
      <c r="C414" s="19">
        <v>27</v>
      </c>
      <c r="E414" s="14"/>
      <c r="F414" s="11"/>
      <c r="G414" s="11"/>
      <c r="H414" s="11"/>
      <c r="I414" s="11"/>
      <c r="J414" s="25"/>
      <c r="K414" s="11"/>
      <c r="L414" s="11"/>
      <c r="M414" s="19">
        <v>0</v>
      </c>
      <c r="O414" s="6"/>
      <c r="P414" s="16">
        <v>393</v>
      </c>
      <c r="Q414" s="16">
        <v>0</v>
      </c>
      <c r="R414" s="22"/>
      <c r="S414" s="22">
        <f t="shared" si="12"/>
        <v>0</v>
      </c>
      <c r="T414" s="5" t="s">
        <v>1210</v>
      </c>
      <c r="U414" s="5" t="s">
        <v>1210</v>
      </c>
      <c r="Y414" s="8"/>
      <c r="Z414" s="8"/>
      <c r="AA414" s="8"/>
      <c r="AB414" s="8"/>
      <c r="AC414" s="8"/>
      <c r="AD414" s="8"/>
      <c r="AE414" s="25"/>
      <c r="AF414" s="11"/>
      <c r="AG414" s="25"/>
      <c r="AH414" s="11"/>
      <c r="AI414" s="11">
        <v>7</v>
      </c>
      <c r="AJ414" s="19">
        <v>0</v>
      </c>
      <c r="AK414" s="12">
        <f>(AJ414+AI414)/30*7</f>
        <v>1.6333333333333333</v>
      </c>
      <c r="AL414" s="6">
        <f>IF(AK414-C414&lt;0,0,AK414-C414)</f>
        <v>0</v>
      </c>
      <c r="AM414" s="6">
        <f>IF(AL414-R414-S414&lt;0,0,AL414-R414-S414)</f>
        <v>0</v>
      </c>
      <c r="AN414" s="5" t="str">
        <f t="shared" si="13"/>
        <v/>
      </c>
      <c r="AO414" s="5">
        <v>0</v>
      </c>
      <c r="AP414" s="9"/>
      <c r="AQ414" s="5" t="s">
        <v>1210</v>
      </c>
      <c r="AR414" s="5" t="s">
        <v>1230</v>
      </c>
      <c r="AS414" s="8"/>
      <c r="AT414" s="8"/>
      <c r="AU414" s="8"/>
      <c r="AV414" s="8"/>
      <c r="AW414" s="8"/>
      <c r="AX414" s="8"/>
      <c r="AY414" s="8"/>
      <c r="AZ414" s="8"/>
    </row>
    <row r="415" spans="1:52">
      <c r="A415" s="5" t="s">
        <v>899</v>
      </c>
      <c r="B415" s="5">
        <v>663</v>
      </c>
      <c r="C415" s="19">
        <v>17</v>
      </c>
      <c r="E415" s="14"/>
      <c r="F415" s="11"/>
      <c r="G415" s="11"/>
      <c r="H415" s="11"/>
      <c r="I415" s="11"/>
      <c r="J415" s="25"/>
      <c r="K415" s="11"/>
      <c r="L415" s="11"/>
      <c r="M415" s="19">
        <v>0</v>
      </c>
      <c r="O415" s="6"/>
      <c r="P415" s="16">
        <v>0</v>
      </c>
      <c r="Q415" s="16">
        <v>0</v>
      </c>
      <c r="R415" s="22"/>
      <c r="S415" s="22">
        <f t="shared" si="12"/>
        <v>0</v>
      </c>
      <c r="T415" s="5">
        <v>636</v>
      </c>
      <c r="U415" s="5">
        <v>634</v>
      </c>
      <c r="Y415" s="8"/>
      <c r="Z415" s="8"/>
      <c r="AA415" s="8"/>
      <c r="AB415" s="8"/>
      <c r="AC415" s="8"/>
      <c r="AD415" s="8"/>
      <c r="AE415" s="25"/>
      <c r="AF415" s="11"/>
      <c r="AG415" s="25"/>
      <c r="AH415" s="11"/>
      <c r="AI415" s="11">
        <v>7</v>
      </c>
      <c r="AJ415" s="19">
        <v>0</v>
      </c>
      <c r="AK415" s="12">
        <f>(AJ415+AI415)/30*7</f>
        <v>1.6333333333333333</v>
      </c>
      <c r="AL415" s="6">
        <f>IF(AK415-C415&lt;0,0,AK415-C415)</f>
        <v>0</v>
      </c>
      <c r="AM415" s="6">
        <f>IF(AL415-R415-S415&lt;0,0,AL415-R415-S415)</f>
        <v>0</v>
      </c>
      <c r="AN415" s="5" t="str">
        <f t="shared" si="13"/>
        <v/>
      </c>
      <c r="AO415" s="5">
        <v>0</v>
      </c>
      <c r="AP415" s="9"/>
      <c r="AQ415" s="5" t="s">
        <v>1210</v>
      </c>
      <c r="AR415" s="5" t="s">
        <v>1210</v>
      </c>
      <c r="AS415" s="8"/>
      <c r="AT415" s="8"/>
      <c r="AU415" s="8"/>
      <c r="AV415" s="8"/>
      <c r="AW415" s="8"/>
      <c r="AX415" s="8"/>
      <c r="AY415" s="8"/>
      <c r="AZ415" s="8"/>
    </row>
    <row r="416" spans="1:52">
      <c r="A416" s="5" t="s">
        <v>1120</v>
      </c>
      <c r="B416" s="5">
        <v>1803</v>
      </c>
      <c r="C416" s="19">
        <v>34</v>
      </c>
      <c r="E416" s="14"/>
      <c r="F416" s="11"/>
      <c r="G416" s="11"/>
      <c r="H416" s="11"/>
      <c r="I416" s="11"/>
      <c r="J416" s="25"/>
      <c r="K416" s="11"/>
      <c r="L416" s="11"/>
      <c r="M416" s="19">
        <v>0</v>
      </c>
      <c r="O416" s="6"/>
      <c r="P416" s="16">
        <v>228</v>
      </c>
      <c r="Q416" s="16">
        <v>0</v>
      </c>
      <c r="R416" s="22"/>
      <c r="S416" s="22">
        <f t="shared" si="12"/>
        <v>0</v>
      </c>
      <c r="T416" s="5">
        <v>1855</v>
      </c>
      <c r="U416" s="5">
        <v>488</v>
      </c>
      <c r="Y416" s="8"/>
      <c r="Z416" s="8"/>
      <c r="AA416" s="8"/>
      <c r="AB416" s="8"/>
      <c r="AC416" s="8"/>
      <c r="AD416" s="8"/>
      <c r="AE416" s="25"/>
      <c r="AF416" s="11"/>
      <c r="AG416" s="25"/>
      <c r="AH416" s="11"/>
      <c r="AI416" s="11">
        <v>7</v>
      </c>
      <c r="AJ416" s="19">
        <v>0</v>
      </c>
      <c r="AK416" s="12">
        <f>(AJ416+AI416)/30*7</f>
        <v>1.6333333333333333</v>
      </c>
      <c r="AL416" s="6">
        <f>IF(AK416-C416&lt;0,0,AK416-C416)</f>
        <v>0</v>
      </c>
      <c r="AM416" s="6">
        <f>IF(AL416-R416-S416&lt;0,0,AL416-R416-S416)</f>
        <v>0</v>
      </c>
      <c r="AN416" s="5" t="str">
        <f t="shared" si="13"/>
        <v/>
      </c>
      <c r="AO416" s="5">
        <v>0</v>
      </c>
      <c r="AP416" s="9"/>
      <c r="AQ416" s="5" t="s">
        <v>1210</v>
      </c>
      <c r="AR416" s="5" t="s">
        <v>1230</v>
      </c>
      <c r="AS416" s="8"/>
      <c r="AT416" s="8"/>
      <c r="AU416" s="8"/>
      <c r="AV416" s="8"/>
      <c r="AW416" s="8"/>
      <c r="AX416" s="8"/>
      <c r="AY416" s="8"/>
      <c r="AZ416" s="8"/>
    </row>
    <row r="417" spans="1:52">
      <c r="A417" s="5" t="s">
        <v>643</v>
      </c>
      <c r="B417" s="5" t="s">
        <v>1160</v>
      </c>
      <c r="C417" s="19">
        <v>29</v>
      </c>
      <c r="E417" s="14"/>
      <c r="F417" s="11"/>
      <c r="G417" s="11"/>
      <c r="H417" s="11"/>
      <c r="I417" s="11"/>
      <c r="J417" s="25"/>
      <c r="K417" s="11"/>
      <c r="L417" s="11"/>
      <c r="M417" s="19">
        <v>0</v>
      </c>
      <c r="O417" s="6"/>
      <c r="P417" s="16">
        <v>0</v>
      </c>
      <c r="Q417" s="16">
        <v>0</v>
      </c>
      <c r="R417" s="22"/>
      <c r="S417" s="22">
        <f t="shared" si="12"/>
        <v>0</v>
      </c>
      <c r="T417" s="5" t="s">
        <v>1210</v>
      </c>
      <c r="U417" s="5" t="s">
        <v>1210</v>
      </c>
      <c r="Y417" s="8"/>
      <c r="Z417" s="8"/>
      <c r="AA417" s="8"/>
      <c r="AB417" s="8"/>
      <c r="AC417" s="8"/>
      <c r="AD417" s="8"/>
      <c r="AE417" s="25"/>
      <c r="AF417" s="11"/>
      <c r="AG417" s="25"/>
      <c r="AH417" s="11"/>
      <c r="AI417" s="11">
        <v>7</v>
      </c>
      <c r="AJ417" s="19">
        <v>0</v>
      </c>
      <c r="AK417" s="12">
        <f>(AJ417+AI417)/30*7</f>
        <v>1.6333333333333333</v>
      </c>
      <c r="AL417" s="6">
        <f>IF(AK417-C417&lt;0,0,AK417-C417)</f>
        <v>0</v>
      </c>
      <c r="AM417" s="6">
        <f>IF(AL417-R417-S417&lt;0,0,AL417-R417-S417)</f>
        <v>0</v>
      </c>
      <c r="AN417" s="5" t="str">
        <f t="shared" si="13"/>
        <v/>
      </c>
      <c r="AO417" s="5">
        <v>0</v>
      </c>
      <c r="AP417" s="9"/>
      <c r="AQ417" s="5" t="s">
        <v>1210</v>
      </c>
      <c r="AR417" s="5" t="s">
        <v>1210</v>
      </c>
      <c r="AS417" s="8"/>
      <c r="AT417" s="8"/>
      <c r="AU417" s="8"/>
      <c r="AV417" s="8"/>
      <c r="AW417" s="8"/>
      <c r="AX417" s="8"/>
      <c r="AY417" s="8"/>
      <c r="AZ417" s="8"/>
    </row>
    <row r="418" spans="1:52">
      <c r="A418" s="5" t="s">
        <v>636</v>
      </c>
      <c r="B418" s="5">
        <v>554</v>
      </c>
      <c r="C418" s="19">
        <v>33</v>
      </c>
      <c r="E418" s="14"/>
      <c r="F418" s="11"/>
      <c r="G418" s="11"/>
      <c r="H418" s="11"/>
      <c r="I418" s="11"/>
      <c r="J418" s="25"/>
      <c r="K418" s="11"/>
      <c r="L418" s="11"/>
      <c r="M418" s="19">
        <v>0</v>
      </c>
      <c r="O418" s="6"/>
      <c r="P418" s="16">
        <v>0</v>
      </c>
      <c r="Q418" s="16">
        <v>0</v>
      </c>
      <c r="R418" s="22"/>
      <c r="S418" s="22">
        <f t="shared" si="12"/>
        <v>0</v>
      </c>
      <c r="T418" s="5">
        <v>333</v>
      </c>
      <c r="U418" s="5">
        <v>598</v>
      </c>
      <c r="Y418" s="8"/>
      <c r="Z418" s="8"/>
      <c r="AA418" s="8"/>
      <c r="AB418" s="8"/>
      <c r="AC418" s="8"/>
      <c r="AD418" s="8"/>
      <c r="AE418" s="25"/>
      <c r="AF418" s="11"/>
      <c r="AG418" s="25"/>
      <c r="AH418" s="11"/>
      <c r="AI418" s="11">
        <v>6</v>
      </c>
      <c r="AJ418" s="19">
        <v>0</v>
      </c>
      <c r="AK418" s="12">
        <f>(AJ418+AI418)/30*7</f>
        <v>1.4000000000000001</v>
      </c>
      <c r="AL418" s="6">
        <f>IF(AK418-C418&lt;0,0,AK418-C418)</f>
        <v>0</v>
      </c>
      <c r="AM418" s="6">
        <f>IF(AL418-R418-S418&lt;0,0,AL418-R418-S418)</f>
        <v>0</v>
      </c>
      <c r="AN418" s="5" t="str">
        <f t="shared" si="13"/>
        <v/>
      </c>
      <c r="AO418" s="5">
        <v>0</v>
      </c>
      <c r="AP418" s="9"/>
      <c r="AQ418" s="5" t="s">
        <v>1210</v>
      </c>
      <c r="AR418" s="5" t="s">
        <v>1210</v>
      </c>
      <c r="AS418" s="8"/>
      <c r="AT418" s="8"/>
      <c r="AU418" s="8"/>
      <c r="AV418" s="8"/>
      <c r="AW418" s="8"/>
      <c r="AX418" s="8"/>
      <c r="AY418" s="8"/>
      <c r="AZ418" s="8"/>
    </row>
    <row r="419" spans="1:52">
      <c r="A419" s="5" t="s">
        <v>990</v>
      </c>
      <c r="B419" s="5">
        <v>685</v>
      </c>
      <c r="C419" s="19">
        <v>37</v>
      </c>
      <c r="E419" s="14"/>
      <c r="F419" s="11"/>
      <c r="G419" s="11"/>
      <c r="H419" s="11"/>
      <c r="I419" s="11"/>
      <c r="J419" s="25"/>
      <c r="K419" s="11"/>
      <c r="L419" s="11"/>
      <c r="M419" s="19">
        <v>0</v>
      </c>
      <c r="O419" s="6"/>
      <c r="P419" s="16">
        <v>0</v>
      </c>
      <c r="Q419" s="16">
        <v>0</v>
      </c>
      <c r="R419" s="22"/>
      <c r="S419" s="22">
        <f t="shared" si="12"/>
        <v>0</v>
      </c>
      <c r="T419" s="5">
        <v>325</v>
      </c>
      <c r="U419" s="5">
        <v>445</v>
      </c>
      <c r="Y419" s="8"/>
      <c r="Z419" s="8"/>
      <c r="AA419" s="8"/>
      <c r="AB419" s="8"/>
      <c r="AC419" s="8"/>
      <c r="AD419" s="8"/>
      <c r="AE419" s="25"/>
      <c r="AF419" s="11"/>
      <c r="AG419" s="25"/>
      <c r="AH419" s="11"/>
      <c r="AI419" s="11">
        <v>6</v>
      </c>
      <c r="AJ419" s="19">
        <v>0</v>
      </c>
      <c r="AK419" s="12">
        <f>(AJ419+AI419)/30*7</f>
        <v>1.4000000000000001</v>
      </c>
      <c r="AL419" s="6">
        <f>IF(AK419-C419&lt;0,0,AK419-C419)</f>
        <v>0</v>
      </c>
      <c r="AM419" s="6">
        <f>IF(AL419-R419-S419&lt;0,0,AL419-R419-S419)</f>
        <v>0</v>
      </c>
      <c r="AN419" s="5" t="str">
        <f t="shared" si="13"/>
        <v/>
      </c>
      <c r="AO419" s="5">
        <v>0</v>
      </c>
      <c r="AP419" s="9"/>
      <c r="AQ419" s="5" t="s">
        <v>1210</v>
      </c>
      <c r="AR419" s="5" t="s">
        <v>1210</v>
      </c>
      <c r="AS419" s="8"/>
      <c r="AT419" s="8"/>
      <c r="AU419" s="8"/>
      <c r="AV419" s="8"/>
      <c r="AW419" s="8"/>
      <c r="AX419" s="8"/>
      <c r="AY419" s="8"/>
      <c r="AZ419" s="8"/>
    </row>
    <row r="420" spans="1:52">
      <c r="A420" s="5" t="s">
        <v>787</v>
      </c>
      <c r="B420" s="5">
        <v>955</v>
      </c>
      <c r="C420" s="19">
        <v>28</v>
      </c>
      <c r="E420" s="14"/>
      <c r="F420" s="11"/>
      <c r="G420" s="11"/>
      <c r="H420" s="11"/>
      <c r="I420" s="11"/>
      <c r="J420" s="25"/>
      <c r="K420" s="11"/>
      <c r="L420" s="11"/>
      <c r="M420" s="19">
        <v>0</v>
      </c>
      <c r="O420" s="6"/>
      <c r="P420" s="16">
        <v>0</v>
      </c>
      <c r="Q420" s="16">
        <v>0</v>
      </c>
      <c r="R420" s="22"/>
      <c r="S420" s="22">
        <f t="shared" si="12"/>
        <v>0</v>
      </c>
      <c r="T420" s="5">
        <v>864</v>
      </c>
      <c r="U420" s="5">
        <v>232</v>
      </c>
      <c r="Y420" s="8"/>
      <c r="Z420" s="8"/>
      <c r="AA420" s="8"/>
      <c r="AB420" s="8"/>
      <c r="AC420" s="8"/>
      <c r="AD420" s="8"/>
      <c r="AE420" s="25"/>
      <c r="AF420" s="11"/>
      <c r="AG420" s="25"/>
      <c r="AH420" s="11"/>
      <c r="AI420" s="11">
        <v>6</v>
      </c>
      <c r="AJ420" s="19">
        <v>0</v>
      </c>
      <c r="AK420" s="12">
        <f>(AJ420+AI420)/30*7</f>
        <v>1.4000000000000001</v>
      </c>
      <c r="AL420" s="6">
        <f>IF(AK420-C420&lt;0,0,AK420-C420)</f>
        <v>0</v>
      </c>
      <c r="AM420" s="6">
        <f>IF(AL420-R420-S420&lt;0,0,AL420-R420-S420)</f>
        <v>0</v>
      </c>
      <c r="AN420" s="5" t="str">
        <f t="shared" si="13"/>
        <v/>
      </c>
      <c r="AO420" s="5">
        <v>0</v>
      </c>
      <c r="AP420" s="9"/>
      <c r="AQ420" s="5" t="s">
        <v>1210</v>
      </c>
      <c r="AR420" s="5" t="s">
        <v>1210</v>
      </c>
      <c r="AS420" s="8"/>
      <c r="AT420" s="8"/>
      <c r="AU420" s="8"/>
      <c r="AV420" s="8"/>
      <c r="AW420" s="8"/>
      <c r="AX420" s="8"/>
      <c r="AY420" s="8"/>
      <c r="AZ420" s="8"/>
    </row>
    <row r="421" spans="1:52">
      <c r="A421" s="5" t="s">
        <v>804</v>
      </c>
      <c r="B421" s="5">
        <v>1096</v>
      </c>
      <c r="C421" s="19">
        <v>19</v>
      </c>
      <c r="E421" s="14"/>
      <c r="F421" s="11"/>
      <c r="G421" s="11"/>
      <c r="H421" s="11"/>
      <c r="I421" s="11"/>
      <c r="J421" s="25"/>
      <c r="K421" s="11"/>
      <c r="L421" s="11"/>
      <c r="M421" s="19">
        <v>0</v>
      </c>
      <c r="O421" s="6"/>
      <c r="P421" s="16">
        <v>0</v>
      </c>
      <c r="Q421" s="16">
        <v>0</v>
      </c>
      <c r="R421" s="22"/>
      <c r="S421" s="22">
        <f t="shared" si="12"/>
        <v>0</v>
      </c>
      <c r="T421" s="5">
        <v>702</v>
      </c>
      <c r="U421" s="5">
        <v>329</v>
      </c>
      <c r="Y421" s="8"/>
      <c r="Z421" s="8"/>
      <c r="AA421" s="8"/>
      <c r="AB421" s="8"/>
      <c r="AC421" s="8"/>
      <c r="AD421" s="8"/>
      <c r="AE421" s="25"/>
      <c r="AF421" s="11"/>
      <c r="AG421" s="25"/>
      <c r="AH421" s="11"/>
      <c r="AI421" s="11">
        <v>6</v>
      </c>
      <c r="AJ421" s="19">
        <v>0</v>
      </c>
      <c r="AK421" s="12">
        <f>(AJ421+AI421)/30*7</f>
        <v>1.4000000000000001</v>
      </c>
      <c r="AL421" s="6">
        <f>IF(AK421-C421&lt;0,0,AK421-C421)</f>
        <v>0</v>
      </c>
      <c r="AM421" s="6">
        <f>IF(AL421-R421-S421&lt;0,0,AL421-R421-S421)</f>
        <v>0</v>
      </c>
      <c r="AN421" s="5" t="str">
        <f t="shared" si="13"/>
        <v/>
      </c>
      <c r="AO421" s="5">
        <v>0</v>
      </c>
      <c r="AP421" s="9"/>
      <c r="AQ421" s="5" t="s">
        <v>1210</v>
      </c>
      <c r="AR421" s="5" t="s">
        <v>1210</v>
      </c>
      <c r="AS421" s="8"/>
      <c r="AT421" s="8"/>
      <c r="AU421" s="8"/>
      <c r="AV421" s="8"/>
      <c r="AW421" s="8"/>
      <c r="AX421" s="8"/>
      <c r="AY421" s="8"/>
      <c r="AZ421" s="8"/>
    </row>
    <row r="422" spans="1:52">
      <c r="A422" s="5" t="s">
        <v>644</v>
      </c>
      <c r="B422" s="5">
        <v>1338</v>
      </c>
      <c r="C422" s="19">
        <v>30</v>
      </c>
      <c r="E422" s="14"/>
      <c r="F422" s="11"/>
      <c r="G422" s="11"/>
      <c r="H422" s="11"/>
      <c r="I422" s="11"/>
      <c r="J422" s="25"/>
      <c r="K422" s="11"/>
      <c r="L422" s="11"/>
      <c r="M422" s="19">
        <v>0</v>
      </c>
      <c r="O422" s="6"/>
      <c r="P422" s="16">
        <v>0</v>
      </c>
      <c r="Q422" s="16">
        <v>0</v>
      </c>
      <c r="R422" s="22"/>
      <c r="S422" s="22">
        <f t="shared" si="12"/>
        <v>0</v>
      </c>
      <c r="T422" s="5">
        <v>1737</v>
      </c>
      <c r="U422" s="5">
        <v>292</v>
      </c>
      <c r="Y422" s="8"/>
      <c r="Z422" s="8"/>
      <c r="AA422" s="8"/>
      <c r="AB422" s="8"/>
      <c r="AC422" s="8"/>
      <c r="AD422" s="8"/>
      <c r="AE422" s="25"/>
      <c r="AF422" s="11"/>
      <c r="AG422" s="25"/>
      <c r="AH422" s="11"/>
      <c r="AI422" s="11">
        <v>6</v>
      </c>
      <c r="AJ422" s="19">
        <v>0</v>
      </c>
      <c r="AK422" s="12">
        <f>(AJ422+AI422)/30*7</f>
        <v>1.4000000000000001</v>
      </c>
      <c r="AL422" s="6">
        <f>IF(AK422-C422&lt;0,0,AK422-C422)</f>
        <v>0</v>
      </c>
      <c r="AM422" s="6">
        <f>IF(AL422-R422-S422&lt;0,0,AL422-R422-S422)</f>
        <v>0</v>
      </c>
      <c r="AN422" s="5" t="str">
        <f t="shared" si="13"/>
        <v/>
      </c>
      <c r="AO422" s="5">
        <v>0</v>
      </c>
      <c r="AP422" s="9"/>
      <c r="AQ422" s="5" t="s">
        <v>1210</v>
      </c>
      <c r="AR422" s="5" t="s">
        <v>1210</v>
      </c>
      <c r="AS422" s="8"/>
      <c r="AT422" s="8"/>
      <c r="AU422" s="8"/>
      <c r="AV422" s="8"/>
      <c r="AW422" s="8"/>
      <c r="AX422" s="8"/>
      <c r="AY422" s="8"/>
      <c r="AZ422" s="8"/>
    </row>
    <row r="423" spans="1:52">
      <c r="A423" s="5" t="s">
        <v>1100</v>
      </c>
      <c r="B423" s="5">
        <v>1367</v>
      </c>
      <c r="C423" s="19">
        <v>16</v>
      </c>
      <c r="E423" s="14"/>
      <c r="F423" s="11"/>
      <c r="G423" s="11"/>
      <c r="H423" s="11"/>
      <c r="I423" s="11"/>
      <c r="J423" s="25"/>
      <c r="K423" s="11"/>
      <c r="L423" s="11"/>
      <c r="M423" s="19">
        <v>0</v>
      </c>
      <c r="O423" s="6"/>
      <c r="P423" s="16">
        <v>0</v>
      </c>
      <c r="Q423" s="16">
        <v>0</v>
      </c>
      <c r="R423" s="22"/>
      <c r="S423" s="22">
        <f t="shared" si="12"/>
        <v>0</v>
      </c>
      <c r="T423" s="5">
        <v>1363</v>
      </c>
      <c r="U423" s="5">
        <v>208</v>
      </c>
      <c r="Y423" s="8"/>
      <c r="Z423" s="8"/>
      <c r="AA423" s="8"/>
      <c r="AB423" s="8"/>
      <c r="AC423" s="8"/>
      <c r="AD423" s="8"/>
      <c r="AE423" s="25"/>
      <c r="AF423" s="11"/>
      <c r="AG423" s="25"/>
      <c r="AH423" s="11"/>
      <c r="AI423" s="11">
        <v>6</v>
      </c>
      <c r="AJ423" s="19">
        <v>0</v>
      </c>
      <c r="AK423" s="12">
        <f>(AJ423+AI423)/30*7</f>
        <v>1.4000000000000001</v>
      </c>
      <c r="AL423" s="6">
        <f>IF(AK423-C423&lt;0,0,AK423-C423)</f>
        <v>0</v>
      </c>
      <c r="AM423" s="6">
        <f>IF(AL423-R423-S423&lt;0,0,AL423-R423-S423)</f>
        <v>0</v>
      </c>
      <c r="AN423" s="5" t="str">
        <f t="shared" si="13"/>
        <v/>
      </c>
      <c r="AO423" s="5">
        <v>0</v>
      </c>
      <c r="AP423" s="9"/>
      <c r="AQ423" s="5" t="s">
        <v>1210</v>
      </c>
      <c r="AR423" s="5" t="s">
        <v>1210</v>
      </c>
      <c r="AS423" s="8"/>
      <c r="AT423" s="8"/>
      <c r="AU423" s="8"/>
      <c r="AV423" s="8"/>
      <c r="AW423" s="8"/>
      <c r="AX423" s="8"/>
      <c r="AY423" s="8"/>
      <c r="AZ423" s="8"/>
    </row>
    <row r="424" spans="1:52">
      <c r="A424" s="5" t="s">
        <v>721</v>
      </c>
      <c r="B424" s="5">
        <v>1687</v>
      </c>
      <c r="C424" s="19">
        <v>37</v>
      </c>
      <c r="E424" s="14"/>
      <c r="F424" s="11"/>
      <c r="G424" s="11"/>
      <c r="H424" s="11"/>
      <c r="I424" s="11"/>
      <c r="J424" s="25"/>
      <c r="K424" s="11"/>
      <c r="L424" s="11"/>
      <c r="M424" s="19">
        <v>0</v>
      </c>
      <c r="O424" s="6"/>
      <c r="P424" s="16">
        <v>303</v>
      </c>
      <c r="Q424" s="16">
        <v>0</v>
      </c>
      <c r="R424" s="22"/>
      <c r="S424" s="22">
        <f t="shared" si="12"/>
        <v>0</v>
      </c>
      <c r="T424" s="5">
        <v>1815</v>
      </c>
      <c r="U424" s="5">
        <v>657</v>
      </c>
      <c r="Y424" s="8"/>
      <c r="Z424" s="8"/>
      <c r="AA424" s="8"/>
      <c r="AB424" s="8"/>
      <c r="AC424" s="8"/>
      <c r="AD424" s="8"/>
      <c r="AE424" s="25"/>
      <c r="AF424" s="11"/>
      <c r="AG424" s="25"/>
      <c r="AH424" s="11"/>
      <c r="AI424" s="11">
        <v>6</v>
      </c>
      <c r="AJ424" s="19">
        <v>0</v>
      </c>
      <c r="AK424" s="12">
        <f>(AJ424+AI424)/30*7</f>
        <v>1.4000000000000001</v>
      </c>
      <c r="AL424" s="6">
        <f>IF(AK424-C424&lt;0,0,AK424-C424)</f>
        <v>0</v>
      </c>
      <c r="AM424" s="6">
        <f>IF(AL424-R424-S424&lt;0,0,AL424-R424-S424)</f>
        <v>0</v>
      </c>
      <c r="AN424" s="5" t="str">
        <f t="shared" si="13"/>
        <v/>
      </c>
      <c r="AO424" s="5">
        <v>0</v>
      </c>
      <c r="AP424" s="9"/>
      <c r="AQ424" s="5" t="s">
        <v>1210</v>
      </c>
      <c r="AR424" s="5" t="s">
        <v>1230</v>
      </c>
      <c r="AS424" s="8"/>
      <c r="AT424" s="8"/>
      <c r="AU424" s="8"/>
      <c r="AV424" s="8"/>
      <c r="AW424" s="8"/>
      <c r="AX424" s="8"/>
      <c r="AY424" s="8"/>
      <c r="AZ424" s="8"/>
    </row>
    <row r="425" spans="1:52">
      <c r="A425" s="5" t="s">
        <v>1015</v>
      </c>
      <c r="B425" s="5" t="s">
        <v>1197</v>
      </c>
      <c r="C425" s="19">
        <v>22</v>
      </c>
      <c r="E425" s="14"/>
      <c r="F425" s="11"/>
      <c r="G425" s="11"/>
      <c r="H425" s="11"/>
      <c r="I425" s="11"/>
      <c r="J425" s="25"/>
      <c r="K425" s="11"/>
      <c r="L425" s="11"/>
      <c r="M425" s="19">
        <v>0</v>
      </c>
      <c r="O425" s="6"/>
      <c r="P425" s="16">
        <v>0</v>
      </c>
      <c r="Q425" s="16">
        <v>0</v>
      </c>
      <c r="R425" s="22"/>
      <c r="S425" s="22">
        <f t="shared" si="12"/>
        <v>0</v>
      </c>
      <c r="T425" s="5" t="s">
        <v>1210</v>
      </c>
      <c r="U425" s="5" t="s">
        <v>1210</v>
      </c>
      <c r="Y425" s="8"/>
      <c r="Z425" s="8"/>
      <c r="AA425" s="8"/>
      <c r="AB425" s="8"/>
      <c r="AC425" s="8"/>
      <c r="AD425" s="8"/>
      <c r="AE425" s="25"/>
      <c r="AF425" s="11"/>
      <c r="AG425" s="25"/>
      <c r="AH425" s="11"/>
      <c r="AI425" s="11">
        <v>6</v>
      </c>
      <c r="AJ425" s="19">
        <v>0</v>
      </c>
      <c r="AK425" s="12">
        <f>(AJ425+AI425)/30*7</f>
        <v>1.4000000000000001</v>
      </c>
      <c r="AL425" s="6">
        <f>IF(AK425-C425&lt;0,0,AK425-C425)</f>
        <v>0</v>
      </c>
      <c r="AM425" s="6">
        <f>IF(AL425-R425-S425&lt;0,0,AL425-R425-S425)</f>
        <v>0</v>
      </c>
      <c r="AN425" s="5" t="str">
        <f t="shared" si="13"/>
        <v/>
      </c>
      <c r="AO425" s="5">
        <v>0</v>
      </c>
      <c r="AP425" s="9"/>
      <c r="AQ425" s="5" t="s">
        <v>1210</v>
      </c>
      <c r="AR425" s="5" t="s">
        <v>1210</v>
      </c>
      <c r="AS425" s="8"/>
      <c r="AT425" s="8"/>
      <c r="AU425" s="8"/>
      <c r="AV425" s="8"/>
      <c r="AW425" s="8"/>
      <c r="AX425" s="8"/>
      <c r="AY425" s="8"/>
      <c r="AZ425" s="8"/>
    </row>
    <row r="426" spans="1:52">
      <c r="A426" s="5" t="s">
        <v>627</v>
      </c>
      <c r="B426" s="5" t="s">
        <v>1159</v>
      </c>
      <c r="C426" s="19">
        <v>26</v>
      </c>
      <c r="E426" s="14"/>
      <c r="F426" s="11"/>
      <c r="G426" s="11"/>
      <c r="H426" s="11"/>
      <c r="I426" s="11"/>
      <c r="J426" s="25"/>
      <c r="K426" s="11"/>
      <c r="L426" s="11"/>
      <c r="M426" s="19">
        <v>0</v>
      </c>
      <c r="O426" s="6"/>
      <c r="P426" s="16">
        <v>0</v>
      </c>
      <c r="Q426" s="16">
        <v>0</v>
      </c>
      <c r="R426" s="22"/>
      <c r="S426" s="22">
        <f t="shared" si="12"/>
        <v>0</v>
      </c>
      <c r="T426" s="5" t="s">
        <v>1210</v>
      </c>
      <c r="U426" s="5" t="s">
        <v>1210</v>
      </c>
      <c r="Y426" s="8"/>
      <c r="Z426" s="8"/>
      <c r="AA426" s="8"/>
      <c r="AB426" s="8"/>
      <c r="AC426" s="8"/>
      <c r="AD426" s="8"/>
      <c r="AE426" s="25"/>
      <c r="AF426" s="11"/>
      <c r="AG426" s="25"/>
      <c r="AH426" s="11"/>
      <c r="AI426" s="11">
        <v>6</v>
      </c>
      <c r="AJ426" s="19">
        <v>0</v>
      </c>
      <c r="AK426" s="12">
        <f>(AJ426+AI426)/30*7</f>
        <v>1.4000000000000001</v>
      </c>
      <c r="AL426" s="6">
        <f>IF(AK426-C426&lt;0,0,AK426-C426)</f>
        <v>0</v>
      </c>
      <c r="AM426" s="6">
        <f>IF(AL426-R426-S426&lt;0,0,AL426-R426-S426)</f>
        <v>0</v>
      </c>
      <c r="AN426" s="5" t="str">
        <f t="shared" si="13"/>
        <v/>
      </c>
      <c r="AO426" s="5">
        <v>0</v>
      </c>
      <c r="AP426" s="9"/>
      <c r="AQ426" s="5" t="s">
        <v>1210</v>
      </c>
      <c r="AR426" s="5" t="s">
        <v>1210</v>
      </c>
      <c r="AS426" s="8"/>
      <c r="AT426" s="8"/>
      <c r="AU426" s="8"/>
      <c r="AV426" s="8"/>
      <c r="AW426" s="8"/>
      <c r="AX426" s="8"/>
      <c r="AY426" s="8"/>
      <c r="AZ426" s="8"/>
    </row>
    <row r="427" spans="1:52">
      <c r="A427" s="5" t="s">
        <v>1096</v>
      </c>
      <c r="B427" s="5" t="s">
        <v>1203</v>
      </c>
      <c r="C427" s="19">
        <v>17</v>
      </c>
      <c r="E427" s="14"/>
      <c r="F427" s="11"/>
      <c r="G427" s="11"/>
      <c r="H427" s="11"/>
      <c r="I427" s="11"/>
      <c r="J427" s="25"/>
      <c r="K427" s="11"/>
      <c r="L427" s="11"/>
      <c r="M427" s="19">
        <v>0</v>
      </c>
      <c r="O427" s="6"/>
      <c r="P427" s="16">
        <v>0</v>
      </c>
      <c r="Q427" s="16">
        <v>0</v>
      </c>
      <c r="R427" s="22"/>
      <c r="S427" s="22">
        <f t="shared" si="12"/>
        <v>0</v>
      </c>
      <c r="T427" s="5" t="s">
        <v>1210</v>
      </c>
      <c r="U427" s="5" t="s">
        <v>1210</v>
      </c>
      <c r="Y427" s="8"/>
      <c r="Z427" s="8"/>
      <c r="AA427" s="8"/>
      <c r="AB427" s="8"/>
      <c r="AC427" s="8"/>
      <c r="AD427" s="8"/>
      <c r="AE427" s="25"/>
      <c r="AF427" s="11"/>
      <c r="AG427" s="25"/>
      <c r="AH427" s="11"/>
      <c r="AI427" s="11">
        <v>6</v>
      </c>
      <c r="AJ427" s="19">
        <v>0</v>
      </c>
      <c r="AK427" s="12">
        <f>(AJ427+AI427)/30*7</f>
        <v>1.4000000000000001</v>
      </c>
      <c r="AL427" s="6">
        <f>IF(AK427-C427&lt;0,0,AK427-C427)</f>
        <v>0</v>
      </c>
      <c r="AM427" s="6">
        <f>IF(AL427-R427-S427&lt;0,0,AL427-R427-S427)</f>
        <v>0</v>
      </c>
      <c r="AN427" s="5" t="str">
        <f t="shared" si="13"/>
        <v/>
      </c>
      <c r="AO427" s="5">
        <v>0</v>
      </c>
      <c r="AP427" s="9"/>
      <c r="AQ427" s="5" t="s">
        <v>1210</v>
      </c>
      <c r="AR427" s="5" t="s">
        <v>1210</v>
      </c>
      <c r="AS427" s="8"/>
      <c r="AT427" s="8"/>
      <c r="AU427" s="8"/>
      <c r="AV427" s="8"/>
      <c r="AW427" s="8"/>
      <c r="AX427" s="8"/>
      <c r="AY427" s="8"/>
      <c r="AZ427" s="8"/>
    </row>
    <row r="428" spans="1:52">
      <c r="A428" s="5" t="s">
        <v>896</v>
      </c>
      <c r="B428" s="5">
        <v>269</v>
      </c>
      <c r="C428" s="19">
        <v>33</v>
      </c>
      <c r="E428" s="14"/>
      <c r="F428" s="11"/>
      <c r="G428" s="11"/>
      <c r="H428" s="11"/>
      <c r="I428" s="11"/>
      <c r="J428" s="25"/>
      <c r="K428" s="11"/>
      <c r="L428" s="11"/>
      <c r="M428" s="19">
        <v>0</v>
      </c>
      <c r="O428" s="6"/>
      <c r="P428" s="16">
        <v>0</v>
      </c>
      <c r="Q428" s="16">
        <v>0</v>
      </c>
      <c r="R428" s="22"/>
      <c r="S428" s="22">
        <f t="shared" si="12"/>
        <v>0</v>
      </c>
      <c r="T428" s="5" t="s">
        <v>1210</v>
      </c>
      <c r="U428" s="5" t="s">
        <v>1210</v>
      </c>
      <c r="Y428" s="8"/>
      <c r="Z428" s="8"/>
      <c r="AA428" s="8"/>
      <c r="AB428" s="8"/>
      <c r="AC428" s="8"/>
      <c r="AD428" s="8"/>
      <c r="AE428" s="25"/>
      <c r="AF428" s="11"/>
      <c r="AG428" s="25"/>
      <c r="AH428" s="11"/>
      <c r="AI428" s="11">
        <v>5</v>
      </c>
      <c r="AJ428" s="19">
        <v>0</v>
      </c>
      <c r="AK428" s="12">
        <f>(AJ428+AI428)/30*7</f>
        <v>1.1666666666666665</v>
      </c>
      <c r="AL428" s="6">
        <f>IF(AK428-C428&lt;0,0,AK428-C428)</f>
        <v>0</v>
      </c>
      <c r="AM428" s="6">
        <f>IF(AL428-R428-S428&lt;0,0,AL428-R428-S428)</f>
        <v>0</v>
      </c>
      <c r="AN428" s="5" t="str">
        <f t="shared" si="13"/>
        <v/>
      </c>
      <c r="AO428" s="5">
        <v>0</v>
      </c>
      <c r="AP428" s="9"/>
      <c r="AQ428" s="5" t="s">
        <v>1210</v>
      </c>
      <c r="AR428" s="5" t="s">
        <v>1230</v>
      </c>
      <c r="AS428" s="8"/>
      <c r="AT428" s="8"/>
      <c r="AU428" s="8"/>
      <c r="AV428" s="8"/>
      <c r="AW428" s="8"/>
      <c r="AX428" s="8"/>
      <c r="AY428" s="8"/>
      <c r="AZ428" s="8"/>
    </row>
    <row r="429" spans="1:52">
      <c r="A429" s="5" t="s">
        <v>609</v>
      </c>
      <c r="B429" s="5">
        <v>104.16301</v>
      </c>
      <c r="C429" s="19">
        <v>24</v>
      </c>
      <c r="E429" s="14"/>
      <c r="F429" s="11"/>
      <c r="G429" s="11"/>
      <c r="H429" s="11"/>
      <c r="I429" s="11"/>
      <c r="J429" s="25"/>
      <c r="K429" s="11"/>
      <c r="L429" s="11"/>
      <c r="M429" s="19">
        <v>0</v>
      </c>
      <c r="O429" s="6"/>
      <c r="P429" s="16">
        <v>0</v>
      </c>
      <c r="Q429" s="16">
        <v>0</v>
      </c>
      <c r="R429" s="22"/>
      <c r="S429" s="22">
        <f t="shared" si="12"/>
        <v>0</v>
      </c>
      <c r="T429" s="5" t="s">
        <v>1210</v>
      </c>
      <c r="U429" s="5" t="s">
        <v>1210</v>
      </c>
      <c r="Y429" s="8"/>
      <c r="Z429" s="8"/>
      <c r="AA429" s="8"/>
      <c r="AB429" s="8"/>
      <c r="AC429" s="8"/>
      <c r="AD429" s="8"/>
      <c r="AE429" s="25"/>
      <c r="AF429" s="11"/>
      <c r="AG429" s="25"/>
      <c r="AH429" s="11"/>
      <c r="AI429" s="11">
        <v>4</v>
      </c>
      <c r="AJ429" s="19">
        <v>0</v>
      </c>
      <c r="AK429" s="12">
        <f>(AJ429+AI429)/30*7</f>
        <v>0.93333333333333335</v>
      </c>
      <c r="AL429" s="6">
        <f>IF(AK429-C429&lt;0,0,AK429-C429)</f>
        <v>0</v>
      </c>
      <c r="AM429" s="6">
        <f>IF(AL429-R429-S429&lt;0,0,AL429-R429-S429)</f>
        <v>0</v>
      </c>
      <c r="AN429" s="5" t="str">
        <f t="shared" si="13"/>
        <v/>
      </c>
      <c r="AO429" s="5">
        <v>0</v>
      </c>
      <c r="AP429" s="9"/>
      <c r="AQ429" s="5" t="s">
        <v>1210</v>
      </c>
      <c r="AR429" s="5" t="s">
        <v>1210</v>
      </c>
      <c r="AS429" s="8"/>
      <c r="AT429" s="8"/>
      <c r="AU429" s="8"/>
      <c r="AV429" s="8"/>
      <c r="AW429" s="8"/>
      <c r="AX429" s="8"/>
      <c r="AY429" s="8"/>
      <c r="AZ429" s="8"/>
    </row>
    <row r="430" spans="1:52">
      <c r="A430" s="5" t="s">
        <v>613</v>
      </c>
      <c r="B430" s="5">
        <v>747</v>
      </c>
      <c r="C430" s="19">
        <v>36</v>
      </c>
      <c r="E430" s="14"/>
      <c r="F430" s="11"/>
      <c r="G430" s="11"/>
      <c r="H430" s="11"/>
      <c r="I430" s="11"/>
      <c r="J430" s="25"/>
      <c r="K430" s="11"/>
      <c r="L430" s="11"/>
      <c r="M430" s="19">
        <v>0</v>
      </c>
      <c r="O430" s="6"/>
      <c r="P430" s="16">
        <v>0</v>
      </c>
      <c r="Q430" s="16">
        <v>0</v>
      </c>
      <c r="R430" s="22"/>
      <c r="S430" s="22">
        <f t="shared" si="12"/>
        <v>0</v>
      </c>
      <c r="T430" s="5">
        <v>700</v>
      </c>
      <c r="U430" s="5">
        <v>687</v>
      </c>
      <c r="Y430" s="8"/>
      <c r="Z430" s="8"/>
      <c r="AA430" s="8"/>
      <c r="AB430" s="8"/>
      <c r="AC430" s="8"/>
      <c r="AD430" s="8"/>
      <c r="AE430" s="25"/>
      <c r="AF430" s="11"/>
      <c r="AG430" s="25"/>
      <c r="AH430" s="11"/>
      <c r="AI430" s="11">
        <v>4</v>
      </c>
      <c r="AJ430" s="19">
        <v>0</v>
      </c>
      <c r="AK430" s="12">
        <f>(AJ430+AI430)/30*7</f>
        <v>0.93333333333333335</v>
      </c>
      <c r="AL430" s="6">
        <f>IF(AK430-C430&lt;0,0,AK430-C430)</f>
        <v>0</v>
      </c>
      <c r="AM430" s="6">
        <f>IF(AL430-R430-S430&lt;0,0,AL430-R430-S430)</f>
        <v>0</v>
      </c>
      <c r="AN430" s="5" t="str">
        <f t="shared" si="13"/>
        <v/>
      </c>
      <c r="AO430" s="5">
        <v>0</v>
      </c>
      <c r="AP430" s="9"/>
      <c r="AQ430" s="5" t="s">
        <v>1210</v>
      </c>
      <c r="AR430" s="5" t="s">
        <v>1210</v>
      </c>
      <c r="AS430" s="8"/>
      <c r="AT430" s="8"/>
      <c r="AU430" s="8"/>
      <c r="AV430" s="8"/>
      <c r="AW430" s="8"/>
      <c r="AX430" s="8"/>
      <c r="AY430" s="8"/>
      <c r="AZ430" s="8"/>
    </row>
    <row r="431" spans="1:52">
      <c r="A431" s="5" t="s">
        <v>895</v>
      </c>
      <c r="B431" s="5">
        <v>1364</v>
      </c>
      <c r="C431" s="19">
        <v>40</v>
      </c>
      <c r="E431" s="14"/>
      <c r="F431" s="11"/>
      <c r="G431" s="11"/>
      <c r="H431" s="11"/>
      <c r="I431" s="11"/>
      <c r="J431" s="25"/>
      <c r="K431" s="11"/>
      <c r="L431" s="11"/>
      <c r="M431" s="19">
        <v>0</v>
      </c>
      <c r="O431" s="6"/>
      <c r="P431" s="16">
        <v>0</v>
      </c>
      <c r="Q431" s="16">
        <v>0</v>
      </c>
      <c r="R431" s="22"/>
      <c r="S431" s="22">
        <f t="shared" si="12"/>
        <v>0</v>
      </c>
      <c r="T431" s="5">
        <v>1033</v>
      </c>
      <c r="U431" s="5">
        <v>340</v>
      </c>
      <c r="Y431" s="8"/>
      <c r="Z431" s="8"/>
      <c r="AA431" s="8"/>
      <c r="AB431" s="8"/>
      <c r="AC431" s="8"/>
      <c r="AD431" s="8"/>
      <c r="AE431" s="25"/>
      <c r="AF431" s="11"/>
      <c r="AG431" s="25"/>
      <c r="AH431" s="11"/>
      <c r="AI431" s="11">
        <v>4</v>
      </c>
      <c r="AJ431" s="19">
        <v>0</v>
      </c>
      <c r="AK431" s="12">
        <f>(AJ431+AI431)/30*7</f>
        <v>0.93333333333333335</v>
      </c>
      <c r="AL431" s="6">
        <f>IF(AK431-C431&lt;0,0,AK431-C431)</f>
        <v>0</v>
      </c>
      <c r="AM431" s="6">
        <f>IF(AL431-R431-S431&lt;0,0,AL431-R431-S431)</f>
        <v>0</v>
      </c>
      <c r="AN431" s="5" t="str">
        <f t="shared" si="13"/>
        <v/>
      </c>
      <c r="AO431" s="5">
        <v>0</v>
      </c>
      <c r="AP431" s="9"/>
      <c r="AQ431" s="5" t="s">
        <v>1210</v>
      </c>
      <c r="AR431" s="5" t="s">
        <v>1210</v>
      </c>
      <c r="AS431" s="8"/>
      <c r="AT431" s="8"/>
      <c r="AU431" s="8"/>
      <c r="AV431" s="8"/>
      <c r="AW431" s="8"/>
      <c r="AX431" s="8"/>
      <c r="AY431" s="8"/>
      <c r="AZ431" s="8"/>
    </row>
    <row r="432" spans="1:52">
      <c r="A432" s="5" t="s">
        <v>1009</v>
      </c>
      <c r="B432" s="5">
        <v>1432</v>
      </c>
      <c r="C432" s="19">
        <v>22</v>
      </c>
      <c r="E432" s="14"/>
      <c r="F432" s="11"/>
      <c r="G432" s="11"/>
      <c r="H432" s="11"/>
      <c r="I432" s="11"/>
      <c r="J432" s="25"/>
      <c r="K432" s="11"/>
      <c r="L432" s="11"/>
      <c r="M432" s="19">
        <v>0</v>
      </c>
      <c r="O432" s="6"/>
      <c r="P432" s="16">
        <v>0</v>
      </c>
      <c r="Q432" s="16">
        <v>0</v>
      </c>
      <c r="R432" s="22"/>
      <c r="S432" s="22">
        <f t="shared" si="12"/>
        <v>0</v>
      </c>
      <c r="T432" s="5">
        <v>1815</v>
      </c>
      <c r="U432" s="5">
        <v>657</v>
      </c>
      <c r="Y432" s="8"/>
      <c r="Z432" s="8"/>
      <c r="AA432" s="8"/>
      <c r="AB432" s="8"/>
      <c r="AC432" s="8"/>
      <c r="AD432" s="8"/>
      <c r="AE432" s="25"/>
      <c r="AF432" s="11"/>
      <c r="AG432" s="25"/>
      <c r="AH432" s="11"/>
      <c r="AI432" s="11">
        <v>4</v>
      </c>
      <c r="AJ432" s="19">
        <v>0</v>
      </c>
      <c r="AK432" s="12">
        <f>(AJ432+AI432)/30*7</f>
        <v>0.93333333333333335</v>
      </c>
      <c r="AL432" s="6">
        <f>IF(AK432-C432&lt;0,0,AK432-C432)</f>
        <v>0</v>
      </c>
      <c r="AM432" s="6">
        <f>IF(AL432-R432-S432&lt;0,0,AL432-R432-S432)</f>
        <v>0</v>
      </c>
      <c r="AN432" s="5" t="str">
        <f t="shared" si="13"/>
        <v/>
      </c>
      <c r="AO432" s="5">
        <v>0</v>
      </c>
      <c r="AP432" s="9"/>
      <c r="AQ432" s="5" t="s">
        <v>1210</v>
      </c>
      <c r="AR432" s="5" t="s">
        <v>1210</v>
      </c>
      <c r="AS432" s="8"/>
      <c r="AT432" s="8"/>
      <c r="AU432" s="8"/>
      <c r="AV432" s="8"/>
      <c r="AW432" s="8"/>
      <c r="AX432" s="8"/>
      <c r="AY432" s="8"/>
      <c r="AZ432" s="8"/>
    </row>
    <row r="433" spans="1:52">
      <c r="A433" s="5" t="s">
        <v>731</v>
      </c>
      <c r="B433" s="5">
        <v>202</v>
      </c>
      <c r="C433" s="19">
        <v>16</v>
      </c>
      <c r="E433" s="14"/>
      <c r="F433" s="11"/>
      <c r="G433" s="11"/>
      <c r="H433" s="11"/>
      <c r="I433" s="11"/>
      <c r="J433" s="25"/>
      <c r="K433" s="11"/>
      <c r="L433" s="11"/>
      <c r="M433" s="19">
        <v>0</v>
      </c>
      <c r="O433" s="6"/>
      <c r="P433" s="16">
        <v>0</v>
      </c>
      <c r="Q433" s="16">
        <v>0</v>
      </c>
      <c r="R433" s="22"/>
      <c r="S433" s="22">
        <f t="shared" si="12"/>
        <v>0</v>
      </c>
      <c r="T433" s="5">
        <v>154</v>
      </c>
      <c r="U433" s="5">
        <v>661</v>
      </c>
      <c r="Y433" s="8"/>
      <c r="Z433" s="8"/>
      <c r="AA433" s="8"/>
      <c r="AB433" s="8"/>
      <c r="AC433" s="8"/>
      <c r="AD433" s="8"/>
      <c r="AE433" s="25"/>
      <c r="AF433" s="11"/>
      <c r="AG433" s="25"/>
      <c r="AH433" s="11"/>
      <c r="AI433" s="11">
        <v>3</v>
      </c>
      <c r="AJ433" s="19">
        <v>0</v>
      </c>
      <c r="AK433" s="12">
        <f>(AJ433+AI433)/30*7</f>
        <v>0.70000000000000007</v>
      </c>
      <c r="AL433" s="6">
        <f>IF(AK433-C433&lt;0,0,AK433-C433)</f>
        <v>0</v>
      </c>
      <c r="AM433" s="6">
        <f>IF(AL433-R433-S433&lt;0,0,AL433-R433-S433)</f>
        <v>0</v>
      </c>
      <c r="AN433" s="5" t="str">
        <f t="shared" si="13"/>
        <v/>
      </c>
      <c r="AO433" s="5">
        <v>0</v>
      </c>
      <c r="AP433" s="9"/>
      <c r="AQ433" s="5" t="s">
        <v>1210</v>
      </c>
      <c r="AR433" s="5" t="s">
        <v>1210</v>
      </c>
      <c r="AS433" s="8"/>
      <c r="AT433" s="8"/>
      <c r="AU433" s="8"/>
      <c r="AV433" s="8"/>
      <c r="AW433" s="8"/>
      <c r="AX433" s="8"/>
      <c r="AY433" s="8"/>
      <c r="AZ433" s="8"/>
    </row>
    <row r="434" spans="1:52">
      <c r="A434" s="5" t="s">
        <v>906</v>
      </c>
      <c r="B434" s="5">
        <v>708</v>
      </c>
      <c r="C434" s="19">
        <v>26</v>
      </c>
      <c r="E434" s="14"/>
      <c r="F434" s="11"/>
      <c r="G434" s="11"/>
      <c r="H434" s="11"/>
      <c r="I434" s="11"/>
      <c r="J434" s="25"/>
      <c r="K434" s="11"/>
      <c r="L434" s="11"/>
      <c r="M434" s="19">
        <v>0</v>
      </c>
      <c r="O434" s="6"/>
      <c r="P434" s="16">
        <v>0</v>
      </c>
      <c r="Q434" s="16">
        <v>0</v>
      </c>
      <c r="R434" s="22"/>
      <c r="S434" s="22">
        <f t="shared" si="12"/>
        <v>0</v>
      </c>
      <c r="T434" s="5">
        <v>806</v>
      </c>
      <c r="U434" s="5">
        <v>641</v>
      </c>
      <c r="Y434" s="8"/>
      <c r="Z434" s="8"/>
      <c r="AA434" s="8"/>
      <c r="AB434" s="8"/>
      <c r="AC434" s="8"/>
      <c r="AD434" s="8"/>
      <c r="AE434" s="25"/>
      <c r="AF434" s="11"/>
      <c r="AG434" s="25"/>
      <c r="AH434" s="11"/>
      <c r="AI434" s="11">
        <v>3</v>
      </c>
      <c r="AJ434" s="19">
        <v>0</v>
      </c>
      <c r="AK434" s="12">
        <f>(AJ434+AI434)/30*7</f>
        <v>0.70000000000000007</v>
      </c>
      <c r="AL434" s="6">
        <f>IF(AK434-C434&lt;0,0,AK434-C434)</f>
        <v>0</v>
      </c>
      <c r="AM434" s="6">
        <f>IF(AL434-R434-S434&lt;0,0,AL434-R434-S434)</f>
        <v>0</v>
      </c>
      <c r="AN434" s="5" t="str">
        <f t="shared" si="13"/>
        <v/>
      </c>
      <c r="AO434" s="5">
        <v>0</v>
      </c>
      <c r="AP434" s="9"/>
      <c r="AQ434" s="5" t="s">
        <v>1210</v>
      </c>
      <c r="AR434" s="5" t="s">
        <v>1210</v>
      </c>
      <c r="AS434" s="8"/>
      <c r="AT434" s="8"/>
      <c r="AU434" s="8"/>
      <c r="AV434" s="8"/>
      <c r="AW434" s="8"/>
      <c r="AX434" s="8"/>
      <c r="AY434" s="8"/>
      <c r="AZ434" s="8"/>
    </row>
    <row r="435" spans="1:52">
      <c r="A435" s="5" t="s">
        <v>834</v>
      </c>
      <c r="B435" s="5">
        <v>1079</v>
      </c>
      <c r="C435" s="19">
        <v>29</v>
      </c>
      <c r="E435" s="14"/>
      <c r="F435" s="11"/>
      <c r="G435" s="11"/>
      <c r="H435" s="11"/>
      <c r="I435" s="11"/>
      <c r="J435" s="25"/>
      <c r="K435" s="11"/>
      <c r="L435" s="11"/>
      <c r="M435" s="19">
        <v>0</v>
      </c>
      <c r="O435" s="6"/>
      <c r="P435" s="16">
        <v>741</v>
      </c>
      <c r="Q435" s="16">
        <v>0</v>
      </c>
      <c r="R435" s="22"/>
      <c r="S435" s="22">
        <f t="shared" si="12"/>
        <v>0</v>
      </c>
      <c r="T435" s="5">
        <v>702</v>
      </c>
      <c r="U435" s="5">
        <v>329</v>
      </c>
      <c r="Y435" s="8"/>
      <c r="Z435" s="8"/>
      <c r="AA435" s="8"/>
      <c r="AB435" s="8"/>
      <c r="AC435" s="8"/>
      <c r="AD435" s="8"/>
      <c r="AE435" s="25"/>
      <c r="AF435" s="11"/>
      <c r="AG435" s="25"/>
      <c r="AH435" s="11"/>
      <c r="AI435" s="11">
        <v>3</v>
      </c>
      <c r="AJ435" s="19">
        <v>0</v>
      </c>
      <c r="AK435" s="12">
        <f>(AJ435+AI435)/30*7</f>
        <v>0.70000000000000007</v>
      </c>
      <c r="AL435" s="6">
        <f>IF(AK435-C435&lt;0,0,AK435-C435)</f>
        <v>0</v>
      </c>
      <c r="AM435" s="6">
        <f>IF(AL435-R435-S435&lt;0,0,AL435-R435-S435)</f>
        <v>0</v>
      </c>
      <c r="AN435" s="5" t="str">
        <f t="shared" si="13"/>
        <v/>
      </c>
      <c r="AO435" s="5">
        <v>0</v>
      </c>
      <c r="AP435" s="9"/>
      <c r="AQ435" s="5" t="s">
        <v>1210</v>
      </c>
      <c r="AR435" s="5" t="s">
        <v>1230</v>
      </c>
      <c r="AS435" s="8"/>
      <c r="AT435" s="8"/>
      <c r="AU435" s="8"/>
      <c r="AV435" s="8"/>
      <c r="AW435" s="8"/>
      <c r="AX435" s="8"/>
      <c r="AY435" s="8"/>
      <c r="AZ435" s="8"/>
    </row>
    <row r="436" spans="1:52">
      <c r="A436" s="5" t="s">
        <v>844</v>
      </c>
      <c r="B436" s="5">
        <v>1547</v>
      </c>
      <c r="C436" s="19">
        <v>33</v>
      </c>
      <c r="E436" s="14"/>
      <c r="F436" s="11"/>
      <c r="G436" s="11"/>
      <c r="H436" s="11"/>
      <c r="I436" s="11"/>
      <c r="J436" s="25"/>
      <c r="K436" s="11"/>
      <c r="L436" s="11"/>
      <c r="M436" s="19">
        <v>0</v>
      </c>
      <c r="O436" s="6"/>
      <c r="P436" s="16">
        <v>0</v>
      </c>
      <c r="Q436" s="16">
        <v>618</v>
      </c>
      <c r="R436" s="22"/>
      <c r="S436" s="22">
        <f t="shared" si="12"/>
        <v>0</v>
      </c>
      <c r="T436" s="5">
        <v>1547</v>
      </c>
      <c r="U436" s="5">
        <v>33</v>
      </c>
      <c r="Y436" s="8"/>
      <c r="Z436" s="8"/>
      <c r="AA436" s="8"/>
      <c r="AB436" s="8"/>
      <c r="AC436" s="8"/>
      <c r="AD436" s="8"/>
      <c r="AE436" s="25"/>
      <c r="AF436" s="11"/>
      <c r="AG436" s="25"/>
      <c r="AH436" s="11"/>
      <c r="AI436" s="11">
        <v>3</v>
      </c>
      <c r="AJ436" s="19">
        <v>0</v>
      </c>
      <c r="AK436" s="12">
        <f>(AJ436+AI436)/30*7</f>
        <v>0.70000000000000007</v>
      </c>
      <c r="AL436" s="6">
        <f>IF(AK436-C436&lt;0,0,AK436-C436)</f>
        <v>0</v>
      </c>
      <c r="AM436" s="6">
        <f>IF(AL436-R436-S436&lt;0,0,AL436-R436-S436)</f>
        <v>0</v>
      </c>
      <c r="AN436" s="5" t="str">
        <f t="shared" si="13"/>
        <v/>
      </c>
      <c r="AO436" s="5">
        <v>0</v>
      </c>
      <c r="AP436" s="9"/>
      <c r="AQ436" s="5" t="s">
        <v>1210</v>
      </c>
      <c r="AR436" s="5" t="s">
        <v>1210</v>
      </c>
      <c r="AS436" s="8"/>
      <c r="AT436" s="8"/>
      <c r="AU436" s="8"/>
      <c r="AV436" s="8"/>
      <c r="AW436" s="8"/>
      <c r="AX436" s="8"/>
      <c r="AY436" s="8"/>
      <c r="AZ436" s="8"/>
    </row>
    <row r="437" spans="1:52">
      <c r="A437" s="5" t="s">
        <v>759</v>
      </c>
      <c r="B437" s="5">
        <v>1723</v>
      </c>
      <c r="C437" s="19">
        <v>21</v>
      </c>
      <c r="E437" s="14"/>
      <c r="F437" s="11"/>
      <c r="G437" s="11"/>
      <c r="H437" s="11"/>
      <c r="I437" s="11"/>
      <c r="J437" s="25"/>
      <c r="K437" s="11"/>
      <c r="L437" s="11"/>
      <c r="M437" s="19">
        <v>0</v>
      </c>
      <c r="O437" s="6"/>
      <c r="P437" s="16">
        <v>0</v>
      </c>
      <c r="Q437" s="16">
        <v>0</v>
      </c>
      <c r="R437" s="22"/>
      <c r="S437" s="22">
        <f t="shared" si="12"/>
        <v>0</v>
      </c>
      <c r="T437" s="5">
        <v>1378</v>
      </c>
      <c r="U437" s="5">
        <v>218</v>
      </c>
      <c r="Y437" s="8"/>
      <c r="Z437" s="8"/>
      <c r="AA437" s="8"/>
      <c r="AB437" s="8"/>
      <c r="AC437" s="8"/>
      <c r="AD437" s="8"/>
      <c r="AE437" s="25"/>
      <c r="AF437" s="11"/>
      <c r="AG437" s="25"/>
      <c r="AH437" s="11"/>
      <c r="AI437" s="11">
        <v>3</v>
      </c>
      <c r="AJ437" s="19">
        <v>0</v>
      </c>
      <c r="AK437" s="12">
        <f>(AJ437+AI437)/30*7</f>
        <v>0.70000000000000007</v>
      </c>
      <c r="AL437" s="6">
        <f>IF(AK437-C437&lt;0,0,AK437-C437)</f>
        <v>0</v>
      </c>
      <c r="AM437" s="6">
        <f>IF(AL437-R437-S437&lt;0,0,AL437-R437-S437)</f>
        <v>0</v>
      </c>
      <c r="AN437" s="5" t="str">
        <f t="shared" si="13"/>
        <v/>
      </c>
      <c r="AO437" s="5">
        <v>0</v>
      </c>
      <c r="AP437" s="9"/>
      <c r="AQ437" s="5" t="s">
        <v>1210</v>
      </c>
      <c r="AR437" s="5" t="s">
        <v>1210</v>
      </c>
      <c r="AS437" s="8"/>
      <c r="AT437" s="8"/>
      <c r="AU437" s="8"/>
      <c r="AV437" s="8"/>
      <c r="AW437" s="8"/>
      <c r="AX437" s="8"/>
      <c r="AY437" s="8"/>
      <c r="AZ437" s="8"/>
    </row>
    <row r="438" spans="1:52">
      <c r="A438" s="5" t="s">
        <v>631</v>
      </c>
      <c r="B438" s="5">
        <v>1770</v>
      </c>
      <c r="C438" s="19">
        <v>27</v>
      </c>
      <c r="E438" s="14"/>
      <c r="F438" s="11"/>
      <c r="G438" s="11"/>
      <c r="H438" s="11"/>
      <c r="I438" s="11"/>
      <c r="J438" s="25"/>
      <c r="K438" s="11"/>
      <c r="L438" s="11"/>
      <c r="M438" s="19">
        <v>0</v>
      </c>
      <c r="O438" s="6"/>
      <c r="P438" s="16">
        <v>0</v>
      </c>
      <c r="Q438" s="16">
        <v>0</v>
      </c>
      <c r="R438" s="22"/>
      <c r="S438" s="22">
        <f t="shared" si="12"/>
        <v>0</v>
      </c>
      <c r="T438" s="5">
        <v>2087</v>
      </c>
      <c r="U438" s="5">
        <v>699</v>
      </c>
      <c r="Y438" s="8"/>
      <c r="Z438" s="8"/>
      <c r="AA438" s="8"/>
      <c r="AB438" s="8"/>
      <c r="AC438" s="8"/>
      <c r="AD438" s="8"/>
      <c r="AE438" s="25"/>
      <c r="AF438" s="11"/>
      <c r="AG438" s="25"/>
      <c r="AH438" s="11"/>
      <c r="AI438" s="11">
        <v>3</v>
      </c>
      <c r="AJ438" s="19">
        <v>0</v>
      </c>
      <c r="AK438" s="12">
        <f>(AJ438+AI438)/30*7</f>
        <v>0.70000000000000007</v>
      </c>
      <c r="AL438" s="6">
        <f>IF(AK438-C438&lt;0,0,AK438-C438)</f>
        <v>0</v>
      </c>
      <c r="AM438" s="6">
        <f>IF(AL438-R438-S438&lt;0,0,AL438-R438-S438)</f>
        <v>0</v>
      </c>
      <c r="AN438" s="5" t="str">
        <f t="shared" si="13"/>
        <v/>
      </c>
      <c r="AO438" s="5">
        <v>0</v>
      </c>
      <c r="AP438" s="9"/>
      <c r="AQ438" s="5" t="s">
        <v>1210</v>
      </c>
      <c r="AR438" s="5" t="s">
        <v>1210</v>
      </c>
      <c r="AS438" s="8"/>
      <c r="AT438" s="8"/>
      <c r="AU438" s="8"/>
      <c r="AV438" s="8"/>
      <c r="AW438" s="8"/>
      <c r="AX438" s="8"/>
      <c r="AY438" s="8"/>
      <c r="AZ438" s="8"/>
    </row>
    <row r="439" spans="1:52">
      <c r="A439" s="5" t="s">
        <v>751</v>
      </c>
      <c r="B439" s="5">
        <v>2049</v>
      </c>
      <c r="C439" s="19">
        <v>26</v>
      </c>
      <c r="E439" s="14"/>
      <c r="F439" s="11"/>
      <c r="G439" s="11"/>
      <c r="H439" s="11"/>
      <c r="I439" s="11"/>
      <c r="J439" s="25"/>
      <c r="K439" s="11"/>
      <c r="L439" s="11"/>
      <c r="M439" s="19">
        <v>0</v>
      </c>
      <c r="O439" s="6"/>
      <c r="P439" s="16">
        <v>556</v>
      </c>
      <c r="Q439" s="16">
        <v>0</v>
      </c>
      <c r="R439" s="22"/>
      <c r="S439" s="22">
        <f t="shared" si="12"/>
        <v>0</v>
      </c>
      <c r="T439" s="5" t="s">
        <v>1210</v>
      </c>
      <c r="U439" s="5" t="s">
        <v>1210</v>
      </c>
      <c r="Y439" s="8"/>
      <c r="Z439" s="8"/>
      <c r="AA439" s="8"/>
      <c r="AB439" s="8"/>
      <c r="AC439" s="8"/>
      <c r="AD439" s="8"/>
      <c r="AE439" s="25"/>
      <c r="AF439" s="11"/>
      <c r="AG439" s="25"/>
      <c r="AH439" s="11"/>
      <c r="AI439" s="11">
        <v>2</v>
      </c>
      <c r="AJ439" s="19">
        <v>0</v>
      </c>
      <c r="AK439" s="12">
        <f>(AJ439+AI439)/30*7</f>
        <v>0.46666666666666667</v>
      </c>
      <c r="AL439" s="6">
        <f>IF(AK439-C439&lt;0,0,AK439-C439)</f>
        <v>0</v>
      </c>
      <c r="AM439" s="6">
        <f>IF(AL439-R439-S439&lt;0,0,AL439-R439-S439)</f>
        <v>0</v>
      </c>
      <c r="AN439" s="5" t="str">
        <f t="shared" si="13"/>
        <v/>
      </c>
      <c r="AO439" s="5">
        <v>0</v>
      </c>
      <c r="AP439" s="9"/>
      <c r="AQ439" s="5" t="s">
        <v>1210</v>
      </c>
      <c r="AR439" s="5" t="s">
        <v>1230</v>
      </c>
      <c r="AS439" s="8"/>
      <c r="AT439" s="8"/>
      <c r="AU439" s="8"/>
      <c r="AV439" s="8"/>
      <c r="AW439" s="8"/>
      <c r="AX439" s="8"/>
      <c r="AY439" s="8"/>
      <c r="AZ439" s="8"/>
    </row>
    <row r="440" spans="1:52">
      <c r="A440" s="5" t="s">
        <v>653</v>
      </c>
      <c r="B440" s="5">
        <v>105.16291</v>
      </c>
      <c r="C440" s="19">
        <v>40</v>
      </c>
      <c r="E440" s="14"/>
      <c r="F440" s="11"/>
      <c r="G440" s="11"/>
      <c r="H440" s="11"/>
      <c r="I440" s="11"/>
      <c r="J440" s="25"/>
      <c r="K440" s="11"/>
      <c r="L440" s="11"/>
      <c r="M440" s="19">
        <v>0</v>
      </c>
      <c r="O440" s="6"/>
      <c r="P440" s="16">
        <v>0</v>
      </c>
      <c r="Q440" s="16">
        <v>0</v>
      </c>
      <c r="R440" s="22"/>
      <c r="S440" s="22">
        <f t="shared" si="12"/>
        <v>0</v>
      </c>
      <c r="T440" s="5" t="s">
        <v>1210</v>
      </c>
      <c r="U440" s="5" t="s">
        <v>1210</v>
      </c>
      <c r="Y440" s="8"/>
      <c r="Z440" s="8"/>
      <c r="AA440" s="8"/>
      <c r="AB440" s="8"/>
      <c r="AC440" s="8"/>
      <c r="AD440" s="8"/>
      <c r="AE440" s="25"/>
      <c r="AF440" s="11"/>
      <c r="AG440" s="25"/>
      <c r="AH440" s="11"/>
      <c r="AI440" s="11">
        <v>2</v>
      </c>
      <c r="AJ440" s="19">
        <v>0</v>
      </c>
      <c r="AK440" s="12">
        <f>(AJ440+AI440)/30*7</f>
        <v>0.46666666666666667</v>
      </c>
      <c r="AL440" s="6">
        <f>IF(AK440-C440&lt;0,0,AK440-C440)</f>
        <v>0</v>
      </c>
      <c r="AM440" s="6">
        <f>IF(AL440-R440-S440&lt;0,0,AL440-R440-S440)</f>
        <v>0</v>
      </c>
      <c r="AN440" s="5" t="str">
        <f t="shared" si="13"/>
        <v/>
      </c>
      <c r="AO440" s="5">
        <v>0</v>
      </c>
      <c r="AP440" s="9"/>
      <c r="AQ440" s="5" t="s">
        <v>1210</v>
      </c>
      <c r="AR440" s="5" t="s">
        <v>1210</v>
      </c>
      <c r="AS440" s="8"/>
      <c r="AT440" s="8"/>
      <c r="AU440" s="8"/>
      <c r="AV440" s="8"/>
      <c r="AW440" s="8"/>
      <c r="AX440" s="8"/>
      <c r="AY440" s="8"/>
      <c r="AZ440" s="8"/>
    </row>
    <row r="441" spans="1:52">
      <c r="A441" s="5" t="s">
        <v>756</v>
      </c>
      <c r="B441" s="5">
        <v>448</v>
      </c>
      <c r="C441" s="19">
        <v>37</v>
      </c>
      <c r="E441" s="14"/>
      <c r="F441" s="11"/>
      <c r="G441" s="11"/>
      <c r="H441" s="11"/>
      <c r="I441" s="11"/>
      <c r="J441" s="25"/>
      <c r="K441" s="11"/>
      <c r="L441" s="11"/>
      <c r="M441" s="19">
        <v>0</v>
      </c>
      <c r="O441" s="6"/>
      <c r="P441" s="16">
        <v>0</v>
      </c>
      <c r="Q441" s="16">
        <v>0</v>
      </c>
      <c r="R441" s="22"/>
      <c r="S441" s="22">
        <f t="shared" si="12"/>
        <v>0</v>
      </c>
      <c r="T441" s="5">
        <v>398</v>
      </c>
      <c r="U441" s="5">
        <v>497</v>
      </c>
      <c r="Y441" s="8"/>
      <c r="Z441" s="8"/>
      <c r="AA441" s="8"/>
      <c r="AB441" s="8"/>
      <c r="AC441" s="8"/>
      <c r="AD441" s="8"/>
      <c r="AE441" s="25"/>
      <c r="AF441" s="11"/>
      <c r="AG441" s="25"/>
      <c r="AH441" s="11"/>
      <c r="AI441" s="11">
        <v>2</v>
      </c>
      <c r="AJ441" s="19">
        <v>0</v>
      </c>
      <c r="AK441" s="12">
        <f>(AJ441+AI441)/30*7</f>
        <v>0.46666666666666667</v>
      </c>
      <c r="AL441" s="6">
        <f>IF(AK441-C441&lt;0,0,AK441-C441)</f>
        <v>0</v>
      </c>
      <c r="AM441" s="6">
        <f>IF(AL441-R441-S441&lt;0,0,AL441-R441-S441)</f>
        <v>0</v>
      </c>
      <c r="AN441" s="5" t="str">
        <f t="shared" si="13"/>
        <v/>
      </c>
      <c r="AO441" s="5">
        <v>0</v>
      </c>
      <c r="AP441" s="9"/>
      <c r="AQ441" s="5" t="s">
        <v>1210</v>
      </c>
      <c r="AR441" s="5" t="s">
        <v>1210</v>
      </c>
      <c r="AS441" s="8"/>
      <c r="AT441" s="8"/>
      <c r="AU441" s="8"/>
      <c r="AV441" s="8"/>
      <c r="AW441" s="8"/>
      <c r="AX441" s="8"/>
      <c r="AY441" s="8"/>
      <c r="AZ441" s="8"/>
    </row>
    <row r="442" spans="1:52">
      <c r="A442" s="5" t="s">
        <v>955</v>
      </c>
      <c r="B442" s="5">
        <v>541</v>
      </c>
      <c r="C442" s="19">
        <v>28</v>
      </c>
      <c r="E442" s="14"/>
      <c r="F442" s="11"/>
      <c r="G442" s="11"/>
      <c r="H442" s="11"/>
      <c r="I442" s="11"/>
      <c r="J442" s="25"/>
      <c r="K442" s="11"/>
      <c r="L442" s="11"/>
      <c r="M442" s="19">
        <v>0</v>
      </c>
      <c r="O442" s="6"/>
      <c r="P442" s="16">
        <v>0</v>
      </c>
      <c r="Q442" s="16">
        <v>0</v>
      </c>
      <c r="R442" s="22"/>
      <c r="S442" s="22">
        <f t="shared" si="12"/>
        <v>0</v>
      </c>
      <c r="T442" s="5">
        <v>31</v>
      </c>
      <c r="U442" s="5">
        <v>651</v>
      </c>
      <c r="Y442" s="8"/>
      <c r="Z442" s="8"/>
      <c r="AA442" s="8"/>
      <c r="AB442" s="8"/>
      <c r="AC442" s="8"/>
      <c r="AD442" s="8"/>
      <c r="AE442" s="25"/>
      <c r="AF442" s="11"/>
      <c r="AG442" s="25"/>
      <c r="AH442" s="11"/>
      <c r="AI442" s="11">
        <v>2</v>
      </c>
      <c r="AJ442" s="19">
        <v>0</v>
      </c>
      <c r="AK442" s="12">
        <f>(AJ442+AI442)/30*7</f>
        <v>0.46666666666666667</v>
      </c>
      <c r="AL442" s="6">
        <f>IF(AK442-C442&lt;0,0,AK442-C442)</f>
        <v>0</v>
      </c>
      <c r="AM442" s="6">
        <f>IF(AL442-R442-S442&lt;0,0,AL442-R442-S442)</f>
        <v>0</v>
      </c>
      <c r="AN442" s="5" t="str">
        <f t="shared" si="13"/>
        <v/>
      </c>
      <c r="AO442" s="5">
        <v>0</v>
      </c>
      <c r="AP442" s="9"/>
      <c r="AQ442" s="5" t="s">
        <v>1210</v>
      </c>
      <c r="AR442" s="5" t="s">
        <v>1210</v>
      </c>
      <c r="AS442" s="8"/>
      <c r="AT442" s="8"/>
      <c r="AU442" s="8"/>
      <c r="AV442" s="8"/>
      <c r="AW442" s="8"/>
      <c r="AX442" s="8"/>
      <c r="AY442" s="8"/>
      <c r="AZ442" s="8"/>
    </row>
    <row r="443" spans="1:52">
      <c r="A443" s="5" t="s">
        <v>587</v>
      </c>
      <c r="B443" s="5">
        <v>714</v>
      </c>
      <c r="C443" s="19">
        <v>31</v>
      </c>
      <c r="E443" s="14"/>
      <c r="F443" s="11"/>
      <c r="G443" s="11"/>
      <c r="H443" s="11"/>
      <c r="I443" s="11"/>
      <c r="J443" s="25"/>
      <c r="K443" s="11"/>
      <c r="L443" s="11"/>
      <c r="M443" s="19">
        <v>0</v>
      </c>
      <c r="O443" s="6"/>
      <c r="P443" s="16">
        <v>0</v>
      </c>
      <c r="Q443" s="16">
        <v>0</v>
      </c>
      <c r="R443" s="22"/>
      <c r="S443" s="22">
        <f t="shared" si="12"/>
        <v>0</v>
      </c>
      <c r="T443" s="5">
        <v>383</v>
      </c>
      <c r="U443" s="5">
        <v>997</v>
      </c>
      <c r="Y443" s="8"/>
      <c r="Z443" s="8"/>
      <c r="AA443" s="8"/>
      <c r="AB443" s="8"/>
      <c r="AC443" s="8"/>
      <c r="AD443" s="8"/>
      <c r="AE443" s="25"/>
      <c r="AF443" s="11"/>
      <c r="AG443" s="25"/>
      <c r="AH443" s="11"/>
      <c r="AI443" s="11">
        <v>2</v>
      </c>
      <c r="AJ443" s="19">
        <v>0</v>
      </c>
      <c r="AK443" s="12">
        <f>(AJ443+AI443)/30*7</f>
        <v>0.46666666666666667</v>
      </c>
      <c r="AL443" s="6">
        <f>IF(AK443-C443&lt;0,0,AK443-C443)</f>
        <v>0</v>
      </c>
      <c r="AM443" s="6">
        <f>IF(AL443-R443-S443&lt;0,0,AL443-R443-S443)</f>
        <v>0</v>
      </c>
      <c r="AN443" s="5" t="str">
        <f t="shared" si="13"/>
        <v/>
      </c>
      <c r="AO443" s="5">
        <v>0</v>
      </c>
      <c r="AP443" s="9"/>
      <c r="AQ443" s="5" t="s">
        <v>1210</v>
      </c>
      <c r="AR443" s="5" t="s">
        <v>1210</v>
      </c>
      <c r="AS443" s="8"/>
      <c r="AT443" s="8"/>
      <c r="AU443" s="8"/>
      <c r="AV443" s="8"/>
      <c r="AW443" s="8"/>
      <c r="AX443" s="8"/>
      <c r="AY443" s="8"/>
      <c r="AZ443" s="8"/>
    </row>
    <row r="444" spans="1:52">
      <c r="A444" s="5" t="s">
        <v>842</v>
      </c>
      <c r="B444" s="5">
        <v>1879</v>
      </c>
      <c r="C444" s="19">
        <v>25</v>
      </c>
      <c r="E444" s="14"/>
      <c r="F444" s="11"/>
      <c r="G444" s="11"/>
      <c r="H444" s="11"/>
      <c r="I444" s="11"/>
      <c r="J444" s="25"/>
      <c r="K444" s="11"/>
      <c r="L444" s="11"/>
      <c r="M444" s="19">
        <v>0</v>
      </c>
      <c r="O444" s="6"/>
      <c r="P444" s="16">
        <v>0</v>
      </c>
      <c r="Q444" s="16">
        <v>0</v>
      </c>
      <c r="R444" s="22"/>
      <c r="S444" s="22">
        <f t="shared" si="12"/>
        <v>0</v>
      </c>
      <c r="T444" s="5">
        <v>1805</v>
      </c>
      <c r="U444" s="5">
        <v>761</v>
      </c>
      <c r="Y444" s="8"/>
      <c r="Z444" s="8"/>
      <c r="AA444" s="8"/>
      <c r="AB444" s="8"/>
      <c r="AC444" s="8"/>
      <c r="AD444" s="8"/>
      <c r="AE444" s="25"/>
      <c r="AF444" s="11"/>
      <c r="AG444" s="25"/>
      <c r="AH444" s="11"/>
      <c r="AI444" s="11">
        <v>2</v>
      </c>
      <c r="AJ444" s="19">
        <v>0</v>
      </c>
      <c r="AK444" s="12">
        <f>(AJ444+AI444)/30*7</f>
        <v>0.46666666666666667</v>
      </c>
      <c r="AL444" s="6">
        <f>IF(AK444-C444&lt;0,0,AK444-C444)</f>
        <v>0</v>
      </c>
      <c r="AM444" s="6">
        <f>IF(AL444-R444-S444&lt;0,0,AL444-R444-S444)</f>
        <v>0</v>
      </c>
      <c r="AN444" s="5" t="str">
        <f t="shared" si="13"/>
        <v/>
      </c>
      <c r="AO444" s="5">
        <v>0</v>
      </c>
      <c r="AP444" s="9"/>
      <c r="AQ444" s="5" t="s">
        <v>1210</v>
      </c>
      <c r="AR444" s="5" t="s">
        <v>1210</v>
      </c>
      <c r="AS444" s="8"/>
      <c r="AT444" s="8"/>
      <c r="AU444" s="8"/>
      <c r="AV444" s="8"/>
      <c r="AW444" s="8"/>
      <c r="AX444" s="8"/>
      <c r="AY444" s="8"/>
      <c r="AZ444" s="8"/>
    </row>
    <row r="445" spans="1:52">
      <c r="A445" s="5" t="s">
        <v>499</v>
      </c>
      <c r="B445" s="5">
        <v>912</v>
      </c>
      <c r="C445" s="19">
        <v>40</v>
      </c>
      <c r="E445" s="14"/>
      <c r="F445" s="11"/>
      <c r="G445" s="11"/>
      <c r="H445" s="11"/>
      <c r="I445" s="11"/>
      <c r="J445" s="25"/>
      <c r="K445" s="11"/>
      <c r="L445" s="11"/>
      <c r="M445" s="19">
        <v>0</v>
      </c>
      <c r="O445" s="6"/>
      <c r="P445" s="16">
        <v>349</v>
      </c>
      <c r="Q445" s="16">
        <v>0</v>
      </c>
      <c r="R445" s="22"/>
      <c r="S445" s="22">
        <f t="shared" si="12"/>
        <v>0</v>
      </c>
      <c r="T445" s="5" t="s">
        <v>1210</v>
      </c>
      <c r="U445" s="5" t="s">
        <v>1210</v>
      </c>
      <c r="Y445" s="8"/>
      <c r="Z445" s="8"/>
      <c r="AA445" s="8"/>
      <c r="AB445" s="8"/>
      <c r="AC445" s="8"/>
      <c r="AD445" s="8"/>
      <c r="AE445" s="25"/>
      <c r="AF445" s="11"/>
      <c r="AG445" s="25"/>
      <c r="AH445" s="11"/>
      <c r="AI445" s="11">
        <v>1</v>
      </c>
      <c r="AJ445" s="19">
        <v>0</v>
      </c>
      <c r="AK445" s="12">
        <f>(AJ445+AI445)/30*7</f>
        <v>0.23333333333333334</v>
      </c>
      <c r="AL445" s="6">
        <f>IF(AK445-C445&lt;0,0,AK445-C445)</f>
        <v>0</v>
      </c>
      <c r="AM445" s="6">
        <f>IF(AL445-R445-S445&lt;0,0,AL445-R445-S445)</f>
        <v>0</v>
      </c>
      <c r="AN445" s="5" t="str">
        <f t="shared" si="13"/>
        <v/>
      </c>
      <c r="AO445" s="5">
        <v>0</v>
      </c>
      <c r="AP445" s="9"/>
      <c r="AQ445" s="5" t="s">
        <v>1210</v>
      </c>
      <c r="AR445" s="5" t="s">
        <v>1210</v>
      </c>
      <c r="AS445" s="8"/>
      <c r="AT445" s="8"/>
      <c r="AU445" s="8"/>
      <c r="AV445" s="8"/>
      <c r="AW445" s="8"/>
      <c r="AX445" s="8"/>
      <c r="AY445" s="8"/>
      <c r="AZ445" s="8"/>
    </row>
    <row r="446" spans="1:52">
      <c r="A446" s="5" t="s">
        <v>839</v>
      </c>
      <c r="B446" s="5">
        <v>458</v>
      </c>
      <c r="C446" s="19">
        <v>35</v>
      </c>
      <c r="E446" s="14"/>
      <c r="F446" s="11"/>
      <c r="G446" s="11"/>
      <c r="H446" s="11"/>
      <c r="I446" s="11"/>
      <c r="J446" s="25"/>
      <c r="K446" s="11"/>
      <c r="L446" s="11"/>
      <c r="M446" s="19">
        <v>0</v>
      </c>
      <c r="O446" s="6"/>
      <c r="P446" s="16">
        <v>0</v>
      </c>
      <c r="Q446" s="16">
        <v>0</v>
      </c>
      <c r="R446" s="22"/>
      <c r="S446" s="22">
        <f t="shared" si="12"/>
        <v>0</v>
      </c>
      <c r="T446" s="5" t="s">
        <v>1210</v>
      </c>
      <c r="U446" s="5" t="s">
        <v>1210</v>
      </c>
      <c r="Y446" s="8"/>
      <c r="Z446" s="8"/>
      <c r="AA446" s="8"/>
      <c r="AB446" s="8"/>
      <c r="AC446" s="8"/>
      <c r="AD446" s="8"/>
      <c r="AE446" s="25"/>
      <c r="AF446" s="11"/>
      <c r="AG446" s="25"/>
      <c r="AH446" s="11"/>
      <c r="AI446" s="11">
        <v>1</v>
      </c>
      <c r="AJ446" s="19">
        <v>0</v>
      </c>
      <c r="AK446" s="12">
        <f>(AJ446+AI446)/30*7</f>
        <v>0.23333333333333334</v>
      </c>
      <c r="AL446" s="6">
        <f>IF(AK446-C446&lt;0,0,AK446-C446)</f>
        <v>0</v>
      </c>
      <c r="AM446" s="6">
        <f>IF(AL446-R446-S446&lt;0,0,AL446-R446-S446)</f>
        <v>0</v>
      </c>
      <c r="AN446" s="5" t="str">
        <f t="shared" si="13"/>
        <v/>
      </c>
      <c r="AO446" s="5">
        <v>0</v>
      </c>
      <c r="AP446" s="9"/>
      <c r="AQ446" s="5" t="s">
        <v>1210</v>
      </c>
      <c r="AR446" s="5" t="s">
        <v>1210</v>
      </c>
      <c r="AS446" s="8"/>
      <c r="AT446" s="8"/>
      <c r="AU446" s="8"/>
      <c r="AV446" s="8"/>
      <c r="AW446" s="8"/>
      <c r="AX446" s="8"/>
      <c r="AY446" s="8"/>
      <c r="AZ446" s="8"/>
    </row>
    <row r="447" spans="1:52">
      <c r="A447" s="5" t="s">
        <v>846</v>
      </c>
      <c r="B447" s="5">
        <v>283</v>
      </c>
      <c r="C447" s="19">
        <v>32</v>
      </c>
      <c r="E447" s="14"/>
      <c r="F447" s="11"/>
      <c r="G447" s="11"/>
      <c r="H447" s="11"/>
      <c r="I447" s="11"/>
      <c r="J447" s="25"/>
      <c r="K447" s="11"/>
      <c r="L447" s="11"/>
      <c r="M447" s="19">
        <v>0</v>
      </c>
      <c r="O447" s="6"/>
      <c r="P447" s="16">
        <v>0</v>
      </c>
      <c r="Q447" s="16">
        <v>0</v>
      </c>
      <c r="R447" s="22"/>
      <c r="S447" s="22">
        <f t="shared" si="12"/>
        <v>0</v>
      </c>
      <c r="T447" s="5">
        <v>332</v>
      </c>
      <c r="U447" s="5">
        <v>414</v>
      </c>
      <c r="Y447" s="8"/>
      <c r="Z447" s="8"/>
      <c r="AA447" s="8"/>
      <c r="AB447" s="8"/>
      <c r="AC447" s="8"/>
      <c r="AD447" s="8"/>
      <c r="AE447" s="25"/>
      <c r="AF447" s="11"/>
      <c r="AG447" s="25"/>
      <c r="AH447" s="11"/>
      <c r="AI447" s="11">
        <v>1</v>
      </c>
      <c r="AJ447" s="19">
        <v>0</v>
      </c>
      <c r="AK447" s="12">
        <f>(AJ447+AI447)/30*7</f>
        <v>0.23333333333333334</v>
      </c>
      <c r="AL447" s="6">
        <f>IF(AK447-C447&lt;0,0,AK447-C447)</f>
        <v>0</v>
      </c>
      <c r="AM447" s="6">
        <f>IF(AL447-R447-S447&lt;0,0,AL447-R447-S447)</f>
        <v>0</v>
      </c>
      <c r="AN447" s="5" t="str">
        <f t="shared" si="13"/>
        <v/>
      </c>
      <c r="AO447" s="5">
        <v>0</v>
      </c>
      <c r="AP447" s="9"/>
      <c r="AQ447" s="5" t="s">
        <v>1210</v>
      </c>
      <c r="AR447" s="5" t="s">
        <v>1210</v>
      </c>
      <c r="AS447" s="8"/>
      <c r="AT447" s="8"/>
      <c r="AU447" s="8"/>
      <c r="AV447" s="8"/>
      <c r="AW447" s="8"/>
      <c r="AX447" s="8"/>
      <c r="AY447" s="8"/>
      <c r="AZ447" s="8"/>
    </row>
    <row r="448" spans="1:52">
      <c r="A448" s="5" t="s">
        <v>1043</v>
      </c>
      <c r="B448" s="5">
        <v>411</v>
      </c>
      <c r="C448" s="19">
        <v>19</v>
      </c>
      <c r="E448" s="14"/>
      <c r="F448" s="11"/>
      <c r="G448" s="11"/>
      <c r="H448" s="11"/>
      <c r="I448" s="11"/>
      <c r="J448" s="25"/>
      <c r="K448" s="11"/>
      <c r="L448" s="11"/>
      <c r="M448" s="19">
        <v>0</v>
      </c>
      <c r="O448" s="6"/>
      <c r="P448" s="16">
        <v>0</v>
      </c>
      <c r="Q448" s="16">
        <v>0</v>
      </c>
      <c r="R448" s="22"/>
      <c r="S448" s="22">
        <f t="shared" si="12"/>
        <v>0</v>
      </c>
      <c r="T448" s="5" t="s">
        <v>1210</v>
      </c>
      <c r="U448" s="5" t="s">
        <v>1210</v>
      </c>
      <c r="Y448" s="8"/>
      <c r="Z448" s="8"/>
      <c r="AA448" s="8"/>
      <c r="AB448" s="8"/>
      <c r="AC448" s="8"/>
      <c r="AD448" s="8"/>
      <c r="AE448" s="25"/>
      <c r="AF448" s="11"/>
      <c r="AG448" s="25"/>
      <c r="AH448" s="11"/>
      <c r="AI448" s="11">
        <v>1</v>
      </c>
      <c r="AJ448" s="19">
        <v>0</v>
      </c>
      <c r="AK448" s="12">
        <f>(AJ448+AI448)/30*7</f>
        <v>0.23333333333333334</v>
      </c>
      <c r="AL448" s="6">
        <f>IF(AK448-C448&lt;0,0,AK448-C448)</f>
        <v>0</v>
      </c>
      <c r="AM448" s="6">
        <f>IF(AL448-R448-S448&lt;0,0,AL448-R448-S448)</f>
        <v>0</v>
      </c>
      <c r="AN448" s="5" t="str">
        <f t="shared" si="13"/>
        <v/>
      </c>
      <c r="AO448" s="5">
        <v>0</v>
      </c>
      <c r="AP448" s="9"/>
      <c r="AQ448" s="5" t="s">
        <v>1210</v>
      </c>
      <c r="AR448" s="5" t="s">
        <v>1210</v>
      </c>
      <c r="AS448" s="8"/>
      <c r="AT448" s="8"/>
      <c r="AU448" s="8"/>
      <c r="AV448" s="8"/>
      <c r="AW448" s="8"/>
      <c r="AX448" s="8"/>
      <c r="AY448" s="8"/>
      <c r="AZ448" s="8"/>
    </row>
    <row r="449" spans="1:52">
      <c r="A449" s="5" t="s">
        <v>572</v>
      </c>
      <c r="B449" s="5">
        <v>460</v>
      </c>
      <c r="C449" s="19">
        <v>34</v>
      </c>
      <c r="E449" s="14"/>
      <c r="F449" s="11"/>
      <c r="G449" s="11"/>
      <c r="H449" s="11"/>
      <c r="I449" s="11"/>
      <c r="J449" s="25"/>
      <c r="K449" s="11"/>
      <c r="L449" s="11"/>
      <c r="M449" s="19">
        <v>0</v>
      </c>
      <c r="O449" s="6"/>
      <c r="P449" s="16">
        <v>0</v>
      </c>
      <c r="Q449" s="16">
        <v>0</v>
      </c>
      <c r="R449" s="22"/>
      <c r="S449" s="22">
        <f t="shared" si="12"/>
        <v>0</v>
      </c>
      <c r="T449" s="5">
        <v>647</v>
      </c>
      <c r="U449" s="5">
        <v>738</v>
      </c>
      <c r="Y449" s="8"/>
      <c r="Z449" s="8"/>
      <c r="AA449" s="8"/>
      <c r="AB449" s="8"/>
      <c r="AC449" s="8"/>
      <c r="AD449" s="8"/>
      <c r="AE449" s="25"/>
      <c r="AF449" s="11"/>
      <c r="AG449" s="25"/>
      <c r="AH449" s="11"/>
      <c r="AI449" s="11">
        <v>1</v>
      </c>
      <c r="AJ449" s="19">
        <v>0</v>
      </c>
      <c r="AK449" s="12">
        <f>(AJ449+AI449)/30*7</f>
        <v>0.23333333333333334</v>
      </c>
      <c r="AL449" s="6">
        <f>IF(AK449-C449&lt;0,0,AK449-C449)</f>
        <v>0</v>
      </c>
      <c r="AM449" s="6">
        <f>IF(AL449-R449-S449&lt;0,0,AL449-R449-S449)</f>
        <v>0</v>
      </c>
      <c r="AN449" s="5" t="str">
        <f t="shared" si="13"/>
        <v/>
      </c>
      <c r="AO449" s="5">
        <v>0</v>
      </c>
      <c r="AP449" s="9"/>
      <c r="AQ449" s="5" t="s">
        <v>1210</v>
      </c>
      <c r="AR449" s="5" t="s">
        <v>1210</v>
      </c>
      <c r="AS449" s="8"/>
      <c r="AT449" s="8"/>
      <c r="AU449" s="8"/>
      <c r="AV449" s="8"/>
      <c r="AW449" s="8"/>
      <c r="AX449" s="8"/>
      <c r="AY449" s="8"/>
      <c r="AZ449" s="8"/>
    </row>
    <row r="450" spans="1:52">
      <c r="A450" s="5" t="s">
        <v>975</v>
      </c>
      <c r="B450" s="5">
        <v>555</v>
      </c>
      <c r="C450" s="19">
        <v>38</v>
      </c>
      <c r="E450" s="14"/>
      <c r="F450" s="11"/>
      <c r="G450" s="11"/>
      <c r="H450" s="11"/>
      <c r="I450" s="11"/>
      <c r="J450" s="25"/>
      <c r="K450" s="11"/>
      <c r="L450" s="11"/>
      <c r="M450" s="19">
        <v>0</v>
      </c>
      <c r="O450" s="6"/>
      <c r="P450" s="16">
        <v>0</v>
      </c>
      <c r="Q450" s="16">
        <v>0</v>
      </c>
      <c r="R450" s="22"/>
      <c r="S450" s="22">
        <f t="shared" si="12"/>
        <v>0</v>
      </c>
      <c r="T450" s="5" t="s">
        <v>1239</v>
      </c>
      <c r="U450" s="5">
        <v>0</v>
      </c>
      <c r="Y450" s="8"/>
      <c r="Z450" s="8"/>
      <c r="AA450" s="8"/>
      <c r="AB450" s="8"/>
      <c r="AC450" s="8"/>
      <c r="AD450" s="8"/>
      <c r="AE450" s="25"/>
      <c r="AF450" s="11"/>
      <c r="AG450" s="25"/>
      <c r="AH450" s="11"/>
      <c r="AI450" s="11">
        <v>1</v>
      </c>
      <c r="AJ450" s="19">
        <v>0</v>
      </c>
      <c r="AK450" s="12">
        <f>(AJ450+AI450)/30*7</f>
        <v>0.23333333333333334</v>
      </c>
      <c r="AL450" s="6">
        <f>IF(AK450-C450&lt;0,0,AK450-C450)</f>
        <v>0</v>
      </c>
      <c r="AM450" s="6">
        <f>IF(AL450-R450-S450&lt;0,0,AL450-R450-S450)</f>
        <v>0</v>
      </c>
      <c r="AN450" s="5" t="str">
        <f t="shared" si="13"/>
        <v/>
      </c>
      <c r="AO450" s="5">
        <v>0</v>
      </c>
      <c r="AP450" s="9"/>
      <c r="AQ450" s="5" t="s">
        <v>1210</v>
      </c>
      <c r="AR450" s="5" t="s">
        <v>1210</v>
      </c>
      <c r="AS450" s="8"/>
      <c r="AT450" s="8"/>
      <c r="AU450" s="8"/>
      <c r="AV450" s="8"/>
      <c r="AW450" s="8"/>
      <c r="AX450" s="8"/>
      <c r="AY450" s="8"/>
      <c r="AZ450" s="8"/>
    </row>
    <row r="451" spans="1:52">
      <c r="A451" s="5" t="s">
        <v>676</v>
      </c>
      <c r="B451" s="5">
        <v>1813</v>
      </c>
      <c r="C451" s="19">
        <v>16</v>
      </c>
      <c r="E451" s="14"/>
      <c r="F451" s="11"/>
      <c r="G451" s="11"/>
      <c r="H451" s="11"/>
      <c r="I451" s="11"/>
      <c r="J451" s="25"/>
      <c r="K451" s="11"/>
      <c r="L451" s="11"/>
      <c r="M451" s="19">
        <v>0</v>
      </c>
      <c r="O451" s="6"/>
      <c r="P451" s="16">
        <v>0</v>
      </c>
      <c r="Q451" s="16">
        <v>0</v>
      </c>
      <c r="R451" s="22"/>
      <c r="S451" s="22">
        <f t="shared" si="12"/>
        <v>0</v>
      </c>
      <c r="T451" s="5">
        <v>1848</v>
      </c>
      <c r="U451" s="5">
        <v>542</v>
      </c>
      <c r="Y451" s="8"/>
      <c r="Z451" s="8"/>
      <c r="AA451" s="8"/>
      <c r="AB451" s="8"/>
      <c r="AC451" s="8"/>
      <c r="AD451" s="8"/>
      <c r="AE451" s="25"/>
      <c r="AF451" s="11"/>
      <c r="AG451" s="25"/>
      <c r="AH451" s="11"/>
      <c r="AI451" s="11">
        <v>1</v>
      </c>
      <c r="AJ451" s="19">
        <v>0</v>
      </c>
      <c r="AK451" s="12">
        <f>(AJ451+AI451)/30*7</f>
        <v>0.23333333333333334</v>
      </c>
      <c r="AL451" s="6">
        <f>IF(AK451-C451&lt;0,0,AK451-C451)</f>
        <v>0</v>
      </c>
      <c r="AM451" s="6">
        <f>IF(AL451-R451-S451&lt;0,0,AL451-R451-S451)</f>
        <v>0</v>
      </c>
      <c r="AN451" s="5" t="str">
        <f t="shared" si="13"/>
        <v/>
      </c>
      <c r="AO451" s="5">
        <v>0</v>
      </c>
      <c r="AP451" s="9"/>
      <c r="AQ451" s="5" t="s">
        <v>1210</v>
      </c>
      <c r="AR451" s="5" t="s">
        <v>1210</v>
      </c>
      <c r="AS451" s="8"/>
      <c r="AT451" s="8"/>
      <c r="AU451" s="8"/>
      <c r="AV451" s="8"/>
      <c r="AW451" s="8"/>
      <c r="AX451" s="8"/>
      <c r="AY451" s="8"/>
      <c r="AZ451" s="8"/>
    </row>
    <row r="452" spans="1:52">
      <c r="A452" s="5" t="s">
        <v>1094</v>
      </c>
      <c r="B452" s="5">
        <v>1877</v>
      </c>
      <c r="C452" s="19">
        <v>27</v>
      </c>
      <c r="E452" s="14"/>
      <c r="F452" s="11"/>
      <c r="G452" s="11"/>
      <c r="H452" s="11"/>
      <c r="I452" s="11"/>
      <c r="J452" s="25"/>
      <c r="K452" s="11"/>
      <c r="L452" s="11"/>
      <c r="M452" s="19">
        <v>0</v>
      </c>
      <c r="O452" s="6"/>
      <c r="P452" s="16">
        <v>420</v>
      </c>
      <c r="Q452" s="16">
        <v>0</v>
      </c>
      <c r="R452" s="22"/>
      <c r="S452" s="22">
        <f t="shared" ref="S452:S515" si="14">IF(AL452&gt;0,IF(Q452&gt;=AL452,ROUND(AL452,0),Q452),0)</f>
        <v>0</v>
      </c>
      <c r="T452" s="5">
        <v>1914</v>
      </c>
      <c r="U452" s="5">
        <v>817</v>
      </c>
      <c r="Y452" s="8"/>
      <c r="Z452" s="8"/>
      <c r="AA452" s="8"/>
      <c r="AB452" s="8"/>
      <c r="AC452" s="8"/>
      <c r="AD452" s="8"/>
      <c r="AE452" s="25"/>
      <c r="AF452" s="11"/>
      <c r="AG452" s="25"/>
      <c r="AH452" s="11"/>
      <c r="AI452" s="11">
        <v>1</v>
      </c>
      <c r="AJ452" s="19">
        <v>0</v>
      </c>
      <c r="AK452" s="12">
        <f>(AJ452+AI452)/30*7</f>
        <v>0.23333333333333334</v>
      </c>
      <c r="AL452" s="6">
        <f>IF(AK452-C452&lt;0,0,AK452-C452)</f>
        <v>0</v>
      </c>
      <c r="AM452" s="6">
        <f>IF(AL452-R452-S452&lt;0,0,AL452-R452-S452)</f>
        <v>0</v>
      </c>
      <c r="AN452" s="5" t="str">
        <f t="shared" ref="AN452:AN515" si="15">IF(AM452&gt;0,IF(LEN(U452)=0,IF(ROUND(AM452-AO452,0)&gt;0,ROUND(AM452-AO452,0),""),IF(U452+AO452&gt;=AM452,"",ROUND(AM452-U452-AO452,0))),"")</f>
        <v/>
      </c>
      <c r="AO452" s="5">
        <v>0</v>
      </c>
      <c r="AP452" s="9"/>
      <c r="AQ452" s="5" t="s">
        <v>1210</v>
      </c>
      <c r="AR452" s="5" t="s">
        <v>1230</v>
      </c>
      <c r="AS452" s="8"/>
      <c r="AT452" s="8"/>
      <c r="AU452" s="8"/>
      <c r="AV452" s="8"/>
      <c r="AW452" s="8"/>
      <c r="AX452" s="8"/>
      <c r="AY452" s="8"/>
      <c r="AZ452" s="8"/>
    </row>
    <row r="453" spans="1:52">
      <c r="A453" s="5" t="s">
        <v>85</v>
      </c>
      <c r="B453" s="5">
        <v>1668</v>
      </c>
      <c r="C453" s="19">
        <v>441</v>
      </c>
      <c r="E453" s="14"/>
      <c r="F453" s="11"/>
      <c r="G453" s="11"/>
      <c r="H453" s="11"/>
      <c r="I453" s="11"/>
      <c r="J453" s="25"/>
      <c r="K453" s="11"/>
      <c r="L453" s="11"/>
      <c r="M453" s="19">
        <v>0</v>
      </c>
      <c r="O453" s="6"/>
      <c r="P453" s="16">
        <v>522</v>
      </c>
      <c r="Q453" s="16">
        <v>0</v>
      </c>
      <c r="R453" s="22"/>
      <c r="S453" s="22">
        <f t="shared" si="14"/>
        <v>0</v>
      </c>
      <c r="T453" s="5" t="s">
        <v>1210</v>
      </c>
      <c r="U453" s="5" t="s">
        <v>1210</v>
      </c>
      <c r="Y453" s="8"/>
      <c r="Z453" s="8"/>
      <c r="AA453" s="8"/>
      <c r="AB453" s="8"/>
      <c r="AC453" s="8"/>
      <c r="AD453" s="8"/>
      <c r="AE453" s="25"/>
      <c r="AF453" s="11"/>
      <c r="AG453" s="25"/>
      <c r="AH453" s="11"/>
      <c r="AI453" s="11">
        <v>96</v>
      </c>
      <c r="AJ453" s="19">
        <v>128</v>
      </c>
      <c r="AK453" s="12">
        <f>(AJ453+AI453)/30*7</f>
        <v>52.266666666666666</v>
      </c>
      <c r="AL453" s="6">
        <f>IF(AK453-C453&lt;0,0,AK453-C453)</f>
        <v>0</v>
      </c>
      <c r="AM453" s="6">
        <f>IF(AL453-R453-S453&lt;0,0,AL453-R453-S453)</f>
        <v>0</v>
      </c>
      <c r="AN453" s="5" t="str">
        <f t="shared" si="15"/>
        <v/>
      </c>
      <c r="AO453" s="5">
        <v>0</v>
      </c>
      <c r="AP453" s="9"/>
      <c r="AQ453" s="5" t="s">
        <v>1210</v>
      </c>
      <c r="AR453" s="5" t="s">
        <v>1210</v>
      </c>
      <c r="AS453" s="8"/>
      <c r="AT453" s="8"/>
      <c r="AU453" s="8"/>
      <c r="AV453" s="8"/>
      <c r="AW453" s="8"/>
      <c r="AX453" s="8"/>
      <c r="AY453" s="8"/>
      <c r="AZ453" s="8"/>
    </row>
    <row r="454" spans="1:52">
      <c r="A454" s="5" t="s">
        <v>13</v>
      </c>
      <c r="B454" s="5">
        <v>1273</v>
      </c>
      <c r="C454" s="19">
        <v>843</v>
      </c>
      <c r="E454" s="14"/>
      <c r="F454" s="11"/>
      <c r="G454" s="11"/>
      <c r="H454" s="11"/>
      <c r="I454" s="11"/>
      <c r="J454" s="25"/>
      <c r="K454" s="11"/>
      <c r="L454" s="11"/>
      <c r="M454" s="19">
        <v>10</v>
      </c>
      <c r="O454" s="6"/>
      <c r="P454" s="16">
        <v>251</v>
      </c>
      <c r="Q454" s="16">
        <v>399</v>
      </c>
      <c r="R454" s="22"/>
      <c r="S454" s="22">
        <f t="shared" si="14"/>
        <v>0</v>
      </c>
      <c r="T454" s="5" t="s">
        <v>1210</v>
      </c>
      <c r="U454" s="5" t="s">
        <v>1210</v>
      </c>
      <c r="Y454" s="8"/>
      <c r="Z454" s="8"/>
      <c r="AA454" s="8"/>
      <c r="AB454" s="8"/>
      <c r="AC454" s="8"/>
      <c r="AD454" s="8"/>
      <c r="AE454" s="25"/>
      <c r="AF454" s="11"/>
      <c r="AG454" s="25"/>
      <c r="AH454" s="11"/>
      <c r="AI454" s="11">
        <v>89</v>
      </c>
      <c r="AJ454" s="19">
        <v>143</v>
      </c>
      <c r="AK454" s="12">
        <f>(AJ454+AI454)/30*7</f>
        <v>54.133333333333333</v>
      </c>
      <c r="AL454" s="6">
        <f>IF(AK454-C454&lt;0,0,AK454-C454)</f>
        <v>0</v>
      </c>
      <c r="AM454" s="6">
        <f>IF(AL454-R454-S454&lt;0,0,AL454-R454-S454)</f>
        <v>0</v>
      </c>
      <c r="AN454" s="5" t="str">
        <f t="shared" si="15"/>
        <v/>
      </c>
      <c r="AO454" s="5">
        <v>0</v>
      </c>
      <c r="AP454" s="9"/>
      <c r="AQ454" s="5" t="s">
        <v>1229</v>
      </c>
      <c r="AR454" s="5" t="s">
        <v>1210</v>
      </c>
      <c r="AS454" s="8"/>
      <c r="AT454" s="8"/>
      <c r="AU454" s="8"/>
      <c r="AV454" s="8"/>
      <c r="AW454" s="8"/>
      <c r="AX454" s="8"/>
      <c r="AY454" s="8"/>
      <c r="AZ454" s="8"/>
    </row>
    <row r="455" spans="1:52">
      <c r="A455" s="5" t="s">
        <v>41</v>
      </c>
      <c r="B455" s="5">
        <v>1275</v>
      </c>
      <c r="C455" s="19">
        <v>825</v>
      </c>
      <c r="E455" s="14"/>
      <c r="F455" s="11"/>
      <c r="G455" s="11"/>
      <c r="H455" s="11"/>
      <c r="I455" s="11"/>
      <c r="J455" s="25"/>
      <c r="K455" s="11"/>
      <c r="L455" s="11"/>
      <c r="M455" s="19">
        <v>5</v>
      </c>
      <c r="O455" s="6"/>
      <c r="P455" s="16">
        <v>844</v>
      </c>
      <c r="Q455" s="16">
        <v>0</v>
      </c>
      <c r="R455" s="22"/>
      <c r="S455" s="22">
        <f t="shared" si="14"/>
        <v>0</v>
      </c>
      <c r="T455" s="5" t="s">
        <v>1210</v>
      </c>
      <c r="U455" s="5" t="s">
        <v>1210</v>
      </c>
      <c r="Y455" s="8"/>
      <c r="Z455" s="8"/>
      <c r="AA455" s="8"/>
      <c r="AB455" s="8"/>
      <c r="AC455" s="8"/>
      <c r="AD455" s="8"/>
      <c r="AE455" s="25"/>
      <c r="AF455" s="11"/>
      <c r="AG455" s="25"/>
      <c r="AH455" s="11"/>
      <c r="AI455" s="11">
        <v>100</v>
      </c>
      <c r="AJ455" s="19">
        <v>127</v>
      </c>
      <c r="AK455" s="12">
        <f>(AJ455+AI455)/30*7</f>
        <v>52.966666666666669</v>
      </c>
      <c r="AL455" s="6">
        <f>IF(AK455-C455&lt;0,0,AK455-C455)</f>
        <v>0</v>
      </c>
      <c r="AM455" s="6">
        <f>IF(AL455-R455-S455&lt;0,0,AL455-R455-S455)</f>
        <v>0</v>
      </c>
      <c r="AN455" s="5" t="str">
        <f t="shared" si="15"/>
        <v/>
      </c>
      <c r="AO455" s="5">
        <v>0</v>
      </c>
      <c r="AP455" s="9"/>
      <c r="AQ455" s="5" t="s">
        <v>1229</v>
      </c>
      <c r="AR455" s="5" t="s">
        <v>1210</v>
      </c>
      <c r="AS455" s="8"/>
      <c r="AT455" s="8"/>
      <c r="AU455" s="8"/>
      <c r="AV455" s="8"/>
      <c r="AW455" s="8"/>
      <c r="AX455" s="8"/>
      <c r="AY455" s="8"/>
      <c r="AZ455" s="8"/>
    </row>
    <row r="456" spans="1:52">
      <c r="A456" s="5" t="s">
        <v>4</v>
      </c>
      <c r="B456" s="5">
        <v>898</v>
      </c>
      <c r="C456" s="19">
        <v>744</v>
      </c>
      <c r="E456" s="14"/>
      <c r="F456" s="11"/>
      <c r="G456" s="11"/>
      <c r="H456" s="11"/>
      <c r="I456" s="11"/>
      <c r="J456" s="25"/>
      <c r="K456" s="11"/>
      <c r="L456" s="11"/>
      <c r="M456" s="19">
        <v>0</v>
      </c>
      <c r="O456" s="6"/>
      <c r="P456" s="16">
        <v>205</v>
      </c>
      <c r="Q456" s="16">
        <v>0</v>
      </c>
      <c r="R456" s="22"/>
      <c r="S456" s="22">
        <f t="shared" si="14"/>
        <v>0</v>
      </c>
      <c r="T456" s="5" t="s">
        <v>1210</v>
      </c>
      <c r="U456" s="5" t="s">
        <v>1210</v>
      </c>
      <c r="Y456" s="8"/>
      <c r="Z456" s="8"/>
      <c r="AA456" s="8"/>
      <c r="AB456" s="8"/>
      <c r="AC456" s="8"/>
      <c r="AD456" s="8"/>
      <c r="AE456" s="25"/>
      <c r="AF456" s="11"/>
      <c r="AG456" s="25"/>
      <c r="AH456" s="11"/>
      <c r="AI456" s="11">
        <v>88</v>
      </c>
      <c r="AJ456" s="19">
        <v>151</v>
      </c>
      <c r="AK456" s="12">
        <f>(AJ456+AI456)/30*7</f>
        <v>55.766666666666666</v>
      </c>
      <c r="AL456" s="6">
        <f>IF(AK456-C456&lt;0,0,AK456-C456)</f>
        <v>0</v>
      </c>
      <c r="AM456" s="6">
        <f>IF(AL456-R456-S456&lt;0,0,AL456-R456-S456)</f>
        <v>0</v>
      </c>
      <c r="AN456" s="5" t="str">
        <f t="shared" si="15"/>
        <v/>
      </c>
      <c r="AO456" s="5">
        <v>0</v>
      </c>
      <c r="AP456" s="9"/>
      <c r="AQ456" s="5" t="s">
        <v>1229</v>
      </c>
      <c r="AR456" s="5" t="s">
        <v>1210</v>
      </c>
      <c r="AS456" s="8"/>
      <c r="AT456" s="8"/>
      <c r="AU456" s="8"/>
      <c r="AV456" s="8"/>
      <c r="AW456" s="8"/>
      <c r="AX456" s="8"/>
      <c r="AY456" s="8"/>
      <c r="AZ456" s="8"/>
    </row>
    <row r="457" spans="1:52">
      <c r="A457" s="5" t="s">
        <v>130</v>
      </c>
      <c r="B457" s="5">
        <v>1113</v>
      </c>
      <c r="C457" s="19">
        <v>836</v>
      </c>
      <c r="E457" s="14"/>
      <c r="F457" s="11"/>
      <c r="G457" s="11"/>
      <c r="H457" s="11"/>
      <c r="I457" s="11"/>
      <c r="J457" s="25"/>
      <c r="K457" s="11"/>
      <c r="L457" s="11"/>
      <c r="M457" s="19">
        <v>0</v>
      </c>
      <c r="O457" s="6"/>
      <c r="P457" s="16">
        <v>541</v>
      </c>
      <c r="Q457" s="16">
        <v>0</v>
      </c>
      <c r="R457" s="22"/>
      <c r="S457" s="22">
        <f t="shared" si="14"/>
        <v>0</v>
      </c>
      <c r="T457" s="5" t="s">
        <v>1210</v>
      </c>
      <c r="U457" s="5" t="s">
        <v>1210</v>
      </c>
      <c r="Y457" s="8"/>
      <c r="Z457" s="8"/>
      <c r="AA457" s="8"/>
      <c r="AB457" s="8"/>
      <c r="AC457" s="8"/>
      <c r="AD457" s="8"/>
      <c r="AE457" s="25"/>
      <c r="AF457" s="11"/>
      <c r="AG457" s="25"/>
      <c r="AH457" s="11"/>
      <c r="AI457" s="11">
        <v>85</v>
      </c>
      <c r="AJ457" s="19">
        <v>105</v>
      </c>
      <c r="AK457" s="12">
        <f>(AJ457+AI457)/30*7</f>
        <v>44.333333333333329</v>
      </c>
      <c r="AL457" s="6">
        <f>IF(AK457-C457&lt;0,0,AK457-C457)</f>
        <v>0</v>
      </c>
      <c r="AM457" s="6">
        <f>IF(AL457-R457-S457&lt;0,0,AL457-R457-S457)</f>
        <v>0</v>
      </c>
      <c r="AN457" s="5" t="str">
        <f t="shared" si="15"/>
        <v/>
      </c>
      <c r="AO457" s="5">
        <v>0</v>
      </c>
      <c r="AP457" s="9"/>
      <c r="AQ457" s="5" t="s">
        <v>1210</v>
      </c>
      <c r="AR457" s="5" t="s">
        <v>1210</v>
      </c>
      <c r="AS457" s="8"/>
      <c r="AT457" s="8"/>
      <c r="AU457" s="8"/>
      <c r="AV457" s="8"/>
      <c r="AW457" s="8"/>
      <c r="AX457" s="8"/>
      <c r="AY457" s="8"/>
      <c r="AZ457" s="8"/>
    </row>
    <row r="458" spans="1:52">
      <c r="A458" s="5" t="s">
        <v>109</v>
      </c>
      <c r="B458" s="5">
        <v>1094</v>
      </c>
      <c r="C458" s="19">
        <v>272</v>
      </c>
      <c r="E458" s="14"/>
      <c r="F458" s="11"/>
      <c r="G458" s="11"/>
      <c r="H458" s="11"/>
      <c r="I458" s="11"/>
      <c r="J458" s="25"/>
      <c r="K458" s="11"/>
      <c r="L458" s="11"/>
      <c r="M458" s="19">
        <v>0</v>
      </c>
      <c r="O458" s="6"/>
      <c r="P458" s="16">
        <v>713</v>
      </c>
      <c r="Q458" s="16">
        <v>0</v>
      </c>
      <c r="R458" s="22"/>
      <c r="S458" s="22">
        <f t="shared" si="14"/>
        <v>0</v>
      </c>
      <c r="U458" s="5" t="s">
        <v>1210</v>
      </c>
      <c r="Y458" s="8"/>
      <c r="Z458" s="8"/>
      <c r="AA458" s="8"/>
      <c r="AB458" s="8"/>
      <c r="AC458" s="8"/>
      <c r="AD458" s="8"/>
      <c r="AE458" s="25"/>
      <c r="AF458" s="11"/>
      <c r="AG458" s="25"/>
      <c r="AH458" s="11"/>
      <c r="AI458" s="11">
        <v>95</v>
      </c>
      <c r="AJ458" s="19">
        <v>132</v>
      </c>
      <c r="AK458" s="12">
        <f>(AJ458+AI458)/30*7</f>
        <v>52.966666666666669</v>
      </c>
      <c r="AL458" s="6">
        <f>IF(AK458-C458&lt;0,0,AK458-C458)</f>
        <v>0</v>
      </c>
      <c r="AM458" s="6">
        <f>IF(AL458-R458-S458&lt;0,0,AL458-R458-S458)</f>
        <v>0</v>
      </c>
      <c r="AN458" s="5" t="str">
        <f t="shared" si="15"/>
        <v/>
      </c>
      <c r="AO458" s="5">
        <v>0</v>
      </c>
      <c r="AP458" s="9"/>
      <c r="AQ458" s="5" t="s">
        <v>1210</v>
      </c>
      <c r="AR458" s="5" t="s">
        <v>1210</v>
      </c>
      <c r="AS458" s="8"/>
      <c r="AT458" s="8"/>
      <c r="AU458" s="8"/>
      <c r="AV458" s="8"/>
      <c r="AW458" s="8"/>
      <c r="AX458" s="8"/>
      <c r="AY458" s="8"/>
      <c r="AZ458" s="8"/>
    </row>
    <row r="459" spans="1:52">
      <c r="A459" s="5" t="s">
        <v>23</v>
      </c>
      <c r="B459" s="5">
        <v>2087</v>
      </c>
      <c r="C459" s="19">
        <v>699</v>
      </c>
      <c r="E459" s="14"/>
      <c r="F459" s="11"/>
      <c r="G459" s="11"/>
      <c r="H459" s="11"/>
      <c r="I459" s="11"/>
      <c r="J459" s="25"/>
      <c r="K459" s="11"/>
      <c r="L459" s="11"/>
      <c r="M459" s="19">
        <v>10</v>
      </c>
      <c r="O459" s="6"/>
      <c r="P459" s="16">
        <v>681</v>
      </c>
      <c r="Q459" s="16">
        <v>0</v>
      </c>
      <c r="R459" s="22"/>
      <c r="S459" s="22">
        <f t="shared" si="14"/>
        <v>0</v>
      </c>
      <c r="T459" s="5" t="s">
        <v>1210</v>
      </c>
      <c r="U459" s="5" t="s">
        <v>1210</v>
      </c>
      <c r="Y459" s="8"/>
      <c r="Z459" s="8"/>
      <c r="AA459" s="8"/>
      <c r="AB459" s="8"/>
      <c r="AC459" s="8"/>
      <c r="AD459" s="8"/>
      <c r="AE459" s="25"/>
      <c r="AF459" s="11"/>
      <c r="AG459" s="25"/>
      <c r="AH459" s="11"/>
      <c r="AI459" s="11">
        <v>67</v>
      </c>
      <c r="AJ459" s="19">
        <v>139</v>
      </c>
      <c r="AK459" s="12">
        <f>(AJ459+AI459)/30*7</f>
        <v>48.066666666666663</v>
      </c>
      <c r="AL459" s="6">
        <f>IF(AK459-C459&lt;0,0,AK459-C459)</f>
        <v>0</v>
      </c>
      <c r="AM459" s="6">
        <f>IF(AL459-R459-S459&lt;0,0,AL459-R459-S459)</f>
        <v>0</v>
      </c>
      <c r="AN459" s="5" t="str">
        <f t="shared" si="15"/>
        <v/>
      </c>
      <c r="AO459" s="5">
        <v>0</v>
      </c>
      <c r="AP459" s="9"/>
      <c r="AQ459" s="5" t="s">
        <v>1229</v>
      </c>
      <c r="AR459" s="5" t="s">
        <v>1210</v>
      </c>
      <c r="AS459" s="8"/>
      <c r="AT459" s="8"/>
      <c r="AU459" s="8"/>
      <c r="AV459" s="8"/>
      <c r="AW459" s="8"/>
      <c r="AX459" s="8"/>
      <c r="AY459" s="8"/>
      <c r="AZ459" s="8"/>
    </row>
    <row r="460" spans="1:52">
      <c r="A460" s="5" t="s">
        <v>139</v>
      </c>
      <c r="B460" s="5">
        <v>1508</v>
      </c>
      <c r="C460" s="19">
        <v>885</v>
      </c>
      <c r="E460" s="14"/>
      <c r="F460" s="11"/>
      <c r="G460" s="11"/>
      <c r="H460" s="11"/>
      <c r="I460" s="11"/>
      <c r="J460" s="25"/>
      <c r="K460" s="11"/>
      <c r="L460" s="11"/>
      <c r="M460" s="19">
        <v>0</v>
      </c>
      <c r="O460" s="6"/>
      <c r="P460" s="16">
        <v>0</v>
      </c>
      <c r="Q460" s="16">
        <v>0</v>
      </c>
      <c r="R460" s="22"/>
      <c r="S460" s="22">
        <f t="shared" si="14"/>
        <v>0</v>
      </c>
      <c r="U460" s="5" t="s">
        <v>1210</v>
      </c>
      <c r="Y460" s="8"/>
      <c r="Z460" s="8"/>
      <c r="AA460" s="8"/>
      <c r="AB460" s="8"/>
      <c r="AC460" s="8"/>
      <c r="AD460" s="8"/>
      <c r="AE460" s="25"/>
      <c r="AF460" s="11"/>
      <c r="AG460" s="25"/>
      <c r="AH460" s="11"/>
      <c r="AI460" s="11">
        <v>53</v>
      </c>
      <c r="AJ460" s="19">
        <v>130</v>
      </c>
      <c r="AK460" s="12">
        <f>(AJ460+AI460)/30*7</f>
        <v>42.699999999999996</v>
      </c>
      <c r="AL460" s="6">
        <f>IF(AK460-C460&lt;0,0,AK460-C460)</f>
        <v>0</v>
      </c>
      <c r="AM460" s="6">
        <f>IF(AL460-R460-S460&lt;0,0,AL460-R460-S460)</f>
        <v>0</v>
      </c>
      <c r="AN460" s="5" t="str">
        <f t="shared" si="15"/>
        <v/>
      </c>
      <c r="AO460" s="5">
        <v>0</v>
      </c>
      <c r="AP460" s="9"/>
      <c r="AQ460" s="5" t="s">
        <v>1210</v>
      </c>
      <c r="AR460" s="5" t="s">
        <v>1210</v>
      </c>
      <c r="AS460" s="8"/>
      <c r="AT460" s="8"/>
      <c r="AU460" s="8"/>
      <c r="AV460" s="8"/>
      <c r="AW460" s="8"/>
      <c r="AX460" s="8"/>
      <c r="AY460" s="8"/>
      <c r="AZ460" s="8"/>
    </row>
    <row r="461" spans="1:52">
      <c r="A461" s="5" t="s">
        <v>66</v>
      </c>
      <c r="B461" s="5">
        <v>1169</v>
      </c>
      <c r="C461" s="19">
        <v>210</v>
      </c>
      <c r="E461" s="14"/>
      <c r="F461" s="11"/>
      <c r="G461" s="11"/>
      <c r="H461" s="11"/>
      <c r="I461" s="11"/>
      <c r="J461" s="25"/>
      <c r="K461" s="11"/>
      <c r="L461" s="11"/>
      <c r="M461" s="19">
        <v>0</v>
      </c>
      <c r="O461" s="6"/>
      <c r="P461" s="16">
        <v>757</v>
      </c>
      <c r="Q461" s="16">
        <v>0</v>
      </c>
      <c r="R461" s="22"/>
      <c r="S461" s="22">
        <f t="shared" si="14"/>
        <v>0</v>
      </c>
      <c r="U461" s="5" t="s">
        <v>1210</v>
      </c>
      <c r="Y461" s="8"/>
      <c r="Z461" s="8"/>
      <c r="AA461" s="8"/>
      <c r="AB461" s="8"/>
      <c r="AC461" s="8"/>
      <c r="AD461" s="8"/>
      <c r="AE461" s="25"/>
      <c r="AF461" s="11"/>
      <c r="AG461" s="25"/>
      <c r="AH461" s="11"/>
      <c r="AI461" s="11">
        <v>92</v>
      </c>
      <c r="AJ461" s="19">
        <v>128</v>
      </c>
      <c r="AK461" s="12">
        <f>(AJ461+AI461)/30*7</f>
        <v>51.333333333333329</v>
      </c>
      <c r="AL461" s="6">
        <f>IF(AK461-C461&lt;0,0,AK461-C461)</f>
        <v>0</v>
      </c>
      <c r="AM461" s="6">
        <f>IF(AL461-R461-S461&lt;0,0,AL461-R461-S461)</f>
        <v>0</v>
      </c>
      <c r="AN461" s="5" t="str">
        <f t="shared" si="15"/>
        <v/>
      </c>
      <c r="AO461" s="5">
        <v>0</v>
      </c>
      <c r="AP461" s="9"/>
      <c r="AQ461" s="5" t="s">
        <v>1210</v>
      </c>
      <c r="AR461" s="5" t="s">
        <v>1210</v>
      </c>
      <c r="AS461" s="8"/>
      <c r="AT461" s="8"/>
      <c r="AU461" s="8"/>
      <c r="AV461" s="8"/>
      <c r="AW461" s="8"/>
      <c r="AX461" s="8"/>
      <c r="AY461" s="8"/>
      <c r="AZ461" s="8"/>
    </row>
    <row r="462" spans="1:52">
      <c r="A462" s="5" t="s">
        <v>77</v>
      </c>
      <c r="B462" s="5">
        <v>1083</v>
      </c>
      <c r="C462" s="19">
        <v>580</v>
      </c>
      <c r="E462" s="14"/>
      <c r="F462" s="11"/>
      <c r="G462" s="11"/>
      <c r="H462" s="11"/>
      <c r="I462" s="11"/>
      <c r="J462" s="25"/>
      <c r="K462" s="11"/>
      <c r="L462" s="11"/>
      <c r="M462" s="19">
        <v>6</v>
      </c>
      <c r="O462" s="6"/>
      <c r="P462" s="16">
        <v>943</v>
      </c>
      <c r="Q462" s="16">
        <v>0</v>
      </c>
      <c r="R462" s="22"/>
      <c r="S462" s="22">
        <f t="shared" si="14"/>
        <v>0</v>
      </c>
      <c r="T462" s="5" t="s">
        <v>1210</v>
      </c>
      <c r="U462" s="5" t="s">
        <v>1210</v>
      </c>
      <c r="Y462" s="8"/>
      <c r="Z462" s="8"/>
      <c r="AA462" s="8"/>
      <c r="AB462" s="8"/>
      <c r="AC462" s="8"/>
      <c r="AD462" s="8"/>
      <c r="AE462" s="25"/>
      <c r="AF462" s="11"/>
      <c r="AG462" s="25"/>
      <c r="AH462" s="11"/>
      <c r="AI462" s="11">
        <v>79</v>
      </c>
      <c r="AJ462" s="19">
        <v>93</v>
      </c>
      <c r="AK462" s="12">
        <f>(AJ462+AI462)/30*7</f>
        <v>40.133333333333333</v>
      </c>
      <c r="AL462" s="6">
        <f>IF(AK462-C462&lt;0,0,AK462-C462)</f>
        <v>0</v>
      </c>
      <c r="AM462" s="6">
        <f>IF(AL462-R462-S462&lt;0,0,AL462-R462-S462)</f>
        <v>0</v>
      </c>
      <c r="AN462" s="5" t="str">
        <f t="shared" si="15"/>
        <v/>
      </c>
      <c r="AO462" s="5">
        <v>0</v>
      </c>
      <c r="AP462" s="9"/>
      <c r="AQ462" s="5" t="s">
        <v>1210</v>
      </c>
      <c r="AR462" s="5" t="s">
        <v>1210</v>
      </c>
      <c r="AS462" s="8"/>
      <c r="AT462" s="8"/>
      <c r="AU462" s="8"/>
      <c r="AV462" s="8"/>
      <c r="AW462" s="8"/>
      <c r="AX462" s="8"/>
      <c r="AY462" s="8"/>
      <c r="AZ462" s="8"/>
    </row>
    <row r="463" spans="1:52">
      <c r="A463" s="5" t="s">
        <v>120</v>
      </c>
      <c r="B463" s="5">
        <v>856</v>
      </c>
      <c r="C463" s="19">
        <v>205</v>
      </c>
      <c r="E463" s="14"/>
      <c r="F463" s="11"/>
      <c r="G463" s="11"/>
      <c r="H463" s="11"/>
      <c r="I463" s="11"/>
      <c r="J463" s="25"/>
      <c r="K463" s="11"/>
      <c r="L463" s="11"/>
      <c r="M463" s="19">
        <v>0</v>
      </c>
      <c r="O463" s="6"/>
      <c r="P463" s="16">
        <v>747</v>
      </c>
      <c r="Q463" s="16">
        <v>0</v>
      </c>
      <c r="R463" s="22"/>
      <c r="S463" s="22">
        <f t="shared" si="14"/>
        <v>0</v>
      </c>
      <c r="T463" s="5" t="s">
        <v>1210</v>
      </c>
      <c r="U463" s="5" t="s">
        <v>1210</v>
      </c>
      <c r="Y463" s="8"/>
      <c r="Z463" s="8"/>
      <c r="AA463" s="8"/>
      <c r="AB463" s="8"/>
      <c r="AC463" s="8"/>
      <c r="AD463" s="8"/>
      <c r="AE463" s="25"/>
      <c r="AF463" s="11"/>
      <c r="AG463" s="25"/>
      <c r="AH463" s="11"/>
      <c r="AI463" s="11">
        <v>99</v>
      </c>
      <c r="AJ463" s="19">
        <v>81</v>
      </c>
      <c r="AK463" s="12">
        <f>(AJ463+AI463)/30*7</f>
        <v>42</v>
      </c>
      <c r="AL463" s="6">
        <f>IF(AK463-C463&lt;0,0,AK463-C463)</f>
        <v>0</v>
      </c>
      <c r="AM463" s="6">
        <f>IF(AL463-R463-S463&lt;0,0,AL463-R463-S463)</f>
        <v>0</v>
      </c>
      <c r="AN463" s="5" t="str">
        <f t="shared" si="15"/>
        <v/>
      </c>
      <c r="AO463" s="5">
        <v>0</v>
      </c>
      <c r="AP463" s="9"/>
      <c r="AQ463" s="5" t="s">
        <v>1210</v>
      </c>
      <c r="AR463" s="5" t="s">
        <v>1210</v>
      </c>
      <c r="AS463" s="8"/>
      <c r="AT463" s="8"/>
      <c r="AU463" s="8"/>
      <c r="AV463" s="8"/>
      <c r="AW463" s="8"/>
      <c r="AX463" s="8"/>
      <c r="AY463" s="8"/>
      <c r="AZ463" s="8"/>
    </row>
    <row r="464" spans="1:52">
      <c r="A464" s="5" t="s">
        <v>225</v>
      </c>
      <c r="B464" s="5">
        <v>1912</v>
      </c>
      <c r="C464" s="19">
        <v>630</v>
      </c>
      <c r="E464" s="14"/>
      <c r="F464" s="11"/>
      <c r="G464" s="11"/>
      <c r="H464" s="11"/>
      <c r="I464" s="11"/>
      <c r="J464" s="25"/>
      <c r="K464" s="11"/>
      <c r="L464" s="11"/>
      <c r="M464" s="19">
        <v>0</v>
      </c>
      <c r="O464" s="6"/>
      <c r="P464" s="16">
        <v>860</v>
      </c>
      <c r="Q464" s="16">
        <v>0</v>
      </c>
      <c r="R464" s="22"/>
      <c r="S464" s="22">
        <f t="shared" si="14"/>
        <v>0</v>
      </c>
      <c r="T464" s="5" t="s">
        <v>1210</v>
      </c>
      <c r="U464" s="5" t="s">
        <v>1210</v>
      </c>
      <c r="Y464" s="8"/>
      <c r="Z464" s="8"/>
      <c r="AA464" s="8"/>
      <c r="AB464" s="8"/>
      <c r="AC464" s="8"/>
      <c r="AD464" s="8"/>
      <c r="AE464" s="25"/>
      <c r="AF464" s="11"/>
      <c r="AG464" s="25"/>
      <c r="AH464" s="11"/>
      <c r="AI464" s="11">
        <v>54</v>
      </c>
      <c r="AJ464" s="19">
        <v>115</v>
      </c>
      <c r="AK464" s="12">
        <f>(AJ464+AI464)/30*7</f>
        <v>39.433333333333337</v>
      </c>
      <c r="AL464" s="6">
        <f>IF(AK464-C464&lt;0,0,AK464-C464)</f>
        <v>0</v>
      </c>
      <c r="AM464" s="6">
        <f>IF(AL464-R464-S464&lt;0,0,AL464-R464-S464)</f>
        <v>0</v>
      </c>
      <c r="AN464" s="5" t="str">
        <f t="shared" si="15"/>
        <v/>
      </c>
      <c r="AO464" s="5">
        <v>0</v>
      </c>
      <c r="AP464" s="9"/>
      <c r="AQ464" s="5" t="s">
        <v>1229</v>
      </c>
      <c r="AR464" s="5" t="s">
        <v>1210</v>
      </c>
      <c r="AS464" s="8"/>
      <c r="AT464" s="8"/>
      <c r="AU464" s="8"/>
      <c r="AV464" s="8"/>
      <c r="AW464" s="8"/>
      <c r="AX464" s="8"/>
      <c r="AY464" s="8"/>
      <c r="AZ464" s="8"/>
    </row>
    <row r="465" spans="1:52">
      <c r="A465" s="5" t="s">
        <v>119</v>
      </c>
      <c r="B465" s="5">
        <v>1728</v>
      </c>
      <c r="C465" s="19">
        <v>344</v>
      </c>
      <c r="E465" s="14"/>
      <c r="F465" s="11"/>
      <c r="G465" s="11"/>
      <c r="H465" s="11"/>
      <c r="I465" s="11"/>
      <c r="J465" s="25"/>
      <c r="K465" s="11"/>
      <c r="L465" s="11"/>
      <c r="M465" s="19">
        <v>0</v>
      </c>
      <c r="O465" s="6"/>
      <c r="P465" s="16">
        <v>956</v>
      </c>
      <c r="Q465" s="16">
        <v>0</v>
      </c>
      <c r="R465" s="22"/>
      <c r="S465" s="22">
        <f t="shared" si="14"/>
        <v>0</v>
      </c>
      <c r="T465" s="5" t="s">
        <v>1210</v>
      </c>
      <c r="U465" s="5" t="s">
        <v>1210</v>
      </c>
      <c r="Y465" s="8"/>
      <c r="Z465" s="8"/>
      <c r="AA465" s="8"/>
      <c r="AB465" s="8"/>
      <c r="AC465" s="8"/>
      <c r="AD465" s="8"/>
      <c r="AE465" s="25"/>
      <c r="AF465" s="11"/>
      <c r="AG465" s="25"/>
      <c r="AH465" s="11"/>
      <c r="AI465" s="11">
        <v>79</v>
      </c>
      <c r="AJ465" s="19">
        <v>124</v>
      </c>
      <c r="AK465" s="12">
        <f>(AJ465+AI465)/30*7</f>
        <v>47.366666666666667</v>
      </c>
      <c r="AL465" s="6">
        <f>IF(AK465-C465&lt;0,0,AK465-C465)</f>
        <v>0</v>
      </c>
      <c r="AM465" s="6">
        <f>IF(AL465-R465-S465&lt;0,0,AL465-R465-S465)</f>
        <v>0</v>
      </c>
      <c r="AN465" s="5" t="str">
        <f t="shared" si="15"/>
        <v/>
      </c>
      <c r="AO465" s="5">
        <v>0</v>
      </c>
      <c r="AP465" s="9"/>
      <c r="AQ465" s="5" t="s">
        <v>1210</v>
      </c>
      <c r="AR465" s="5" t="s">
        <v>1210</v>
      </c>
      <c r="AS465" s="8"/>
      <c r="AT465" s="8"/>
      <c r="AU465" s="8"/>
      <c r="AV465" s="8"/>
      <c r="AW465" s="8"/>
      <c r="AX465" s="8"/>
      <c r="AY465" s="8"/>
      <c r="AZ465" s="8"/>
    </row>
    <row r="466" spans="1:52">
      <c r="A466" s="5" t="s">
        <v>125</v>
      </c>
      <c r="B466" s="5">
        <v>1878</v>
      </c>
      <c r="C466" s="19">
        <v>328</v>
      </c>
      <c r="E466" s="14"/>
      <c r="F466" s="11"/>
      <c r="G466" s="11"/>
      <c r="H466" s="11"/>
      <c r="I466" s="11"/>
      <c r="J466" s="25"/>
      <c r="K466" s="11"/>
      <c r="L466" s="11"/>
      <c r="M466" s="19">
        <v>0</v>
      </c>
      <c r="O466" s="6"/>
      <c r="P466" s="16">
        <v>724</v>
      </c>
      <c r="Q466" s="16">
        <v>0</v>
      </c>
      <c r="R466" s="22"/>
      <c r="S466" s="22">
        <f t="shared" si="14"/>
        <v>0</v>
      </c>
      <c r="T466" s="5" t="s">
        <v>1215</v>
      </c>
      <c r="U466" s="5">
        <v>27</v>
      </c>
      <c r="Y466" s="8"/>
      <c r="Z466" s="8"/>
      <c r="AA466" s="8"/>
      <c r="AB466" s="8"/>
      <c r="AC466" s="8"/>
      <c r="AD466" s="8"/>
      <c r="AE466" s="25"/>
      <c r="AF466" s="11"/>
      <c r="AG466" s="25"/>
      <c r="AH466" s="11"/>
      <c r="AI466" s="11">
        <v>85</v>
      </c>
      <c r="AJ466" s="19">
        <v>154</v>
      </c>
      <c r="AK466" s="12">
        <f>(AJ466+AI466)/30*7</f>
        <v>55.766666666666666</v>
      </c>
      <c r="AL466" s="6">
        <f>IF(AK466-C466&lt;0,0,AK466-C466)</f>
        <v>0</v>
      </c>
      <c r="AM466" s="6">
        <f>IF(AL466-R466-S466&lt;0,0,AL466-R466-S466)</f>
        <v>0</v>
      </c>
      <c r="AN466" s="5" t="str">
        <f t="shared" si="15"/>
        <v/>
      </c>
      <c r="AO466" s="5">
        <v>0</v>
      </c>
      <c r="AP466" s="9"/>
      <c r="AQ466" s="5" t="s">
        <v>1229</v>
      </c>
      <c r="AR466" s="5" t="s">
        <v>1210</v>
      </c>
      <c r="AS466" s="8"/>
      <c r="AT466" s="8"/>
      <c r="AU466" s="8"/>
      <c r="AV466" s="8"/>
      <c r="AW466" s="8"/>
      <c r="AX466" s="8"/>
      <c r="AY466" s="8"/>
      <c r="AZ466" s="8"/>
    </row>
    <row r="467" spans="1:52">
      <c r="A467" s="5" t="s">
        <v>96</v>
      </c>
      <c r="B467" s="5">
        <v>855</v>
      </c>
      <c r="C467" s="19">
        <v>417</v>
      </c>
      <c r="E467" s="14"/>
      <c r="F467" s="11"/>
      <c r="G467" s="11"/>
      <c r="H467" s="11"/>
      <c r="I467" s="11"/>
      <c r="J467" s="25"/>
      <c r="K467" s="11"/>
      <c r="L467" s="11"/>
      <c r="M467" s="19">
        <v>7</v>
      </c>
      <c r="O467" s="6"/>
      <c r="P467" s="16">
        <v>697</v>
      </c>
      <c r="Q467" s="16">
        <v>0</v>
      </c>
      <c r="R467" s="22"/>
      <c r="S467" s="22">
        <f t="shared" si="14"/>
        <v>0</v>
      </c>
      <c r="T467" s="5" t="s">
        <v>1210</v>
      </c>
      <c r="U467" s="5" t="s">
        <v>1210</v>
      </c>
      <c r="Y467" s="8"/>
      <c r="Z467" s="8"/>
      <c r="AA467" s="8"/>
      <c r="AB467" s="8"/>
      <c r="AC467" s="8"/>
      <c r="AD467" s="8"/>
      <c r="AE467" s="25"/>
      <c r="AF467" s="11"/>
      <c r="AG467" s="25"/>
      <c r="AH467" s="11"/>
      <c r="AI467" s="11">
        <v>71</v>
      </c>
      <c r="AJ467" s="19">
        <v>94</v>
      </c>
      <c r="AK467" s="12">
        <f>(AJ467+AI467)/30*7</f>
        <v>38.5</v>
      </c>
      <c r="AL467" s="6">
        <f>IF(AK467-C467&lt;0,0,AK467-C467)</f>
        <v>0</v>
      </c>
      <c r="AM467" s="6">
        <f>IF(AL467-R467-S467&lt;0,0,AL467-R467-S467)</f>
        <v>0</v>
      </c>
      <c r="AN467" s="5" t="str">
        <f t="shared" si="15"/>
        <v/>
      </c>
      <c r="AO467" s="5">
        <v>0</v>
      </c>
      <c r="AP467" s="9"/>
      <c r="AQ467" s="5" t="s">
        <v>1210</v>
      </c>
      <c r="AR467" s="5" t="s">
        <v>1210</v>
      </c>
      <c r="AS467" s="8"/>
      <c r="AT467" s="8"/>
      <c r="AU467" s="8"/>
      <c r="AV467" s="8"/>
      <c r="AW467" s="8"/>
      <c r="AX467" s="8"/>
      <c r="AY467" s="8"/>
      <c r="AZ467" s="8"/>
    </row>
    <row r="468" spans="1:52">
      <c r="A468" s="5" t="s">
        <v>39</v>
      </c>
      <c r="B468" s="5">
        <v>1623</v>
      </c>
      <c r="C468" s="19">
        <v>685</v>
      </c>
      <c r="E468" s="14"/>
      <c r="F468" s="11"/>
      <c r="G468" s="11"/>
      <c r="H468" s="11"/>
      <c r="I468" s="11"/>
      <c r="J468" s="25"/>
      <c r="K468" s="11"/>
      <c r="L468" s="11"/>
      <c r="M468" s="19">
        <v>6</v>
      </c>
      <c r="O468" s="6"/>
      <c r="P468" s="16">
        <v>971</v>
      </c>
      <c r="Q468" s="16">
        <v>0</v>
      </c>
      <c r="R468" s="22"/>
      <c r="S468" s="22">
        <f t="shared" si="14"/>
        <v>0</v>
      </c>
      <c r="U468" s="5" t="s">
        <v>1210</v>
      </c>
      <c r="Y468" s="8"/>
      <c r="Z468" s="8"/>
      <c r="AA468" s="8"/>
      <c r="AB468" s="8"/>
      <c r="AC468" s="8"/>
      <c r="AD468" s="8"/>
      <c r="AE468" s="25"/>
      <c r="AF468" s="11"/>
      <c r="AG468" s="25"/>
      <c r="AH468" s="11"/>
      <c r="AI468" s="11">
        <v>33</v>
      </c>
      <c r="AJ468" s="19">
        <v>127</v>
      </c>
      <c r="AK468" s="12">
        <f>(AJ468+AI468)/30*7</f>
        <v>37.333333333333329</v>
      </c>
      <c r="AL468" s="6">
        <f>IF(AK468-C468&lt;0,0,AK468-C468)</f>
        <v>0</v>
      </c>
      <c r="AM468" s="6">
        <f>IF(AL468-R468-S468&lt;0,0,AL468-R468-S468)</f>
        <v>0</v>
      </c>
      <c r="AN468" s="5" t="str">
        <f t="shared" si="15"/>
        <v/>
      </c>
      <c r="AO468" s="5">
        <v>0</v>
      </c>
      <c r="AP468" s="9"/>
      <c r="AQ468" s="5" t="s">
        <v>1229</v>
      </c>
      <c r="AR468" s="5" t="s">
        <v>1210</v>
      </c>
      <c r="AS468" s="8"/>
      <c r="AT468" s="8"/>
      <c r="AU468" s="8"/>
      <c r="AV468" s="8"/>
      <c r="AW468" s="8"/>
      <c r="AX468" s="8"/>
      <c r="AY468" s="8"/>
      <c r="AZ468" s="8"/>
    </row>
    <row r="469" spans="1:52">
      <c r="A469" s="5" t="s">
        <v>72</v>
      </c>
      <c r="B469" s="5">
        <v>883</v>
      </c>
      <c r="C469" s="19">
        <v>780</v>
      </c>
      <c r="E469" s="14"/>
      <c r="F469" s="11"/>
      <c r="G469" s="11"/>
      <c r="H469" s="11"/>
      <c r="I469" s="11"/>
      <c r="J469" s="25"/>
      <c r="K469" s="11"/>
      <c r="L469" s="11"/>
      <c r="M469" s="19">
        <v>2</v>
      </c>
      <c r="O469" s="6"/>
      <c r="P469" s="16">
        <v>446</v>
      </c>
      <c r="Q469" s="16">
        <v>0</v>
      </c>
      <c r="R469" s="22"/>
      <c r="S469" s="22">
        <f t="shared" si="14"/>
        <v>0</v>
      </c>
      <c r="T469" s="5" t="s">
        <v>1210</v>
      </c>
      <c r="U469" s="5" t="s">
        <v>1210</v>
      </c>
      <c r="Y469" s="8"/>
      <c r="Z469" s="8"/>
      <c r="AA469" s="8"/>
      <c r="AB469" s="8"/>
      <c r="AC469" s="8"/>
      <c r="AD469" s="8"/>
      <c r="AE469" s="25"/>
      <c r="AF469" s="11"/>
      <c r="AG469" s="25"/>
      <c r="AH469" s="11"/>
      <c r="AI469" s="11">
        <v>63</v>
      </c>
      <c r="AJ469" s="19">
        <v>135</v>
      </c>
      <c r="AK469" s="12">
        <f>(AJ469+AI469)/30*7</f>
        <v>46.199999999999996</v>
      </c>
      <c r="AL469" s="6">
        <f>IF(AK469-C469&lt;0,0,AK469-C469)</f>
        <v>0</v>
      </c>
      <c r="AM469" s="6">
        <f>IF(AL469-R469-S469&lt;0,0,AL469-R469-S469)</f>
        <v>0</v>
      </c>
      <c r="AN469" s="5" t="str">
        <f t="shared" si="15"/>
        <v/>
      </c>
      <c r="AO469" s="5">
        <v>0</v>
      </c>
      <c r="AP469" s="9"/>
      <c r="AQ469" s="5" t="s">
        <v>1210</v>
      </c>
      <c r="AR469" s="5" t="s">
        <v>1210</v>
      </c>
      <c r="AS469" s="8"/>
      <c r="AT469" s="8"/>
      <c r="AU469" s="8"/>
      <c r="AV469" s="8"/>
      <c r="AW469" s="8"/>
      <c r="AX469" s="8"/>
      <c r="AY469" s="8"/>
      <c r="AZ469" s="8"/>
    </row>
    <row r="470" spans="1:52">
      <c r="A470" s="5" t="s">
        <v>167</v>
      </c>
      <c r="B470" s="5">
        <v>1001</v>
      </c>
      <c r="C470" s="19">
        <v>812</v>
      </c>
      <c r="E470" s="14"/>
      <c r="F470" s="11"/>
      <c r="G470" s="11"/>
      <c r="H470" s="11"/>
      <c r="I470" s="11"/>
      <c r="J470" s="25"/>
      <c r="K470" s="11"/>
      <c r="L470" s="11"/>
      <c r="M470" s="19">
        <v>0</v>
      </c>
      <c r="O470" s="6"/>
      <c r="P470" s="16">
        <v>483</v>
      </c>
      <c r="Q470" s="16">
        <v>0</v>
      </c>
      <c r="R470" s="22"/>
      <c r="S470" s="22">
        <f t="shared" si="14"/>
        <v>0</v>
      </c>
      <c r="U470" s="5" t="s">
        <v>1210</v>
      </c>
      <c r="Y470" s="8"/>
      <c r="Z470" s="8"/>
      <c r="AA470" s="8"/>
      <c r="AB470" s="8"/>
      <c r="AC470" s="8"/>
      <c r="AD470" s="8"/>
      <c r="AE470" s="25"/>
      <c r="AF470" s="11"/>
      <c r="AG470" s="25"/>
      <c r="AH470" s="11"/>
      <c r="AI470" s="11">
        <v>82</v>
      </c>
      <c r="AJ470" s="19">
        <v>98</v>
      </c>
      <c r="AK470" s="12">
        <f>(AJ470+AI470)/30*7</f>
        <v>42</v>
      </c>
      <c r="AL470" s="6">
        <f>IF(AK470-C470&lt;0,0,AK470-C470)</f>
        <v>0</v>
      </c>
      <c r="AM470" s="6">
        <f>IF(AL470-R470-S470&lt;0,0,AL470-R470-S470)</f>
        <v>0</v>
      </c>
      <c r="AN470" s="5" t="str">
        <f t="shared" si="15"/>
        <v/>
      </c>
      <c r="AO470" s="5">
        <v>0</v>
      </c>
      <c r="AP470" s="9"/>
      <c r="AQ470" s="5" t="s">
        <v>1210</v>
      </c>
      <c r="AR470" s="5" t="s">
        <v>1210</v>
      </c>
      <c r="AS470" s="8"/>
      <c r="AT470" s="8"/>
      <c r="AU470" s="8"/>
      <c r="AV470" s="8"/>
      <c r="AW470" s="8"/>
      <c r="AX470" s="8"/>
      <c r="AY470" s="8"/>
      <c r="AZ470" s="8"/>
    </row>
    <row r="471" spans="1:52">
      <c r="A471" s="5" t="s">
        <v>266</v>
      </c>
      <c r="B471" s="5">
        <v>1691</v>
      </c>
      <c r="C471" s="19">
        <v>776</v>
      </c>
      <c r="E471" s="14"/>
      <c r="F471" s="11"/>
      <c r="G471" s="11"/>
      <c r="H471" s="11"/>
      <c r="I471" s="11"/>
      <c r="J471" s="25"/>
      <c r="K471" s="11"/>
      <c r="L471" s="11"/>
      <c r="M471" s="19">
        <v>10</v>
      </c>
      <c r="O471" s="6"/>
      <c r="P471" s="16">
        <v>580</v>
      </c>
      <c r="Q471" s="16">
        <v>802</v>
      </c>
      <c r="R471" s="22"/>
      <c r="S471" s="22">
        <f t="shared" si="14"/>
        <v>0</v>
      </c>
      <c r="T471" s="5" t="s">
        <v>1210</v>
      </c>
      <c r="U471" s="5" t="s">
        <v>1210</v>
      </c>
      <c r="Y471" s="8"/>
      <c r="Z471" s="8"/>
      <c r="AA471" s="8"/>
      <c r="AB471" s="8"/>
      <c r="AC471" s="8"/>
      <c r="AD471" s="8"/>
      <c r="AE471" s="25"/>
      <c r="AF471" s="11"/>
      <c r="AG471" s="25"/>
      <c r="AH471" s="11"/>
      <c r="AI471" s="11">
        <v>45</v>
      </c>
      <c r="AJ471" s="19">
        <v>113</v>
      </c>
      <c r="AK471" s="12">
        <f>(AJ471+AI471)/30*7</f>
        <v>36.866666666666667</v>
      </c>
      <c r="AL471" s="6">
        <f>IF(AK471-C471&lt;0,0,AK471-C471)</f>
        <v>0</v>
      </c>
      <c r="AM471" s="6">
        <f>IF(AL471-R471-S471&lt;0,0,AL471-R471-S471)</f>
        <v>0</v>
      </c>
      <c r="AN471" s="5" t="str">
        <f t="shared" si="15"/>
        <v/>
      </c>
      <c r="AO471" s="5">
        <v>8</v>
      </c>
      <c r="AP471" s="9"/>
      <c r="AQ471" s="5" t="s">
        <v>1210</v>
      </c>
      <c r="AR471" s="5" t="s">
        <v>1210</v>
      </c>
      <c r="AS471" s="8"/>
      <c r="AT471" s="8"/>
      <c r="AU471" s="8"/>
      <c r="AV471" s="8"/>
      <c r="AW471" s="8"/>
      <c r="AX471" s="8"/>
      <c r="AY471" s="8"/>
      <c r="AZ471" s="8"/>
    </row>
    <row r="472" spans="1:52">
      <c r="A472" s="5" t="s">
        <v>20</v>
      </c>
      <c r="B472" s="5">
        <v>1916</v>
      </c>
      <c r="C472" s="19">
        <v>863</v>
      </c>
      <c r="E472" s="14"/>
      <c r="F472" s="11"/>
      <c r="G472" s="11"/>
      <c r="H472" s="11"/>
      <c r="I472" s="11"/>
      <c r="J472" s="25"/>
      <c r="K472" s="11"/>
      <c r="L472" s="11"/>
      <c r="M472" s="19">
        <v>0</v>
      </c>
      <c r="O472" s="6"/>
      <c r="P472" s="16">
        <v>887</v>
      </c>
      <c r="Q472" s="16">
        <v>0</v>
      </c>
      <c r="R472" s="22"/>
      <c r="S472" s="22">
        <f t="shared" si="14"/>
        <v>0</v>
      </c>
      <c r="T472" s="5" t="s">
        <v>1210</v>
      </c>
      <c r="U472" s="5" t="s">
        <v>1210</v>
      </c>
      <c r="Y472" s="8"/>
      <c r="Z472" s="8"/>
      <c r="AA472" s="8"/>
      <c r="AB472" s="8"/>
      <c r="AC472" s="8"/>
      <c r="AD472" s="8"/>
      <c r="AE472" s="25"/>
      <c r="AF472" s="11"/>
      <c r="AG472" s="25"/>
      <c r="AH472" s="11"/>
      <c r="AI472" s="11">
        <v>70</v>
      </c>
      <c r="AJ472" s="19">
        <v>88</v>
      </c>
      <c r="AK472" s="12">
        <f>(AJ472+AI472)/30*7</f>
        <v>36.866666666666667</v>
      </c>
      <c r="AL472" s="6">
        <f>IF(AK472-C472&lt;0,0,AK472-C472)</f>
        <v>0</v>
      </c>
      <c r="AM472" s="6">
        <f>IF(AL472-R472-S472&lt;0,0,AL472-R472-S472)</f>
        <v>0</v>
      </c>
      <c r="AN472" s="5" t="str">
        <f t="shared" si="15"/>
        <v/>
      </c>
      <c r="AO472" s="5">
        <v>0</v>
      </c>
      <c r="AP472" s="9"/>
      <c r="AQ472" s="5" t="s">
        <v>1229</v>
      </c>
      <c r="AR472" s="5" t="s">
        <v>1210</v>
      </c>
      <c r="AS472" s="8"/>
      <c r="AT472" s="8"/>
      <c r="AU472" s="8"/>
      <c r="AV472" s="8"/>
      <c r="AW472" s="8"/>
      <c r="AX472" s="8"/>
      <c r="AY472" s="8"/>
      <c r="AZ472" s="8"/>
    </row>
    <row r="473" spans="1:52">
      <c r="A473" s="5" t="s">
        <v>101</v>
      </c>
      <c r="B473" s="5">
        <v>784</v>
      </c>
      <c r="C473" s="19">
        <v>601</v>
      </c>
      <c r="E473" s="14"/>
      <c r="F473" s="11"/>
      <c r="G473" s="11"/>
      <c r="H473" s="11"/>
      <c r="I473" s="11"/>
      <c r="J473" s="25"/>
      <c r="K473" s="11"/>
      <c r="L473" s="11"/>
      <c r="M473" s="19">
        <v>6</v>
      </c>
      <c r="O473" s="6"/>
      <c r="P473" s="16">
        <v>466</v>
      </c>
      <c r="Q473" s="16">
        <v>0</v>
      </c>
      <c r="R473" s="22"/>
      <c r="S473" s="22">
        <f t="shared" si="14"/>
        <v>0</v>
      </c>
      <c r="U473" s="5" t="s">
        <v>1210</v>
      </c>
      <c r="Y473" s="8"/>
      <c r="Z473" s="8"/>
      <c r="AA473" s="8"/>
      <c r="AB473" s="8"/>
      <c r="AC473" s="8"/>
      <c r="AD473" s="8"/>
      <c r="AE473" s="25"/>
      <c r="AF473" s="11"/>
      <c r="AG473" s="25"/>
      <c r="AH473" s="11"/>
      <c r="AI473" s="11">
        <v>82</v>
      </c>
      <c r="AJ473" s="19">
        <v>87</v>
      </c>
      <c r="AK473" s="12">
        <f>(AJ473+AI473)/30*7</f>
        <v>39.433333333333337</v>
      </c>
      <c r="AL473" s="6">
        <f>IF(AK473-C473&lt;0,0,AK473-C473)</f>
        <v>0</v>
      </c>
      <c r="AM473" s="6">
        <f>IF(AL473-R473-S473&lt;0,0,AL473-R473-S473)</f>
        <v>0</v>
      </c>
      <c r="AN473" s="5" t="str">
        <f t="shared" si="15"/>
        <v/>
      </c>
      <c r="AO473" s="5">
        <v>0</v>
      </c>
      <c r="AP473" s="9"/>
      <c r="AQ473" s="5" t="s">
        <v>1229</v>
      </c>
      <c r="AR473" s="5" t="s">
        <v>1210</v>
      </c>
      <c r="AS473" s="8"/>
      <c r="AT473" s="8"/>
      <c r="AU473" s="8"/>
      <c r="AV473" s="8"/>
      <c r="AW473" s="8"/>
      <c r="AX473" s="8"/>
      <c r="AY473" s="8"/>
      <c r="AZ473" s="8"/>
    </row>
    <row r="474" spans="1:52">
      <c r="A474" s="5" t="s">
        <v>70</v>
      </c>
      <c r="B474" s="5">
        <v>906</v>
      </c>
      <c r="C474" s="19">
        <v>719</v>
      </c>
      <c r="E474" s="14"/>
      <c r="F474" s="11"/>
      <c r="G474" s="11"/>
      <c r="H474" s="11"/>
      <c r="I474" s="11"/>
      <c r="J474" s="25"/>
      <c r="K474" s="11"/>
      <c r="L474" s="11"/>
      <c r="M474" s="19">
        <v>3</v>
      </c>
      <c r="O474" s="6"/>
      <c r="P474" s="16">
        <v>413</v>
      </c>
      <c r="Q474" s="16">
        <v>0</v>
      </c>
      <c r="R474" s="22"/>
      <c r="S474" s="22">
        <f t="shared" si="14"/>
        <v>0</v>
      </c>
      <c r="U474" s="5" t="s">
        <v>1210</v>
      </c>
      <c r="Y474" s="8"/>
      <c r="Z474" s="8"/>
      <c r="AA474" s="8"/>
      <c r="AB474" s="8"/>
      <c r="AC474" s="8"/>
      <c r="AD474" s="8"/>
      <c r="AE474" s="25"/>
      <c r="AF474" s="11"/>
      <c r="AG474" s="25"/>
      <c r="AH474" s="11"/>
      <c r="AI474" s="11">
        <v>97</v>
      </c>
      <c r="AJ474" s="19">
        <v>105</v>
      </c>
      <c r="AK474" s="12">
        <f>(AJ474+AI474)/30*7</f>
        <v>47.133333333333333</v>
      </c>
      <c r="AL474" s="6">
        <f>IF(AK474-C474&lt;0,0,AK474-C474)</f>
        <v>0</v>
      </c>
      <c r="AM474" s="6">
        <f>IF(AL474-R474-S474&lt;0,0,AL474-R474-S474)</f>
        <v>0</v>
      </c>
      <c r="AN474" s="5" t="str">
        <f t="shared" si="15"/>
        <v/>
      </c>
      <c r="AO474" s="5">
        <v>0</v>
      </c>
      <c r="AP474" s="9"/>
      <c r="AQ474" s="5" t="s">
        <v>1229</v>
      </c>
      <c r="AR474" s="5" t="s">
        <v>1210</v>
      </c>
      <c r="AS474" s="8"/>
      <c r="AT474" s="8"/>
      <c r="AU474" s="8"/>
      <c r="AV474" s="8"/>
      <c r="AW474" s="8"/>
      <c r="AX474" s="8"/>
      <c r="AY474" s="8"/>
      <c r="AZ474" s="8"/>
    </row>
    <row r="475" spans="1:52">
      <c r="A475" s="5" t="s">
        <v>33</v>
      </c>
      <c r="B475" s="5">
        <v>1737</v>
      </c>
      <c r="C475" s="19">
        <v>292</v>
      </c>
      <c r="E475" s="14"/>
      <c r="F475" s="11"/>
      <c r="G475" s="11"/>
      <c r="H475" s="11"/>
      <c r="I475" s="11"/>
      <c r="J475" s="25"/>
      <c r="K475" s="11"/>
      <c r="L475" s="11"/>
      <c r="M475" s="19">
        <v>2</v>
      </c>
      <c r="O475" s="6"/>
      <c r="P475" s="16">
        <v>925</v>
      </c>
      <c r="Q475" s="16">
        <v>0</v>
      </c>
      <c r="R475" s="22"/>
      <c r="S475" s="22">
        <f t="shared" si="14"/>
        <v>0</v>
      </c>
      <c r="T475" s="5" t="s">
        <v>1210</v>
      </c>
      <c r="U475" s="5" t="s">
        <v>1210</v>
      </c>
      <c r="Y475" s="8"/>
      <c r="Z475" s="8"/>
      <c r="AA475" s="8"/>
      <c r="AB475" s="8"/>
      <c r="AC475" s="8"/>
      <c r="AD475" s="8"/>
      <c r="AE475" s="25"/>
      <c r="AF475" s="11"/>
      <c r="AG475" s="25"/>
      <c r="AH475" s="11"/>
      <c r="AI475" s="11">
        <v>75</v>
      </c>
      <c r="AJ475" s="19">
        <v>126</v>
      </c>
      <c r="AK475" s="12">
        <f>(AJ475+AI475)/30*7</f>
        <v>46.9</v>
      </c>
      <c r="AL475" s="6">
        <f>IF(AK475-C475&lt;0,0,AK475-C475)</f>
        <v>0</v>
      </c>
      <c r="AM475" s="6">
        <f>IF(AL475-R475-S475&lt;0,0,AL475-R475-S475)</f>
        <v>0</v>
      </c>
      <c r="AN475" s="5" t="str">
        <f t="shared" si="15"/>
        <v/>
      </c>
      <c r="AO475" s="5">
        <v>0</v>
      </c>
      <c r="AP475" s="9"/>
      <c r="AQ475" s="5" t="s">
        <v>1229</v>
      </c>
      <c r="AR475" s="5" t="s">
        <v>1210</v>
      </c>
      <c r="AS475" s="8"/>
      <c r="AT475" s="8"/>
      <c r="AU475" s="8"/>
      <c r="AV475" s="8"/>
      <c r="AW475" s="8"/>
      <c r="AX475" s="8"/>
      <c r="AY475" s="8"/>
      <c r="AZ475" s="8"/>
    </row>
    <row r="476" spans="1:52">
      <c r="A476" s="5" t="s">
        <v>323</v>
      </c>
      <c r="B476" s="5">
        <v>598</v>
      </c>
      <c r="C476" s="19">
        <v>998</v>
      </c>
      <c r="E476" s="14"/>
      <c r="F476" s="11"/>
      <c r="G476" s="11"/>
      <c r="H476" s="11"/>
      <c r="I476" s="11"/>
      <c r="J476" s="25"/>
      <c r="K476" s="11"/>
      <c r="L476" s="11"/>
      <c r="M476" s="19">
        <v>0</v>
      </c>
      <c r="O476" s="6"/>
      <c r="P476" s="16">
        <v>576</v>
      </c>
      <c r="Q476" s="16">
        <v>302</v>
      </c>
      <c r="R476" s="22"/>
      <c r="S476" s="22">
        <f t="shared" si="14"/>
        <v>0</v>
      </c>
      <c r="T476" s="5" t="s">
        <v>1210</v>
      </c>
      <c r="U476" s="5" t="s">
        <v>1210</v>
      </c>
      <c r="Y476" s="8"/>
      <c r="Z476" s="8"/>
      <c r="AA476" s="8"/>
      <c r="AB476" s="8"/>
      <c r="AC476" s="8"/>
      <c r="AD476" s="8"/>
      <c r="AE476" s="25"/>
      <c r="AF476" s="11"/>
      <c r="AG476" s="25"/>
      <c r="AH476" s="11"/>
      <c r="AI476" s="11">
        <v>74</v>
      </c>
      <c r="AJ476" s="19">
        <v>62</v>
      </c>
      <c r="AK476" s="12">
        <f>(AJ476+AI476)/30*7</f>
        <v>31.733333333333334</v>
      </c>
      <c r="AL476" s="6">
        <f>IF(AK476-C476&lt;0,0,AK476-C476)</f>
        <v>0</v>
      </c>
      <c r="AM476" s="6">
        <f>IF(AL476-R476-S476&lt;0,0,AL476-R476-S476)</f>
        <v>0</v>
      </c>
      <c r="AN476" s="5" t="str">
        <f t="shared" si="15"/>
        <v/>
      </c>
      <c r="AO476" s="5">
        <v>0</v>
      </c>
      <c r="AP476" s="9"/>
      <c r="AQ476" s="5" t="s">
        <v>1210</v>
      </c>
      <c r="AR476" s="5" t="s">
        <v>1230</v>
      </c>
      <c r="AS476" s="8"/>
      <c r="AT476" s="8"/>
      <c r="AU476" s="8"/>
      <c r="AV476" s="8"/>
      <c r="AW476" s="8"/>
      <c r="AX476" s="8"/>
      <c r="AY476" s="8"/>
      <c r="AZ476" s="8"/>
    </row>
    <row r="477" spans="1:52">
      <c r="A477" s="5" t="s">
        <v>29</v>
      </c>
      <c r="B477" s="5">
        <v>1589</v>
      </c>
      <c r="C477" s="19">
        <v>403</v>
      </c>
      <c r="E477" s="14"/>
      <c r="F477" s="11"/>
      <c r="G477" s="11"/>
      <c r="H477" s="11"/>
      <c r="I477" s="11"/>
      <c r="J477" s="25"/>
      <c r="K477" s="11"/>
      <c r="L477" s="11"/>
      <c r="M477" s="19">
        <v>0</v>
      </c>
      <c r="O477" s="6"/>
      <c r="P477" s="16">
        <v>244</v>
      </c>
      <c r="Q477" s="16">
        <v>0</v>
      </c>
      <c r="R477" s="22"/>
      <c r="S477" s="22">
        <f t="shared" si="14"/>
        <v>0</v>
      </c>
      <c r="T477" s="5" t="s">
        <v>1210</v>
      </c>
      <c r="U477" s="5" t="s">
        <v>1210</v>
      </c>
      <c r="Y477" s="8"/>
      <c r="Z477" s="8"/>
      <c r="AA477" s="8"/>
      <c r="AB477" s="8"/>
      <c r="AC477" s="8"/>
      <c r="AD477" s="8"/>
      <c r="AE477" s="25"/>
      <c r="AF477" s="11"/>
      <c r="AG477" s="25"/>
      <c r="AH477" s="11"/>
      <c r="AI477" s="11">
        <v>83</v>
      </c>
      <c r="AJ477" s="19">
        <v>120</v>
      </c>
      <c r="AK477" s="12">
        <f>(AJ477+AI477)/30*7</f>
        <v>47.366666666666667</v>
      </c>
      <c r="AL477" s="6">
        <f>IF(AK477-C477&lt;0,0,AK477-C477)</f>
        <v>0</v>
      </c>
      <c r="AM477" s="6">
        <f>IF(AL477-R477-S477&lt;0,0,AL477-R477-S477)</f>
        <v>0</v>
      </c>
      <c r="AN477" s="5" t="str">
        <f t="shared" si="15"/>
        <v/>
      </c>
      <c r="AO477" s="5">
        <v>0</v>
      </c>
      <c r="AP477" s="9"/>
      <c r="AQ477" s="5" t="s">
        <v>1229</v>
      </c>
      <c r="AR477" s="5" t="s">
        <v>1210</v>
      </c>
      <c r="AS477" s="8"/>
      <c r="AT477" s="8"/>
      <c r="AU477" s="8"/>
      <c r="AV477" s="8"/>
      <c r="AW477" s="8"/>
      <c r="AX477" s="8"/>
      <c r="AY477" s="8"/>
      <c r="AZ477" s="8"/>
    </row>
    <row r="478" spans="1:52">
      <c r="A478" s="5" t="s">
        <v>17</v>
      </c>
      <c r="B478" s="5">
        <v>1707</v>
      </c>
      <c r="C478" s="19">
        <v>346</v>
      </c>
      <c r="E478" s="14"/>
      <c r="F478" s="11"/>
      <c r="G478" s="11"/>
      <c r="H478" s="11"/>
      <c r="I478" s="11"/>
      <c r="J478" s="25"/>
      <c r="K478" s="11"/>
      <c r="L478" s="11"/>
      <c r="M478" s="19">
        <v>6</v>
      </c>
      <c r="O478" s="6"/>
      <c r="P478" s="16">
        <v>614</v>
      </c>
      <c r="Q478" s="16">
        <v>771</v>
      </c>
      <c r="R478" s="22"/>
      <c r="S478" s="22">
        <f t="shared" si="14"/>
        <v>0</v>
      </c>
      <c r="T478" s="5" t="s">
        <v>1212</v>
      </c>
      <c r="U478" s="5">
        <v>31</v>
      </c>
      <c r="Y478" s="8"/>
      <c r="Z478" s="8"/>
      <c r="AA478" s="8"/>
      <c r="AB478" s="8"/>
      <c r="AC478" s="8"/>
      <c r="AD478" s="8"/>
      <c r="AE478" s="25"/>
      <c r="AF478" s="11"/>
      <c r="AG478" s="25"/>
      <c r="AH478" s="11"/>
      <c r="AI478" s="11">
        <v>95</v>
      </c>
      <c r="AJ478" s="19">
        <v>155</v>
      </c>
      <c r="AK478" s="12">
        <f>(AJ478+AI478)/30*7</f>
        <v>58.333333333333336</v>
      </c>
      <c r="AL478" s="6">
        <f>IF(AK478-C478&lt;0,0,AK478-C478)</f>
        <v>0</v>
      </c>
      <c r="AM478" s="6">
        <f>IF(AL478-R478-S478&lt;0,0,AL478-R478-S478)</f>
        <v>0</v>
      </c>
      <c r="AN478" s="5" t="str">
        <f t="shared" si="15"/>
        <v/>
      </c>
      <c r="AO478" s="5">
        <v>0</v>
      </c>
      <c r="AP478" s="9"/>
      <c r="AQ478" s="5" t="s">
        <v>1229</v>
      </c>
      <c r="AR478" s="5" t="s">
        <v>1210</v>
      </c>
      <c r="AS478" s="8"/>
      <c r="AT478" s="8"/>
      <c r="AU478" s="8"/>
      <c r="AV478" s="8"/>
      <c r="AW478" s="8"/>
      <c r="AX478" s="8"/>
      <c r="AY478" s="8"/>
      <c r="AZ478" s="8"/>
    </row>
    <row r="479" spans="1:52">
      <c r="A479" s="5" t="s">
        <v>123</v>
      </c>
      <c r="B479" s="5">
        <v>1592</v>
      </c>
      <c r="C479" s="19">
        <v>517</v>
      </c>
      <c r="E479" s="14"/>
      <c r="F479" s="11"/>
      <c r="G479" s="11"/>
      <c r="H479" s="11"/>
      <c r="I479" s="11"/>
      <c r="J479" s="25"/>
      <c r="K479" s="11"/>
      <c r="L479" s="11"/>
      <c r="M479" s="19">
        <v>0</v>
      </c>
      <c r="O479" s="6"/>
      <c r="P479" s="16">
        <v>910</v>
      </c>
      <c r="Q479" s="16">
        <v>0</v>
      </c>
      <c r="R479" s="22"/>
      <c r="S479" s="22">
        <f t="shared" si="14"/>
        <v>0</v>
      </c>
      <c r="U479" s="5" t="s">
        <v>1210</v>
      </c>
      <c r="Y479" s="8"/>
      <c r="Z479" s="8"/>
      <c r="AA479" s="8"/>
      <c r="AB479" s="8"/>
      <c r="AC479" s="8"/>
      <c r="AD479" s="8"/>
      <c r="AE479" s="25"/>
      <c r="AF479" s="11"/>
      <c r="AG479" s="25"/>
      <c r="AH479" s="11"/>
      <c r="AI479" s="11">
        <v>87</v>
      </c>
      <c r="AJ479" s="19">
        <v>120</v>
      </c>
      <c r="AK479" s="12">
        <f>(AJ479+AI479)/30*7</f>
        <v>48.300000000000004</v>
      </c>
      <c r="AL479" s="6">
        <f>IF(AK479-C479&lt;0,0,AK479-C479)</f>
        <v>0</v>
      </c>
      <c r="AM479" s="6">
        <f>IF(AL479-R479-S479&lt;0,0,AL479-R479-S479)</f>
        <v>0</v>
      </c>
      <c r="AN479" s="5" t="str">
        <f t="shared" si="15"/>
        <v/>
      </c>
      <c r="AO479" s="5">
        <v>0</v>
      </c>
      <c r="AP479" s="9"/>
      <c r="AQ479" s="5" t="s">
        <v>1210</v>
      </c>
      <c r="AR479" s="5" t="s">
        <v>1210</v>
      </c>
      <c r="AS479" s="8"/>
      <c r="AT479" s="8"/>
      <c r="AU479" s="8"/>
      <c r="AV479" s="8"/>
      <c r="AW479" s="8"/>
      <c r="AX479" s="8"/>
      <c r="AY479" s="8"/>
      <c r="AZ479" s="8"/>
    </row>
    <row r="480" spans="1:52">
      <c r="A480" s="5" t="s">
        <v>141</v>
      </c>
      <c r="B480" s="5">
        <v>1430</v>
      </c>
      <c r="C480" s="19">
        <v>559</v>
      </c>
      <c r="E480" s="14"/>
      <c r="F480" s="11"/>
      <c r="G480" s="11"/>
      <c r="H480" s="11"/>
      <c r="I480" s="11"/>
      <c r="J480" s="25"/>
      <c r="K480" s="11"/>
      <c r="L480" s="11"/>
      <c r="M480" s="19">
        <v>0</v>
      </c>
      <c r="O480" s="6"/>
      <c r="P480" s="16">
        <v>925</v>
      </c>
      <c r="Q480" s="16">
        <v>0</v>
      </c>
      <c r="R480" s="22"/>
      <c r="S480" s="22">
        <f t="shared" si="14"/>
        <v>0</v>
      </c>
      <c r="T480" s="5" t="s">
        <v>1210</v>
      </c>
      <c r="U480" s="5" t="s">
        <v>1210</v>
      </c>
      <c r="Y480" s="8"/>
      <c r="Z480" s="8"/>
      <c r="AA480" s="8"/>
      <c r="AB480" s="8"/>
      <c r="AC480" s="8"/>
      <c r="AD480" s="8"/>
      <c r="AE480" s="25"/>
      <c r="AF480" s="11"/>
      <c r="AG480" s="25"/>
      <c r="AH480" s="11"/>
      <c r="AI480" s="11">
        <v>56</v>
      </c>
      <c r="AJ480" s="19">
        <v>95</v>
      </c>
      <c r="AK480" s="12">
        <f>(AJ480+AI480)/30*7</f>
        <v>35.233333333333334</v>
      </c>
      <c r="AL480" s="6">
        <f>IF(AK480-C480&lt;0,0,AK480-C480)</f>
        <v>0</v>
      </c>
      <c r="AM480" s="6">
        <f>IF(AL480-R480-S480&lt;0,0,AL480-R480-S480)</f>
        <v>0</v>
      </c>
      <c r="AN480" s="5" t="str">
        <f t="shared" si="15"/>
        <v/>
      </c>
      <c r="AO480" s="5">
        <v>0</v>
      </c>
      <c r="AP480" s="9"/>
      <c r="AQ480" s="5" t="s">
        <v>1210</v>
      </c>
      <c r="AR480" s="5" t="s">
        <v>1210</v>
      </c>
      <c r="AS480" s="8"/>
      <c r="AT480" s="8"/>
      <c r="AU480" s="8"/>
      <c r="AV480" s="8"/>
      <c r="AW480" s="8"/>
      <c r="AX480" s="8"/>
      <c r="AY480" s="8"/>
      <c r="AZ480" s="8"/>
    </row>
    <row r="481" spans="1:52">
      <c r="A481" s="5" t="s">
        <v>5</v>
      </c>
      <c r="B481" s="5">
        <v>1095</v>
      </c>
      <c r="C481" s="19">
        <v>360</v>
      </c>
      <c r="E481" s="14"/>
      <c r="F481" s="11"/>
      <c r="G481" s="11"/>
      <c r="H481" s="11"/>
      <c r="I481" s="11"/>
      <c r="J481" s="25"/>
      <c r="K481" s="11"/>
      <c r="L481" s="11"/>
      <c r="M481" s="19">
        <v>2</v>
      </c>
      <c r="O481" s="6"/>
      <c r="P481" s="16">
        <v>458</v>
      </c>
      <c r="Q481" s="16">
        <v>0</v>
      </c>
      <c r="R481" s="22"/>
      <c r="S481" s="22">
        <f t="shared" si="14"/>
        <v>0</v>
      </c>
      <c r="T481" s="5" t="s">
        <v>1210</v>
      </c>
      <c r="U481" s="5" t="s">
        <v>1210</v>
      </c>
      <c r="Y481" s="8"/>
      <c r="Z481" s="8"/>
      <c r="AA481" s="8"/>
      <c r="AB481" s="8"/>
      <c r="AC481" s="8"/>
      <c r="AD481" s="8"/>
      <c r="AE481" s="25"/>
      <c r="AF481" s="11"/>
      <c r="AG481" s="25"/>
      <c r="AH481" s="11"/>
      <c r="AI481" s="11">
        <v>47</v>
      </c>
      <c r="AJ481" s="19">
        <v>121</v>
      </c>
      <c r="AK481" s="12">
        <f>(AJ481+AI481)/30*7</f>
        <v>39.199999999999996</v>
      </c>
      <c r="AL481" s="6">
        <f>IF(AK481-C481&lt;0,0,AK481-C481)</f>
        <v>0</v>
      </c>
      <c r="AM481" s="6">
        <f>IF(AL481-R481-S481&lt;0,0,AL481-R481-S481)</f>
        <v>0</v>
      </c>
      <c r="AN481" s="5" t="str">
        <f t="shared" si="15"/>
        <v/>
      </c>
      <c r="AO481" s="5">
        <v>0</v>
      </c>
      <c r="AP481" s="9"/>
      <c r="AQ481" s="5" t="s">
        <v>1229</v>
      </c>
      <c r="AR481" s="5" t="s">
        <v>1210</v>
      </c>
      <c r="AS481" s="8"/>
      <c r="AT481" s="8"/>
      <c r="AU481" s="8"/>
      <c r="AV481" s="8"/>
      <c r="AW481" s="8"/>
      <c r="AX481" s="8"/>
      <c r="AY481" s="8"/>
      <c r="AZ481" s="8"/>
    </row>
    <row r="482" spans="1:52">
      <c r="A482" s="5" t="s">
        <v>56</v>
      </c>
      <c r="B482" s="5">
        <v>1585</v>
      </c>
      <c r="C482" s="19">
        <v>558</v>
      </c>
      <c r="E482" s="14"/>
      <c r="F482" s="11"/>
      <c r="G482" s="11"/>
      <c r="H482" s="11"/>
      <c r="I482" s="11"/>
      <c r="J482" s="25"/>
      <c r="K482" s="11"/>
      <c r="L482" s="11"/>
      <c r="M482" s="19">
        <v>0</v>
      </c>
      <c r="O482" s="6"/>
      <c r="P482" s="16">
        <v>820</v>
      </c>
      <c r="Q482" s="16">
        <v>0</v>
      </c>
      <c r="R482" s="22"/>
      <c r="S482" s="22">
        <f t="shared" si="14"/>
        <v>0</v>
      </c>
      <c r="T482" s="5" t="s">
        <v>1210</v>
      </c>
      <c r="U482" s="5" t="s">
        <v>1210</v>
      </c>
      <c r="Y482" s="8"/>
      <c r="Z482" s="8"/>
      <c r="AA482" s="8"/>
      <c r="AB482" s="8"/>
      <c r="AC482" s="8"/>
      <c r="AD482" s="8"/>
      <c r="AE482" s="25"/>
      <c r="AF482" s="11"/>
      <c r="AG482" s="25"/>
      <c r="AH482" s="11"/>
      <c r="AI482" s="11">
        <v>95</v>
      </c>
      <c r="AJ482" s="19">
        <v>93</v>
      </c>
      <c r="AK482" s="12">
        <f>(AJ482+AI482)/30*7</f>
        <v>43.866666666666667</v>
      </c>
      <c r="AL482" s="6">
        <f>IF(AK482-C482&lt;0,0,AK482-C482)</f>
        <v>0</v>
      </c>
      <c r="AM482" s="6">
        <f>IF(AL482-R482-S482&lt;0,0,AL482-R482-S482)</f>
        <v>0</v>
      </c>
      <c r="AN482" s="5" t="str">
        <f t="shared" si="15"/>
        <v/>
      </c>
      <c r="AO482" s="5">
        <v>0</v>
      </c>
      <c r="AP482" s="9"/>
      <c r="AQ482" s="5" t="s">
        <v>1229</v>
      </c>
      <c r="AR482" s="5" t="s">
        <v>1210</v>
      </c>
      <c r="AS482" s="8"/>
      <c r="AT482" s="8"/>
      <c r="AU482" s="8"/>
      <c r="AV482" s="8"/>
      <c r="AW482" s="8"/>
      <c r="AX482" s="8"/>
      <c r="AY482" s="8"/>
      <c r="AZ482" s="8"/>
    </row>
    <row r="483" spans="1:52">
      <c r="A483" s="5" t="s">
        <v>161</v>
      </c>
      <c r="B483" s="5">
        <v>606</v>
      </c>
      <c r="C483" s="19">
        <v>932</v>
      </c>
      <c r="E483" s="14"/>
      <c r="F483" s="11"/>
      <c r="G483" s="11"/>
      <c r="H483" s="11"/>
      <c r="I483" s="11"/>
      <c r="J483" s="25"/>
      <c r="K483" s="11"/>
      <c r="L483" s="11"/>
      <c r="M483" s="19">
        <v>0</v>
      </c>
      <c r="O483" s="6"/>
      <c r="P483" s="16">
        <v>451</v>
      </c>
      <c r="Q483" s="16">
        <v>0</v>
      </c>
      <c r="R483" s="22"/>
      <c r="S483" s="22">
        <f t="shared" si="14"/>
        <v>0</v>
      </c>
      <c r="T483" s="5" t="s">
        <v>1210</v>
      </c>
      <c r="U483" s="5" t="s">
        <v>1210</v>
      </c>
      <c r="Y483" s="8"/>
      <c r="Z483" s="8"/>
      <c r="AA483" s="8"/>
      <c r="AB483" s="8"/>
      <c r="AC483" s="8"/>
      <c r="AD483" s="8"/>
      <c r="AE483" s="25"/>
      <c r="AF483" s="11"/>
      <c r="AG483" s="25"/>
      <c r="AH483" s="11"/>
      <c r="AI483" s="11">
        <v>68</v>
      </c>
      <c r="AJ483" s="19">
        <v>93</v>
      </c>
      <c r="AK483" s="12">
        <f>(AJ483+AI483)/30*7</f>
        <v>37.566666666666663</v>
      </c>
      <c r="AL483" s="6">
        <f>IF(AK483-C483&lt;0,0,AK483-C483)</f>
        <v>0</v>
      </c>
      <c r="AM483" s="6">
        <f>IF(AL483-R483-S483&lt;0,0,AL483-R483-S483)</f>
        <v>0</v>
      </c>
      <c r="AN483" s="5" t="str">
        <f t="shared" si="15"/>
        <v/>
      </c>
      <c r="AO483" s="5">
        <v>0</v>
      </c>
      <c r="AP483" s="9"/>
      <c r="AQ483" s="5" t="s">
        <v>1210</v>
      </c>
      <c r="AR483" s="5" t="s">
        <v>1210</v>
      </c>
      <c r="AS483" s="8"/>
      <c r="AT483" s="8"/>
      <c r="AU483" s="8"/>
      <c r="AV483" s="8"/>
      <c r="AW483" s="8"/>
      <c r="AX483" s="8"/>
      <c r="AY483" s="8"/>
      <c r="AZ483" s="8"/>
    </row>
    <row r="484" spans="1:52">
      <c r="A484" s="5" t="s">
        <v>43</v>
      </c>
      <c r="B484" s="5">
        <v>1211</v>
      </c>
      <c r="C484" s="19">
        <v>936</v>
      </c>
      <c r="E484" s="14"/>
      <c r="F484" s="11"/>
      <c r="G484" s="11"/>
      <c r="H484" s="11"/>
      <c r="I484" s="11"/>
      <c r="J484" s="25"/>
      <c r="K484" s="11"/>
      <c r="L484" s="11"/>
      <c r="M484" s="19">
        <v>0</v>
      </c>
      <c r="O484" s="6"/>
      <c r="P484" s="16">
        <v>250</v>
      </c>
      <c r="Q484" s="16">
        <v>0</v>
      </c>
      <c r="R484" s="22"/>
      <c r="S484" s="22">
        <f t="shared" si="14"/>
        <v>0</v>
      </c>
      <c r="T484" s="5" t="s">
        <v>1210</v>
      </c>
      <c r="U484" s="5" t="s">
        <v>1210</v>
      </c>
      <c r="Y484" s="8"/>
      <c r="Z484" s="8"/>
      <c r="AA484" s="8"/>
      <c r="AB484" s="8"/>
      <c r="AC484" s="8"/>
      <c r="AD484" s="8"/>
      <c r="AE484" s="25"/>
      <c r="AF484" s="11"/>
      <c r="AG484" s="25"/>
      <c r="AH484" s="11"/>
      <c r="AI484" s="11">
        <v>12</v>
      </c>
      <c r="AJ484" s="19">
        <v>161</v>
      </c>
      <c r="AK484" s="12">
        <f>(AJ484+AI484)/30*7</f>
        <v>40.366666666666667</v>
      </c>
      <c r="AL484" s="6">
        <f>IF(AK484-C484&lt;0,0,AK484-C484)</f>
        <v>0</v>
      </c>
      <c r="AM484" s="6">
        <f>IF(AL484-R484-S484&lt;0,0,AL484-R484-S484)</f>
        <v>0</v>
      </c>
      <c r="AN484" s="5" t="str">
        <f t="shared" si="15"/>
        <v/>
      </c>
      <c r="AO484" s="5">
        <v>0</v>
      </c>
      <c r="AP484" s="9"/>
      <c r="AQ484" s="5" t="s">
        <v>1229</v>
      </c>
      <c r="AR484" s="5" t="s">
        <v>1210</v>
      </c>
      <c r="AS484" s="8"/>
      <c r="AT484" s="8"/>
      <c r="AU484" s="8"/>
      <c r="AV484" s="8"/>
      <c r="AW484" s="8"/>
      <c r="AX484" s="8"/>
      <c r="AY484" s="8"/>
      <c r="AZ484" s="8"/>
    </row>
    <row r="485" spans="1:52">
      <c r="A485" s="5" t="s">
        <v>150</v>
      </c>
      <c r="B485" s="5">
        <v>1654</v>
      </c>
      <c r="C485" s="19">
        <v>358</v>
      </c>
      <c r="E485" s="14"/>
      <c r="F485" s="11"/>
      <c r="G485" s="11"/>
      <c r="H485" s="11"/>
      <c r="I485" s="11"/>
      <c r="J485" s="25"/>
      <c r="K485" s="11"/>
      <c r="L485" s="11"/>
      <c r="M485" s="19">
        <v>0</v>
      </c>
      <c r="O485" s="6"/>
      <c r="P485" s="16">
        <v>470</v>
      </c>
      <c r="Q485" s="16">
        <v>0</v>
      </c>
      <c r="R485" s="22"/>
      <c r="S485" s="22">
        <f t="shared" si="14"/>
        <v>0</v>
      </c>
      <c r="T485" s="5" t="s">
        <v>1210</v>
      </c>
      <c r="U485" s="5" t="s">
        <v>1210</v>
      </c>
      <c r="Y485" s="8"/>
      <c r="Z485" s="8"/>
      <c r="AA485" s="8"/>
      <c r="AB485" s="8"/>
      <c r="AC485" s="8"/>
      <c r="AD485" s="8"/>
      <c r="AE485" s="25"/>
      <c r="AF485" s="11"/>
      <c r="AG485" s="25"/>
      <c r="AH485" s="11"/>
      <c r="AI485" s="11">
        <v>58</v>
      </c>
      <c r="AJ485" s="19">
        <v>110</v>
      </c>
      <c r="AK485" s="12">
        <f>(AJ485+AI485)/30*7</f>
        <v>39.199999999999996</v>
      </c>
      <c r="AL485" s="6">
        <f>IF(AK485-C485&lt;0,0,AK485-C485)</f>
        <v>0</v>
      </c>
      <c r="AM485" s="6">
        <f>IF(AL485-R485-S485&lt;0,0,AL485-R485-S485)</f>
        <v>0</v>
      </c>
      <c r="AN485" s="5" t="str">
        <f t="shared" si="15"/>
        <v/>
      </c>
      <c r="AO485" s="5">
        <v>0</v>
      </c>
      <c r="AP485" s="9"/>
      <c r="AQ485" s="5" t="s">
        <v>1229</v>
      </c>
      <c r="AR485" s="5" t="s">
        <v>1210</v>
      </c>
      <c r="AS485" s="8"/>
      <c r="AT485" s="8"/>
      <c r="AU485" s="8"/>
      <c r="AV485" s="8"/>
      <c r="AW485" s="8"/>
      <c r="AX485" s="8"/>
      <c r="AY485" s="8"/>
      <c r="AZ485" s="8"/>
    </row>
    <row r="486" spans="1:52">
      <c r="A486" s="5" t="s">
        <v>69</v>
      </c>
      <c r="B486" s="5">
        <v>1844</v>
      </c>
      <c r="C486" s="19">
        <v>234</v>
      </c>
      <c r="E486" s="14"/>
      <c r="F486" s="11"/>
      <c r="G486" s="11"/>
      <c r="H486" s="11"/>
      <c r="I486" s="11"/>
      <c r="J486" s="25"/>
      <c r="K486" s="11"/>
      <c r="L486" s="11"/>
      <c r="M486" s="19">
        <v>5</v>
      </c>
      <c r="O486" s="6"/>
      <c r="P486" s="16">
        <v>470</v>
      </c>
      <c r="Q486" s="16">
        <v>0</v>
      </c>
      <c r="R486" s="22"/>
      <c r="S486" s="22">
        <f t="shared" si="14"/>
        <v>0</v>
      </c>
      <c r="T486" s="5" t="s">
        <v>1210</v>
      </c>
      <c r="U486" s="5" t="s">
        <v>1210</v>
      </c>
      <c r="Y486" s="8"/>
      <c r="Z486" s="8"/>
      <c r="AA486" s="8"/>
      <c r="AB486" s="8"/>
      <c r="AC486" s="8"/>
      <c r="AD486" s="8"/>
      <c r="AE486" s="25"/>
      <c r="AF486" s="11"/>
      <c r="AG486" s="25"/>
      <c r="AH486" s="11"/>
      <c r="AI486" s="11">
        <v>47</v>
      </c>
      <c r="AJ486" s="19">
        <v>102</v>
      </c>
      <c r="AK486" s="12">
        <f>(AJ486+AI486)/30*7</f>
        <v>34.766666666666666</v>
      </c>
      <c r="AL486" s="6">
        <f>IF(AK486-C486&lt;0,0,AK486-C486)</f>
        <v>0</v>
      </c>
      <c r="AM486" s="6">
        <f>IF(AL486-R486-S486&lt;0,0,AL486-R486-S486)</f>
        <v>0</v>
      </c>
      <c r="AN486" s="5" t="str">
        <f t="shared" si="15"/>
        <v/>
      </c>
      <c r="AO486" s="5">
        <v>0</v>
      </c>
      <c r="AP486" s="9"/>
      <c r="AQ486" s="5" t="s">
        <v>1210</v>
      </c>
      <c r="AR486" s="5" t="s">
        <v>1210</v>
      </c>
      <c r="AS486" s="8"/>
      <c r="AT486" s="8"/>
      <c r="AU486" s="8"/>
      <c r="AV486" s="8"/>
      <c r="AW486" s="8"/>
      <c r="AX486" s="8"/>
      <c r="AY486" s="8"/>
      <c r="AZ486" s="8"/>
    </row>
    <row r="487" spans="1:52">
      <c r="A487" s="5" t="s">
        <v>63</v>
      </c>
      <c r="B487" s="5">
        <v>1161</v>
      </c>
      <c r="C487" s="19">
        <v>619</v>
      </c>
      <c r="E487" s="14"/>
      <c r="F487" s="11"/>
      <c r="G487" s="11"/>
      <c r="H487" s="11"/>
      <c r="I487" s="11"/>
      <c r="J487" s="25"/>
      <c r="K487" s="11"/>
      <c r="L487" s="11"/>
      <c r="M487" s="19">
        <v>0</v>
      </c>
      <c r="O487" s="6"/>
      <c r="P487" s="16">
        <v>600</v>
      </c>
      <c r="Q487" s="16">
        <v>0</v>
      </c>
      <c r="R487" s="22"/>
      <c r="S487" s="22">
        <f t="shared" si="14"/>
        <v>0</v>
      </c>
      <c r="T487" s="5" t="s">
        <v>1210</v>
      </c>
      <c r="U487" s="5" t="s">
        <v>1210</v>
      </c>
      <c r="Y487" s="8"/>
      <c r="Z487" s="8"/>
      <c r="AA487" s="8"/>
      <c r="AB487" s="8"/>
      <c r="AC487" s="8"/>
      <c r="AD487" s="8"/>
      <c r="AE487" s="25"/>
      <c r="AF487" s="11"/>
      <c r="AG487" s="25"/>
      <c r="AH487" s="11"/>
      <c r="AI487" s="11">
        <v>57</v>
      </c>
      <c r="AJ487" s="19">
        <v>122</v>
      </c>
      <c r="AK487" s="12">
        <f>(AJ487+AI487)/30*7</f>
        <v>41.766666666666666</v>
      </c>
      <c r="AL487" s="6">
        <f>IF(AK487-C487&lt;0,0,AK487-C487)</f>
        <v>0</v>
      </c>
      <c r="AM487" s="6">
        <f>IF(AL487-R487-S487&lt;0,0,AL487-R487-S487)</f>
        <v>0</v>
      </c>
      <c r="AN487" s="5" t="str">
        <f t="shared" si="15"/>
        <v/>
      </c>
      <c r="AO487" s="5">
        <v>0</v>
      </c>
      <c r="AP487" s="9"/>
      <c r="AQ487" s="5" t="s">
        <v>1229</v>
      </c>
      <c r="AR487" s="5" t="s">
        <v>1210</v>
      </c>
      <c r="AS487" s="8"/>
      <c r="AT487" s="8"/>
      <c r="AU487" s="8"/>
      <c r="AV487" s="8"/>
      <c r="AW487" s="8"/>
      <c r="AX487" s="8"/>
      <c r="AY487" s="8"/>
      <c r="AZ487" s="8"/>
    </row>
    <row r="488" spans="1:52">
      <c r="A488" s="5" t="s">
        <v>342</v>
      </c>
      <c r="B488" s="5">
        <v>1694</v>
      </c>
      <c r="C488" s="19">
        <v>384</v>
      </c>
      <c r="E488" s="14"/>
      <c r="F488" s="11"/>
      <c r="G488" s="11"/>
      <c r="H488" s="11"/>
      <c r="I488" s="11"/>
      <c r="J488" s="25"/>
      <c r="K488" s="11"/>
      <c r="L488" s="11"/>
      <c r="M488" s="19">
        <v>8</v>
      </c>
      <c r="O488" s="6"/>
      <c r="P488" s="16">
        <v>213</v>
      </c>
      <c r="Q488" s="16">
        <v>255</v>
      </c>
      <c r="R488" s="22"/>
      <c r="S488" s="22">
        <f t="shared" si="14"/>
        <v>0</v>
      </c>
      <c r="T488" s="5" t="s">
        <v>1210</v>
      </c>
      <c r="U488" s="5" t="s">
        <v>1210</v>
      </c>
      <c r="Y488" s="8"/>
      <c r="Z488" s="8"/>
      <c r="AA488" s="8"/>
      <c r="AB488" s="8"/>
      <c r="AC488" s="8"/>
      <c r="AD488" s="8"/>
      <c r="AE488" s="25"/>
      <c r="AF488" s="11"/>
      <c r="AG488" s="25"/>
      <c r="AH488" s="11"/>
      <c r="AI488" s="11">
        <v>87</v>
      </c>
      <c r="AJ488" s="19">
        <v>61</v>
      </c>
      <c r="AK488" s="12">
        <f>(AJ488+AI488)/30*7</f>
        <v>34.533333333333331</v>
      </c>
      <c r="AL488" s="6">
        <f>IF(AK488-C488&lt;0,0,AK488-C488)</f>
        <v>0</v>
      </c>
      <c r="AM488" s="6">
        <f>IF(AL488-R488-S488&lt;0,0,AL488-R488-S488)</f>
        <v>0</v>
      </c>
      <c r="AN488" s="5" t="str">
        <f t="shared" si="15"/>
        <v/>
      </c>
      <c r="AO488" s="5">
        <v>9</v>
      </c>
      <c r="AP488" s="9"/>
      <c r="AQ488" s="5" t="s">
        <v>1229</v>
      </c>
      <c r="AR488" s="5" t="s">
        <v>1210</v>
      </c>
      <c r="AS488" s="8"/>
      <c r="AT488" s="8"/>
      <c r="AU488" s="8"/>
      <c r="AV488" s="8"/>
      <c r="AW488" s="8"/>
      <c r="AX488" s="8"/>
      <c r="AY488" s="8"/>
      <c r="AZ488" s="8"/>
    </row>
    <row r="489" spans="1:52">
      <c r="A489" s="5" t="s">
        <v>25</v>
      </c>
      <c r="B489" s="5">
        <v>1596</v>
      </c>
      <c r="C489" s="19">
        <v>591</v>
      </c>
      <c r="E489" s="14"/>
      <c r="F489" s="11"/>
      <c r="G489" s="11"/>
      <c r="H489" s="11"/>
      <c r="I489" s="11"/>
      <c r="J489" s="25"/>
      <c r="K489" s="11"/>
      <c r="L489" s="11"/>
      <c r="M489" s="19">
        <v>1</v>
      </c>
      <c r="O489" s="6"/>
      <c r="P489" s="16">
        <v>600</v>
      </c>
      <c r="Q489" s="16">
        <v>473</v>
      </c>
      <c r="R489" s="22"/>
      <c r="S489" s="22">
        <f t="shared" si="14"/>
        <v>0</v>
      </c>
      <c r="T489" s="5" t="s">
        <v>1210</v>
      </c>
      <c r="U489" s="5" t="s">
        <v>1210</v>
      </c>
      <c r="Y489" s="8"/>
      <c r="Z489" s="8"/>
      <c r="AA489" s="8"/>
      <c r="AB489" s="8"/>
      <c r="AC489" s="8"/>
      <c r="AD489" s="8"/>
      <c r="AE489" s="25"/>
      <c r="AF489" s="11"/>
      <c r="AG489" s="25"/>
      <c r="AH489" s="11"/>
      <c r="AI489" s="11">
        <v>93</v>
      </c>
      <c r="AJ489" s="19">
        <v>143</v>
      </c>
      <c r="AK489" s="12">
        <f>(AJ489+AI489)/30*7</f>
        <v>55.066666666666663</v>
      </c>
      <c r="AL489" s="6">
        <f>IF(AK489-C489&lt;0,0,AK489-C489)</f>
        <v>0</v>
      </c>
      <c r="AM489" s="6">
        <f>IF(AL489-R489-S489&lt;0,0,AL489-R489-S489)</f>
        <v>0</v>
      </c>
      <c r="AN489" s="5" t="str">
        <f t="shared" si="15"/>
        <v/>
      </c>
      <c r="AO489" s="5">
        <v>0</v>
      </c>
      <c r="AP489" s="9"/>
      <c r="AQ489" s="5" t="s">
        <v>1229</v>
      </c>
      <c r="AR489" s="5" t="s">
        <v>1210</v>
      </c>
      <c r="AS489" s="8"/>
      <c r="AT489" s="8"/>
      <c r="AU489" s="8"/>
      <c r="AV489" s="8"/>
      <c r="AW489" s="8"/>
      <c r="AX489" s="8"/>
      <c r="AY489" s="8"/>
      <c r="AZ489" s="8"/>
    </row>
    <row r="490" spans="1:52">
      <c r="A490" s="5" t="s">
        <v>76</v>
      </c>
      <c r="B490" s="5">
        <v>1192</v>
      </c>
      <c r="C490" s="19">
        <v>274</v>
      </c>
      <c r="E490" s="14"/>
      <c r="F490" s="11"/>
      <c r="G490" s="11"/>
      <c r="H490" s="11"/>
      <c r="I490" s="11"/>
      <c r="J490" s="25"/>
      <c r="K490" s="11"/>
      <c r="L490" s="11"/>
      <c r="M490" s="19">
        <v>7</v>
      </c>
      <c r="O490" s="6"/>
      <c r="P490" s="16">
        <v>744</v>
      </c>
      <c r="Q490" s="16">
        <v>463</v>
      </c>
      <c r="R490" s="22"/>
      <c r="S490" s="22">
        <f t="shared" si="14"/>
        <v>0</v>
      </c>
      <c r="T490" s="5" t="s">
        <v>1210</v>
      </c>
      <c r="U490" s="5" t="s">
        <v>1210</v>
      </c>
      <c r="Y490" s="8"/>
      <c r="Z490" s="8"/>
      <c r="AA490" s="8"/>
      <c r="AB490" s="8"/>
      <c r="AC490" s="8"/>
      <c r="AD490" s="8"/>
      <c r="AE490" s="25"/>
      <c r="AF490" s="11"/>
      <c r="AG490" s="25"/>
      <c r="AH490" s="11"/>
      <c r="AI490" s="11">
        <v>5</v>
      </c>
      <c r="AJ490" s="19">
        <v>121</v>
      </c>
      <c r="AK490" s="12">
        <f>(AJ490+AI490)/30*7</f>
        <v>29.400000000000002</v>
      </c>
      <c r="AL490" s="6">
        <f>IF(AK490-C490&lt;0,0,AK490-C490)</f>
        <v>0</v>
      </c>
      <c r="AM490" s="6">
        <f>IF(AL490-R490-S490&lt;0,0,AL490-R490-S490)</f>
        <v>0</v>
      </c>
      <c r="AN490" s="5" t="str">
        <f t="shared" si="15"/>
        <v/>
      </c>
      <c r="AO490" s="5">
        <v>0</v>
      </c>
      <c r="AP490" s="9"/>
      <c r="AQ490" s="5" t="s">
        <v>1210</v>
      </c>
      <c r="AR490" s="5" t="s">
        <v>1210</v>
      </c>
      <c r="AS490" s="8"/>
      <c r="AT490" s="8"/>
      <c r="AU490" s="8"/>
      <c r="AV490" s="8"/>
      <c r="AW490" s="8"/>
      <c r="AX490" s="8"/>
      <c r="AY490" s="8"/>
      <c r="AZ490" s="8"/>
    </row>
    <row r="491" spans="1:52">
      <c r="A491" s="5" t="s">
        <v>269</v>
      </c>
      <c r="B491" s="5">
        <v>1680</v>
      </c>
      <c r="C491" s="19">
        <v>555</v>
      </c>
      <c r="E491" s="14"/>
      <c r="F491" s="11"/>
      <c r="G491" s="11"/>
      <c r="H491" s="11"/>
      <c r="I491" s="11"/>
      <c r="J491" s="25"/>
      <c r="K491" s="11"/>
      <c r="L491" s="11"/>
      <c r="M491" s="19">
        <v>4</v>
      </c>
      <c r="O491" s="6"/>
      <c r="P491" s="16">
        <v>215</v>
      </c>
      <c r="Q491" s="16">
        <v>0</v>
      </c>
      <c r="R491" s="22"/>
      <c r="S491" s="22">
        <f t="shared" si="14"/>
        <v>0</v>
      </c>
      <c r="T491" s="5" t="s">
        <v>1210</v>
      </c>
      <c r="U491" s="5" t="s">
        <v>1210</v>
      </c>
      <c r="Y491" s="8"/>
      <c r="Z491" s="8"/>
      <c r="AA491" s="8"/>
      <c r="AB491" s="8"/>
      <c r="AC491" s="8"/>
      <c r="AD491" s="8"/>
      <c r="AE491" s="25"/>
      <c r="AF491" s="11"/>
      <c r="AG491" s="25"/>
      <c r="AH491" s="11"/>
      <c r="AI491" s="11">
        <v>40</v>
      </c>
      <c r="AJ491" s="19">
        <v>124</v>
      </c>
      <c r="AK491" s="12">
        <f>(AJ491+AI491)/30*7</f>
        <v>38.266666666666666</v>
      </c>
      <c r="AL491" s="6">
        <f>IF(AK491-C491&lt;0,0,AK491-C491)</f>
        <v>0</v>
      </c>
      <c r="AM491" s="6">
        <f>IF(AL491-R491-S491&lt;0,0,AL491-R491-S491)</f>
        <v>0</v>
      </c>
      <c r="AN491" s="5" t="str">
        <f t="shared" si="15"/>
        <v/>
      </c>
      <c r="AO491" s="5">
        <v>10</v>
      </c>
      <c r="AP491" s="9"/>
      <c r="AQ491" s="5" t="s">
        <v>1210</v>
      </c>
      <c r="AR491" s="5" t="s">
        <v>1210</v>
      </c>
      <c r="AS491" s="8"/>
      <c r="AT491" s="8"/>
      <c r="AU491" s="8"/>
      <c r="AV491" s="8"/>
      <c r="AW491" s="8"/>
      <c r="AX491" s="8"/>
      <c r="AY491" s="8"/>
      <c r="AZ491" s="8"/>
    </row>
    <row r="492" spans="1:52">
      <c r="A492" s="5" t="s">
        <v>134</v>
      </c>
      <c r="B492" s="5">
        <v>1103</v>
      </c>
      <c r="C492" s="19">
        <v>776</v>
      </c>
      <c r="E492" s="14"/>
      <c r="F492" s="11"/>
      <c r="G492" s="11"/>
      <c r="H492" s="11"/>
      <c r="I492" s="11"/>
      <c r="J492" s="25"/>
      <c r="K492" s="11"/>
      <c r="L492" s="11"/>
      <c r="M492" s="19">
        <v>0</v>
      </c>
      <c r="O492" s="6"/>
      <c r="P492" s="16">
        <v>894</v>
      </c>
      <c r="Q492" s="16">
        <v>0</v>
      </c>
      <c r="R492" s="22"/>
      <c r="S492" s="22">
        <f t="shared" si="14"/>
        <v>0</v>
      </c>
      <c r="T492" s="5" t="s">
        <v>1210</v>
      </c>
      <c r="U492" s="5" t="s">
        <v>1210</v>
      </c>
      <c r="Y492" s="8"/>
      <c r="Z492" s="8"/>
      <c r="AA492" s="8"/>
      <c r="AB492" s="8"/>
      <c r="AC492" s="8"/>
      <c r="AD492" s="8"/>
      <c r="AE492" s="25"/>
      <c r="AF492" s="11"/>
      <c r="AG492" s="25"/>
      <c r="AH492" s="11"/>
      <c r="AI492" s="11">
        <v>24</v>
      </c>
      <c r="AJ492" s="19">
        <v>95</v>
      </c>
      <c r="AK492" s="12">
        <f>(AJ492+AI492)/30*7</f>
        <v>27.766666666666666</v>
      </c>
      <c r="AL492" s="6">
        <f>IF(AK492-C492&lt;0,0,AK492-C492)</f>
        <v>0</v>
      </c>
      <c r="AM492" s="6">
        <f>IF(AL492-R492-S492&lt;0,0,AL492-R492-S492)</f>
        <v>0</v>
      </c>
      <c r="AN492" s="5" t="str">
        <f t="shared" si="15"/>
        <v/>
      </c>
      <c r="AO492" s="5">
        <v>0</v>
      </c>
      <c r="AP492" s="9"/>
      <c r="AQ492" s="5" t="s">
        <v>1210</v>
      </c>
      <c r="AR492" s="5" t="s">
        <v>1210</v>
      </c>
      <c r="AS492" s="8"/>
      <c r="AT492" s="8"/>
      <c r="AU492" s="8"/>
      <c r="AV492" s="8"/>
      <c r="AW492" s="8"/>
      <c r="AX492" s="8"/>
      <c r="AY492" s="8"/>
      <c r="AZ492" s="8"/>
    </row>
    <row r="493" spans="1:52">
      <c r="A493" s="5" t="s">
        <v>137</v>
      </c>
      <c r="B493" s="5">
        <v>822</v>
      </c>
      <c r="C493" s="19">
        <v>903</v>
      </c>
      <c r="E493" s="14"/>
      <c r="F493" s="11"/>
      <c r="G493" s="11"/>
      <c r="H493" s="11"/>
      <c r="I493" s="11"/>
      <c r="J493" s="25"/>
      <c r="K493" s="11"/>
      <c r="L493" s="11"/>
      <c r="M493" s="19">
        <v>0</v>
      </c>
      <c r="O493" s="6"/>
      <c r="P493" s="16">
        <v>480</v>
      </c>
      <c r="Q493" s="16">
        <v>0</v>
      </c>
      <c r="R493" s="22"/>
      <c r="S493" s="22">
        <f t="shared" si="14"/>
        <v>0</v>
      </c>
      <c r="T493" s="5">
        <v>990</v>
      </c>
      <c r="U493" s="5">
        <v>461</v>
      </c>
      <c r="Y493" s="8"/>
      <c r="Z493" s="8"/>
      <c r="AA493" s="8"/>
      <c r="AB493" s="8"/>
      <c r="AC493" s="8"/>
      <c r="AD493" s="8"/>
      <c r="AE493" s="25"/>
      <c r="AF493" s="11"/>
      <c r="AG493" s="25"/>
      <c r="AH493" s="11"/>
      <c r="AI493" s="11">
        <v>47</v>
      </c>
      <c r="AJ493" s="19">
        <v>79</v>
      </c>
      <c r="AK493" s="12">
        <f>(AJ493+AI493)/30*7</f>
        <v>29.400000000000002</v>
      </c>
      <c r="AL493" s="6">
        <f>IF(AK493-C493&lt;0,0,AK493-C493)</f>
        <v>0</v>
      </c>
      <c r="AM493" s="6">
        <f>IF(AL493-R493-S493&lt;0,0,AL493-R493-S493)</f>
        <v>0</v>
      </c>
      <c r="AN493" s="5" t="str">
        <f t="shared" si="15"/>
        <v/>
      </c>
      <c r="AO493" s="5">
        <v>0</v>
      </c>
      <c r="AP493" s="9"/>
      <c r="AQ493" s="5" t="s">
        <v>1210</v>
      </c>
      <c r="AR493" s="5" t="s">
        <v>1210</v>
      </c>
      <c r="AS493" s="8"/>
      <c r="AT493" s="8"/>
      <c r="AU493" s="8"/>
      <c r="AV493" s="8"/>
      <c r="AW493" s="8"/>
      <c r="AX493" s="8"/>
      <c r="AY493" s="8"/>
      <c r="AZ493" s="8"/>
    </row>
    <row r="494" spans="1:52">
      <c r="A494" s="5" t="s">
        <v>121</v>
      </c>
      <c r="B494" s="5">
        <v>999</v>
      </c>
      <c r="C494" s="19">
        <v>566</v>
      </c>
      <c r="E494" s="14"/>
      <c r="F494" s="11"/>
      <c r="G494" s="11"/>
      <c r="H494" s="11"/>
      <c r="I494" s="11"/>
      <c r="J494" s="25"/>
      <c r="K494" s="11"/>
      <c r="L494" s="11"/>
      <c r="M494" s="19">
        <v>0</v>
      </c>
      <c r="O494" s="6"/>
      <c r="P494" s="16">
        <v>313</v>
      </c>
      <c r="Q494" s="16">
        <v>0</v>
      </c>
      <c r="R494" s="22"/>
      <c r="S494" s="22">
        <f t="shared" si="14"/>
        <v>0</v>
      </c>
      <c r="T494" s="5" t="s">
        <v>1210</v>
      </c>
      <c r="U494" s="5" t="s">
        <v>1210</v>
      </c>
      <c r="Y494" s="8"/>
      <c r="Z494" s="8"/>
      <c r="AA494" s="8"/>
      <c r="AB494" s="8"/>
      <c r="AC494" s="8"/>
      <c r="AD494" s="8"/>
      <c r="AE494" s="25"/>
      <c r="AF494" s="11"/>
      <c r="AG494" s="25"/>
      <c r="AH494" s="11"/>
      <c r="AI494" s="11">
        <v>100</v>
      </c>
      <c r="AJ494" s="19">
        <v>102</v>
      </c>
      <c r="AK494" s="12">
        <f>(AJ494+AI494)/30*7</f>
        <v>47.133333333333333</v>
      </c>
      <c r="AL494" s="6">
        <f>IF(AK494-C494&lt;0,0,AK494-C494)</f>
        <v>0</v>
      </c>
      <c r="AM494" s="6">
        <f>IF(AL494-R494-S494&lt;0,0,AL494-R494-S494)</f>
        <v>0</v>
      </c>
      <c r="AN494" s="5" t="str">
        <f t="shared" si="15"/>
        <v/>
      </c>
      <c r="AO494" s="5">
        <v>0</v>
      </c>
      <c r="AP494" s="9"/>
      <c r="AQ494" s="5" t="s">
        <v>1210</v>
      </c>
      <c r="AR494" s="5" t="s">
        <v>1210</v>
      </c>
      <c r="AS494" s="8"/>
      <c r="AT494" s="8"/>
      <c r="AU494" s="8"/>
      <c r="AV494" s="8"/>
      <c r="AW494" s="8"/>
      <c r="AX494" s="8"/>
      <c r="AY494" s="8"/>
      <c r="AZ494" s="8"/>
    </row>
    <row r="495" spans="1:52">
      <c r="A495" s="5" t="s">
        <v>0</v>
      </c>
      <c r="B495" s="5">
        <v>905</v>
      </c>
      <c r="C495" s="19">
        <v>425</v>
      </c>
      <c r="E495" s="14"/>
      <c r="F495" s="11"/>
      <c r="G495" s="11"/>
      <c r="H495" s="11"/>
      <c r="I495" s="11"/>
      <c r="J495" s="25"/>
      <c r="K495" s="11"/>
      <c r="L495" s="11"/>
      <c r="M495" s="19">
        <v>4</v>
      </c>
      <c r="O495" s="6"/>
      <c r="P495" s="16">
        <v>334</v>
      </c>
      <c r="Q495" s="16">
        <v>373</v>
      </c>
      <c r="R495" s="22"/>
      <c r="S495" s="22">
        <f t="shared" si="14"/>
        <v>0</v>
      </c>
      <c r="T495" s="5" t="s">
        <v>1210</v>
      </c>
      <c r="U495" s="5" t="s">
        <v>1210</v>
      </c>
      <c r="Y495" s="8"/>
      <c r="Z495" s="8"/>
      <c r="AA495" s="8"/>
      <c r="AB495" s="8"/>
      <c r="AC495" s="8"/>
      <c r="AD495" s="8"/>
      <c r="AE495" s="25"/>
      <c r="AF495" s="11"/>
      <c r="AG495" s="25"/>
      <c r="AH495" s="11"/>
      <c r="AI495" s="11">
        <v>48</v>
      </c>
      <c r="AJ495" s="19">
        <v>153</v>
      </c>
      <c r="AK495" s="12">
        <f>(AJ495+AI495)/30*7</f>
        <v>46.9</v>
      </c>
      <c r="AL495" s="6">
        <f>IF(AK495-C495&lt;0,0,AK495-C495)</f>
        <v>0</v>
      </c>
      <c r="AM495" s="6">
        <f>IF(AL495-R495-S495&lt;0,0,AL495-R495-S495)</f>
        <v>0</v>
      </c>
      <c r="AN495" s="5" t="str">
        <f t="shared" si="15"/>
        <v/>
      </c>
      <c r="AO495" s="5">
        <v>0</v>
      </c>
      <c r="AP495" s="9"/>
      <c r="AQ495" s="5" t="s">
        <v>1229</v>
      </c>
      <c r="AR495" s="5" t="s">
        <v>1210</v>
      </c>
      <c r="AS495" s="8"/>
      <c r="AT495" s="8"/>
      <c r="AU495" s="8"/>
      <c r="AV495" s="8"/>
      <c r="AW495" s="8"/>
      <c r="AX495" s="8"/>
      <c r="AY495" s="8"/>
      <c r="AZ495" s="8"/>
    </row>
    <row r="496" spans="1:52">
      <c r="A496" s="5" t="s">
        <v>296</v>
      </c>
      <c r="B496" s="5">
        <v>1808</v>
      </c>
      <c r="C496" s="19">
        <v>428</v>
      </c>
      <c r="E496" s="14"/>
      <c r="F496" s="11"/>
      <c r="G496" s="11"/>
      <c r="H496" s="11"/>
      <c r="I496" s="11"/>
      <c r="J496" s="25"/>
      <c r="K496" s="11"/>
      <c r="L496" s="11"/>
      <c r="M496" s="19">
        <v>9</v>
      </c>
      <c r="O496" s="6"/>
      <c r="P496" s="16">
        <v>262</v>
      </c>
      <c r="Q496" s="16">
        <v>419</v>
      </c>
      <c r="R496" s="22"/>
      <c r="S496" s="22">
        <f t="shared" si="14"/>
        <v>0</v>
      </c>
      <c r="T496" s="5" t="s">
        <v>1210</v>
      </c>
      <c r="U496" s="5" t="s">
        <v>1210</v>
      </c>
      <c r="Y496" s="8"/>
      <c r="Z496" s="8"/>
      <c r="AA496" s="8"/>
      <c r="AB496" s="8"/>
      <c r="AC496" s="8"/>
      <c r="AD496" s="8"/>
      <c r="AE496" s="25"/>
      <c r="AF496" s="11"/>
      <c r="AG496" s="25"/>
      <c r="AH496" s="11"/>
      <c r="AI496" s="11">
        <v>34</v>
      </c>
      <c r="AJ496" s="19">
        <v>98</v>
      </c>
      <c r="AK496" s="12">
        <f>(AJ496+AI496)/30*7</f>
        <v>30.800000000000004</v>
      </c>
      <c r="AL496" s="6">
        <f>IF(AK496-C496&lt;0,0,AK496-C496)</f>
        <v>0</v>
      </c>
      <c r="AM496" s="6">
        <f>IF(AL496-R496-S496&lt;0,0,AL496-R496-S496)</f>
        <v>0</v>
      </c>
      <c r="AN496" s="5" t="str">
        <f t="shared" si="15"/>
        <v/>
      </c>
      <c r="AO496" s="5">
        <v>0</v>
      </c>
      <c r="AP496" s="9"/>
      <c r="AQ496" s="5" t="s">
        <v>1210</v>
      </c>
      <c r="AR496" s="5" t="s">
        <v>1210</v>
      </c>
      <c r="AS496" s="8"/>
      <c r="AT496" s="8"/>
      <c r="AU496" s="8"/>
      <c r="AV496" s="8"/>
      <c r="AW496" s="8"/>
      <c r="AX496" s="8"/>
      <c r="AY496" s="8"/>
      <c r="AZ496" s="8"/>
    </row>
    <row r="497" spans="1:52">
      <c r="A497" s="5" t="s">
        <v>184</v>
      </c>
      <c r="B497" s="5">
        <v>1005</v>
      </c>
      <c r="C497" s="19">
        <v>264</v>
      </c>
      <c r="E497" s="14"/>
      <c r="F497" s="11"/>
      <c r="G497" s="11"/>
      <c r="H497" s="11"/>
      <c r="I497" s="11"/>
      <c r="J497" s="25"/>
      <c r="K497" s="11"/>
      <c r="L497" s="11"/>
      <c r="M497" s="19">
        <v>10</v>
      </c>
      <c r="O497" s="6"/>
      <c r="P497" s="16">
        <v>745</v>
      </c>
      <c r="Q497" s="16">
        <v>657</v>
      </c>
      <c r="R497" s="22"/>
      <c r="S497" s="22">
        <f t="shared" si="14"/>
        <v>0</v>
      </c>
      <c r="T497" s="5" t="s">
        <v>1210</v>
      </c>
      <c r="U497" s="5" t="s">
        <v>1210</v>
      </c>
      <c r="Y497" s="8"/>
      <c r="Z497" s="8"/>
      <c r="AA497" s="8"/>
      <c r="AB497" s="8"/>
      <c r="AC497" s="8"/>
      <c r="AD497" s="8"/>
      <c r="AE497" s="25"/>
      <c r="AF497" s="11"/>
      <c r="AG497" s="25"/>
      <c r="AH497" s="11"/>
      <c r="AI497" s="11">
        <v>67</v>
      </c>
      <c r="AJ497" s="19">
        <v>47</v>
      </c>
      <c r="AK497" s="12">
        <f>(AJ497+AI497)/30*7</f>
        <v>26.599999999999998</v>
      </c>
      <c r="AL497" s="6">
        <f>IF(AK497-C497&lt;0,0,AK497-C497)</f>
        <v>0</v>
      </c>
      <c r="AM497" s="6">
        <f>IF(AL497-R497-S497&lt;0,0,AL497-R497-S497)</f>
        <v>0</v>
      </c>
      <c r="AN497" s="5" t="str">
        <f t="shared" si="15"/>
        <v/>
      </c>
      <c r="AO497" s="5">
        <v>0</v>
      </c>
      <c r="AP497" s="9"/>
      <c r="AQ497" s="5" t="s">
        <v>1229</v>
      </c>
      <c r="AR497" s="5" t="s">
        <v>1210</v>
      </c>
      <c r="AS497" s="8"/>
      <c r="AT497" s="8"/>
      <c r="AU497" s="8"/>
      <c r="AV497" s="8"/>
      <c r="AW497" s="8"/>
      <c r="AX497" s="8"/>
      <c r="AY497" s="8"/>
      <c r="AZ497" s="8"/>
    </row>
    <row r="498" spans="1:52">
      <c r="A498" s="5" t="s">
        <v>206</v>
      </c>
      <c r="B498" s="5">
        <v>931</v>
      </c>
      <c r="C498" s="19">
        <v>734</v>
      </c>
      <c r="E498" s="14"/>
      <c r="F498" s="11"/>
      <c r="G498" s="11"/>
      <c r="H498" s="11"/>
      <c r="I498" s="11"/>
      <c r="J498" s="25"/>
      <c r="K498" s="11"/>
      <c r="L498" s="11"/>
      <c r="M498" s="19">
        <v>0</v>
      </c>
      <c r="O498" s="6"/>
      <c r="P498" s="16">
        <v>781</v>
      </c>
      <c r="Q498" s="16">
        <v>0</v>
      </c>
      <c r="R498" s="22"/>
      <c r="S498" s="22">
        <f t="shared" si="14"/>
        <v>0</v>
      </c>
      <c r="T498" s="5" t="s">
        <v>1210</v>
      </c>
      <c r="U498" s="5" t="s">
        <v>1210</v>
      </c>
      <c r="Y498" s="8"/>
      <c r="Z498" s="8"/>
      <c r="AA498" s="8"/>
      <c r="AB498" s="8"/>
      <c r="AC498" s="8"/>
      <c r="AD498" s="8"/>
      <c r="AE498" s="25"/>
      <c r="AF498" s="11"/>
      <c r="AG498" s="25"/>
      <c r="AH498" s="11"/>
      <c r="AI498" s="11">
        <v>58</v>
      </c>
      <c r="AJ498" s="19">
        <v>60</v>
      </c>
      <c r="AK498" s="12">
        <f>(AJ498+AI498)/30*7</f>
        <v>27.533333333333331</v>
      </c>
      <c r="AL498" s="6">
        <f>IF(AK498-C498&lt;0,0,AK498-C498)</f>
        <v>0</v>
      </c>
      <c r="AM498" s="6">
        <f>IF(AL498-R498-S498&lt;0,0,AL498-R498-S498)</f>
        <v>0</v>
      </c>
      <c r="AN498" s="5" t="str">
        <f t="shared" si="15"/>
        <v/>
      </c>
      <c r="AO498" s="5">
        <v>0</v>
      </c>
      <c r="AP498" s="9"/>
      <c r="AQ498" s="5" t="s">
        <v>1210</v>
      </c>
      <c r="AR498" s="5" t="s">
        <v>1210</v>
      </c>
      <c r="AS498" s="8"/>
      <c r="AT498" s="8"/>
      <c r="AU498" s="8"/>
      <c r="AV498" s="8"/>
      <c r="AW498" s="8"/>
      <c r="AX498" s="8"/>
      <c r="AY498" s="8"/>
      <c r="AZ498" s="8"/>
    </row>
    <row r="499" spans="1:52">
      <c r="A499" s="5" t="s">
        <v>1114</v>
      </c>
      <c r="B499" s="5">
        <v>2218</v>
      </c>
      <c r="C499" s="19">
        <v>415</v>
      </c>
      <c r="E499" s="14"/>
      <c r="F499" s="11"/>
      <c r="G499" s="11"/>
      <c r="H499" s="11"/>
      <c r="I499" s="11"/>
      <c r="J499" s="25"/>
      <c r="K499" s="11"/>
      <c r="L499" s="11"/>
      <c r="M499" s="19">
        <v>3</v>
      </c>
      <c r="O499" s="6"/>
      <c r="P499" s="16">
        <v>699</v>
      </c>
      <c r="Q499" s="16">
        <v>0</v>
      </c>
      <c r="R499" s="22"/>
      <c r="S499" s="22">
        <f t="shared" si="14"/>
        <v>0</v>
      </c>
      <c r="T499" s="5" t="s">
        <v>1210</v>
      </c>
      <c r="U499" s="5" t="s">
        <v>1210</v>
      </c>
      <c r="Y499" s="8"/>
      <c r="Z499" s="8"/>
      <c r="AA499" s="8"/>
      <c r="AB499" s="8"/>
      <c r="AC499" s="8"/>
      <c r="AD499" s="8"/>
      <c r="AE499" s="25"/>
      <c r="AF499" s="11"/>
      <c r="AG499" s="25"/>
      <c r="AH499" s="11"/>
      <c r="AI499" s="11">
        <v>83</v>
      </c>
      <c r="AJ499" s="19">
        <v>35</v>
      </c>
      <c r="AK499" s="12">
        <f>(AJ499+AI499)/30*7</f>
        <v>27.533333333333331</v>
      </c>
      <c r="AL499" s="6">
        <f>IF(AK499-C499&lt;0,0,AK499-C499)</f>
        <v>0</v>
      </c>
      <c r="AM499" s="6">
        <f>IF(AL499-R499-S499&lt;0,0,AL499-R499-S499)</f>
        <v>0</v>
      </c>
      <c r="AN499" s="5" t="str">
        <f t="shared" si="15"/>
        <v/>
      </c>
      <c r="AO499" s="5">
        <v>0</v>
      </c>
      <c r="AP499" s="9"/>
      <c r="AQ499" s="5" t="s">
        <v>1210</v>
      </c>
      <c r="AR499" s="5" t="s">
        <v>1210</v>
      </c>
      <c r="AS499" s="8"/>
      <c r="AT499" s="8"/>
      <c r="AU499" s="8"/>
      <c r="AV499" s="8"/>
      <c r="AW499" s="8"/>
      <c r="AX499" s="8"/>
      <c r="AY499" s="8"/>
      <c r="AZ499" s="8"/>
    </row>
    <row r="500" spans="1:52">
      <c r="A500" s="5" t="s">
        <v>57</v>
      </c>
      <c r="B500" s="5">
        <v>1057</v>
      </c>
      <c r="C500" s="19">
        <v>635</v>
      </c>
      <c r="E500" s="14"/>
      <c r="F500" s="11"/>
      <c r="G500" s="11"/>
      <c r="H500" s="11"/>
      <c r="I500" s="11"/>
      <c r="J500" s="25"/>
      <c r="K500" s="11"/>
      <c r="L500" s="11"/>
      <c r="M500" s="19">
        <v>9</v>
      </c>
      <c r="O500" s="6"/>
      <c r="P500" s="16">
        <v>764</v>
      </c>
      <c r="Q500" s="16">
        <v>0</v>
      </c>
      <c r="R500" s="22"/>
      <c r="S500" s="22">
        <f t="shared" si="14"/>
        <v>0</v>
      </c>
      <c r="U500" s="5" t="s">
        <v>1210</v>
      </c>
      <c r="Y500" s="8"/>
      <c r="Z500" s="8"/>
      <c r="AA500" s="8"/>
      <c r="AB500" s="8"/>
      <c r="AC500" s="8"/>
      <c r="AD500" s="8"/>
      <c r="AE500" s="25"/>
      <c r="AF500" s="11"/>
      <c r="AG500" s="25"/>
      <c r="AH500" s="11"/>
      <c r="AI500" s="11">
        <v>32</v>
      </c>
      <c r="AJ500" s="19">
        <v>107</v>
      </c>
      <c r="AK500" s="12">
        <f>(AJ500+AI500)/30*7</f>
        <v>32.433333333333337</v>
      </c>
      <c r="AL500" s="6">
        <f>IF(AK500-C500&lt;0,0,AK500-C500)</f>
        <v>0</v>
      </c>
      <c r="AM500" s="6">
        <f>IF(AL500-R500-S500&lt;0,0,AL500-R500-S500)</f>
        <v>0</v>
      </c>
      <c r="AN500" s="5" t="str">
        <f t="shared" si="15"/>
        <v/>
      </c>
      <c r="AO500" s="5">
        <v>0</v>
      </c>
      <c r="AP500" s="9"/>
      <c r="AQ500" s="5" t="s">
        <v>1229</v>
      </c>
      <c r="AR500" s="5" t="s">
        <v>1210</v>
      </c>
      <c r="AS500" s="8"/>
      <c r="AT500" s="8"/>
      <c r="AU500" s="8"/>
      <c r="AV500" s="8"/>
      <c r="AW500" s="8"/>
      <c r="AX500" s="8"/>
      <c r="AY500" s="8"/>
      <c r="AZ500" s="8"/>
    </row>
    <row r="501" spans="1:52">
      <c r="A501" s="5" t="s">
        <v>65</v>
      </c>
      <c r="B501" s="5">
        <v>1759</v>
      </c>
      <c r="C501" s="19">
        <v>255</v>
      </c>
      <c r="E501" s="14"/>
      <c r="F501" s="11"/>
      <c r="G501" s="11"/>
      <c r="H501" s="11"/>
      <c r="I501" s="11"/>
      <c r="J501" s="25"/>
      <c r="K501" s="11"/>
      <c r="L501" s="11"/>
      <c r="M501" s="19">
        <v>0</v>
      </c>
      <c r="O501" s="6"/>
      <c r="P501" s="16">
        <v>307</v>
      </c>
      <c r="Q501" s="16">
        <v>0</v>
      </c>
      <c r="R501" s="22"/>
      <c r="S501" s="22">
        <f t="shared" si="14"/>
        <v>0</v>
      </c>
      <c r="T501" s="5" t="s">
        <v>1210</v>
      </c>
      <c r="U501" s="5" t="s">
        <v>1210</v>
      </c>
      <c r="Y501" s="8"/>
      <c r="Z501" s="8"/>
      <c r="AA501" s="8"/>
      <c r="AB501" s="8"/>
      <c r="AC501" s="8"/>
      <c r="AD501" s="8"/>
      <c r="AE501" s="25"/>
      <c r="AF501" s="11"/>
      <c r="AG501" s="25"/>
      <c r="AH501" s="11"/>
      <c r="AI501" s="11">
        <v>43</v>
      </c>
      <c r="AJ501" s="19">
        <v>130</v>
      </c>
      <c r="AK501" s="12">
        <f>(AJ501+AI501)/30*7</f>
        <v>40.366666666666667</v>
      </c>
      <c r="AL501" s="6">
        <f>IF(AK501-C501&lt;0,0,AK501-C501)</f>
        <v>0</v>
      </c>
      <c r="AM501" s="6">
        <f>IF(AL501-R501-S501&lt;0,0,AL501-R501-S501)</f>
        <v>0</v>
      </c>
      <c r="AN501" s="5" t="str">
        <f t="shared" si="15"/>
        <v/>
      </c>
      <c r="AO501" s="5">
        <v>0</v>
      </c>
      <c r="AP501" s="9"/>
      <c r="AQ501" s="5" t="s">
        <v>1229</v>
      </c>
      <c r="AR501" s="5" t="s">
        <v>1210</v>
      </c>
      <c r="AS501" s="8"/>
      <c r="AT501" s="8"/>
      <c r="AU501" s="8"/>
      <c r="AV501" s="8"/>
      <c r="AW501" s="8"/>
      <c r="AX501" s="8"/>
      <c r="AY501" s="8"/>
      <c r="AZ501" s="8"/>
    </row>
    <row r="502" spans="1:52">
      <c r="A502" s="5" t="s">
        <v>115</v>
      </c>
      <c r="B502" s="5">
        <v>956</v>
      </c>
      <c r="C502" s="19">
        <v>922</v>
      </c>
      <c r="E502" s="14"/>
      <c r="F502" s="11"/>
      <c r="G502" s="11"/>
      <c r="H502" s="11"/>
      <c r="I502" s="11"/>
      <c r="J502" s="25"/>
      <c r="K502" s="11"/>
      <c r="L502" s="11"/>
      <c r="M502" s="19">
        <v>5</v>
      </c>
      <c r="O502" s="6"/>
      <c r="P502" s="16">
        <v>989</v>
      </c>
      <c r="Q502" s="16">
        <v>0</v>
      </c>
      <c r="R502" s="22"/>
      <c r="S502" s="22">
        <f t="shared" si="14"/>
        <v>0</v>
      </c>
      <c r="T502" s="5" t="s">
        <v>1210</v>
      </c>
      <c r="U502" s="5" t="s">
        <v>1210</v>
      </c>
      <c r="Y502" s="8"/>
      <c r="Z502" s="8"/>
      <c r="AA502" s="8"/>
      <c r="AB502" s="8"/>
      <c r="AC502" s="8"/>
      <c r="AD502" s="8"/>
      <c r="AE502" s="25"/>
      <c r="AF502" s="11"/>
      <c r="AG502" s="25"/>
      <c r="AH502" s="11"/>
      <c r="AI502" s="11">
        <v>84</v>
      </c>
      <c r="AJ502" s="19">
        <v>63</v>
      </c>
      <c r="AK502" s="12">
        <f>(AJ502+AI502)/30*7</f>
        <v>34.300000000000004</v>
      </c>
      <c r="AL502" s="6">
        <f>IF(AK502-C502&lt;0,0,AK502-C502)</f>
        <v>0</v>
      </c>
      <c r="AM502" s="6">
        <f>IF(AL502-R502-S502&lt;0,0,AL502-R502-S502)</f>
        <v>0</v>
      </c>
      <c r="AN502" s="5" t="str">
        <f t="shared" si="15"/>
        <v/>
      </c>
      <c r="AO502" s="5">
        <v>0</v>
      </c>
      <c r="AP502" s="9"/>
      <c r="AQ502" s="5" t="s">
        <v>1210</v>
      </c>
      <c r="AR502" s="5" t="s">
        <v>1210</v>
      </c>
      <c r="AS502" s="8"/>
      <c r="AT502" s="8"/>
      <c r="AU502" s="8"/>
      <c r="AV502" s="8"/>
      <c r="AW502" s="8"/>
      <c r="AX502" s="8"/>
      <c r="AY502" s="8"/>
      <c r="AZ502" s="8"/>
    </row>
    <row r="503" spans="1:52">
      <c r="A503" s="5" t="s">
        <v>3</v>
      </c>
      <c r="B503" s="5">
        <v>1084</v>
      </c>
      <c r="C503" s="19">
        <v>941</v>
      </c>
      <c r="E503" s="14"/>
      <c r="F503" s="11"/>
      <c r="G503" s="11"/>
      <c r="H503" s="11"/>
      <c r="I503" s="11"/>
      <c r="J503" s="25"/>
      <c r="K503" s="11"/>
      <c r="L503" s="11"/>
      <c r="M503" s="19">
        <v>0</v>
      </c>
      <c r="O503" s="6"/>
      <c r="P503" s="16">
        <v>256</v>
      </c>
      <c r="Q503" s="16">
        <v>0</v>
      </c>
      <c r="R503" s="22"/>
      <c r="S503" s="22">
        <f t="shared" si="14"/>
        <v>0</v>
      </c>
      <c r="T503" s="5" t="s">
        <v>1210</v>
      </c>
      <c r="U503" s="5" t="s">
        <v>1210</v>
      </c>
      <c r="Y503" s="8"/>
      <c r="Z503" s="8"/>
      <c r="AA503" s="8"/>
      <c r="AB503" s="8"/>
      <c r="AC503" s="8"/>
      <c r="AD503" s="8"/>
      <c r="AE503" s="25"/>
      <c r="AF503" s="11"/>
      <c r="AG503" s="25"/>
      <c r="AH503" s="11"/>
      <c r="AI503" s="11">
        <v>42</v>
      </c>
      <c r="AJ503" s="19">
        <v>117</v>
      </c>
      <c r="AK503" s="12">
        <f>(AJ503+AI503)/30*7</f>
        <v>37.1</v>
      </c>
      <c r="AL503" s="6">
        <f>IF(AK503-C503&lt;0,0,AK503-C503)</f>
        <v>0</v>
      </c>
      <c r="AM503" s="6">
        <f>IF(AL503-R503-S503&lt;0,0,AL503-R503-S503)</f>
        <v>0</v>
      </c>
      <c r="AN503" s="5" t="str">
        <f t="shared" si="15"/>
        <v/>
      </c>
      <c r="AO503" s="5">
        <v>0</v>
      </c>
      <c r="AP503" s="9"/>
      <c r="AQ503" s="5" t="s">
        <v>1229</v>
      </c>
      <c r="AR503" s="5" t="s">
        <v>1210</v>
      </c>
      <c r="AS503" s="8"/>
      <c r="AT503" s="8"/>
      <c r="AU503" s="8"/>
      <c r="AV503" s="8"/>
      <c r="AW503" s="8"/>
      <c r="AX503" s="8"/>
      <c r="AY503" s="8"/>
      <c r="AZ503" s="8"/>
    </row>
    <row r="504" spans="1:52">
      <c r="A504" s="5" t="s">
        <v>74</v>
      </c>
      <c r="B504" s="5">
        <v>913</v>
      </c>
      <c r="C504" s="19">
        <v>389</v>
      </c>
      <c r="E504" s="14"/>
      <c r="F504" s="11"/>
      <c r="G504" s="11"/>
      <c r="H504" s="11"/>
      <c r="I504" s="11"/>
      <c r="J504" s="25"/>
      <c r="K504" s="11"/>
      <c r="L504" s="11"/>
      <c r="M504" s="19">
        <v>0</v>
      </c>
      <c r="O504" s="6"/>
      <c r="P504" s="16">
        <v>917</v>
      </c>
      <c r="Q504" s="16">
        <v>237</v>
      </c>
      <c r="R504" s="22"/>
      <c r="S504" s="22">
        <f t="shared" si="14"/>
        <v>0</v>
      </c>
      <c r="T504" s="5" t="s">
        <v>1210</v>
      </c>
      <c r="U504" s="5" t="s">
        <v>1210</v>
      </c>
      <c r="Y504" s="8"/>
      <c r="Z504" s="8"/>
      <c r="AA504" s="8"/>
      <c r="AB504" s="8"/>
      <c r="AC504" s="8"/>
      <c r="AD504" s="8"/>
      <c r="AE504" s="25"/>
      <c r="AF504" s="11"/>
      <c r="AG504" s="25"/>
      <c r="AH504" s="11"/>
      <c r="AI504" s="11">
        <v>34</v>
      </c>
      <c r="AJ504" s="19">
        <v>120</v>
      </c>
      <c r="AK504" s="12">
        <f>(AJ504+AI504)/30*7</f>
        <v>35.933333333333337</v>
      </c>
      <c r="AL504" s="6">
        <f>IF(AK504-C504&lt;0,0,AK504-C504)</f>
        <v>0</v>
      </c>
      <c r="AM504" s="6">
        <f>IF(AL504-R504-S504&lt;0,0,AL504-R504-S504)</f>
        <v>0</v>
      </c>
      <c r="AN504" s="5" t="str">
        <f t="shared" si="15"/>
        <v/>
      </c>
      <c r="AO504" s="5">
        <v>0</v>
      </c>
      <c r="AP504" s="9"/>
      <c r="AQ504" s="5" t="s">
        <v>1210</v>
      </c>
      <c r="AR504" s="5" t="s">
        <v>1210</v>
      </c>
      <c r="AS504" s="8"/>
      <c r="AT504" s="8"/>
      <c r="AU504" s="8"/>
      <c r="AV504" s="8"/>
      <c r="AW504" s="8"/>
      <c r="AX504" s="8"/>
      <c r="AY504" s="8"/>
      <c r="AZ504" s="8"/>
    </row>
    <row r="505" spans="1:52">
      <c r="A505" s="5" t="s">
        <v>46</v>
      </c>
      <c r="B505" s="5">
        <v>1451</v>
      </c>
      <c r="C505" s="19">
        <v>539</v>
      </c>
      <c r="E505" s="14"/>
      <c r="F505" s="11"/>
      <c r="G505" s="11"/>
      <c r="H505" s="11"/>
      <c r="I505" s="11"/>
      <c r="J505" s="25"/>
      <c r="K505" s="11"/>
      <c r="L505" s="11"/>
      <c r="M505" s="19">
        <v>0</v>
      </c>
      <c r="O505" s="6"/>
      <c r="P505" s="16">
        <v>756</v>
      </c>
      <c r="Q505" s="16">
        <v>0</v>
      </c>
      <c r="R505" s="22"/>
      <c r="S505" s="22">
        <f t="shared" si="14"/>
        <v>0</v>
      </c>
      <c r="T505" s="5" t="s">
        <v>1210</v>
      </c>
      <c r="U505" s="5" t="s">
        <v>1210</v>
      </c>
      <c r="Y505" s="8"/>
      <c r="Z505" s="8"/>
      <c r="AA505" s="8"/>
      <c r="AB505" s="8"/>
      <c r="AC505" s="8"/>
      <c r="AD505" s="8"/>
      <c r="AE505" s="25"/>
      <c r="AF505" s="11"/>
      <c r="AG505" s="25"/>
      <c r="AH505" s="11"/>
      <c r="AI505" s="11">
        <v>32</v>
      </c>
      <c r="AJ505" s="19">
        <v>104</v>
      </c>
      <c r="AK505" s="12">
        <f>(AJ505+AI505)/30*7</f>
        <v>31.733333333333334</v>
      </c>
      <c r="AL505" s="6">
        <f>IF(AK505-C505&lt;0,0,AK505-C505)</f>
        <v>0</v>
      </c>
      <c r="AM505" s="6">
        <f>IF(AL505-R505-S505&lt;0,0,AL505-R505-S505)</f>
        <v>0</v>
      </c>
      <c r="AN505" s="5" t="str">
        <f t="shared" si="15"/>
        <v/>
      </c>
      <c r="AO505" s="5">
        <v>0</v>
      </c>
      <c r="AP505" s="9"/>
      <c r="AQ505" s="5" t="s">
        <v>1229</v>
      </c>
      <c r="AR505" s="5" t="s">
        <v>1210</v>
      </c>
      <c r="AS505" s="8"/>
      <c r="AT505" s="8"/>
      <c r="AU505" s="8"/>
      <c r="AV505" s="8"/>
      <c r="AW505" s="8"/>
      <c r="AX505" s="8"/>
      <c r="AY505" s="8"/>
      <c r="AZ505" s="8"/>
    </row>
    <row r="506" spans="1:52">
      <c r="A506" s="5" t="s">
        <v>14</v>
      </c>
      <c r="B506" s="5">
        <v>1363</v>
      </c>
      <c r="C506" s="19">
        <v>208</v>
      </c>
      <c r="E506" s="14"/>
      <c r="F506" s="11"/>
      <c r="G506" s="11"/>
      <c r="H506" s="11"/>
      <c r="I506" s="11"/>
      <c r="J506" s="25"/>
      <c r="K506" s="11"/>
      <c r="L506" s="11"/>
      <c r="M506" s="19">
        <v>0</v>
      </c>
      <c r="O506" s="6"/>
      <c r="P506" s="16">
        <v>884</v>
      </c>
      <c r="Q506" s="16">
        <v>0</v>
      </c>
      <c r="R506" s="22"/>
      <c r="S506" s="22">
        <f t="shared" si="14"/>
        <v>0</v>
      </c>
      <c r="T506" s="5" t="s">
        <v>1211</v>
      </c>
      <c r="U506" s="5">
        <v>16</v>
      </c>
      <c r="Y506" s="8"/>
      <c r="Z506" s="8"/>
      <c r="AA506" s="8"/>
      <c r="AB506" s="8"/>
      <c r="AC506" s="8"/>
      <c r="AD506" s="8"/>
      <c r="AE506" s="25"/>
      <c r="AF506" s="11"/>
      <c r="AG506" s="25"/>
      <c r="AH506" s="11"/>
      <c r="AI506" s="11">
        <v>90</v>
      </c>
      <c r="AJ506" s="19">
        <v>148</v>
      </c>
      <c r="AK506" s="12">
        <f>(AJ506+AI506)/30*7</f>
        <v>55.533333333333331</v>
      </c>
      <c r="AL506" s="6">
        <f>IF(AK506-C506&lt;0,0,AK506-C506)</f>
        <v>0</v>
      </c>
      <c r="AM506" s="6">
        <f>IF(AL506-R506-S506&lt;0,0,AL506-R506-S506)</f>
        <v>0</v>
      </c>
      <c r="AN506" s="5" t="str">
        <f t="shared" si="15"/>
        <v/>
      </c>
      <c r="AO506" s="5">
        <v>0</v>
      </c>
      <c r="AP506" s="9"/>
      <c r="AQ506" s="5" t="s">
        <v>1229</v>
      </c>
      <c r="AR506" s="5" t="s">
        <v>1210</v>
      </c>
      <c r="AS506" s="8"/>
      <c r="AT506" s="8"/>
      <c r="AU506" s="8"/>
      <c r="AV506" s="8"/>
      <c r="AW506" s="8"/>
      <c r="AX506" s="8"/>
      <c r="AY506" s="8"/>
      <c r="AZ506" s="8"/>
    </row>
    <row r="507" spans="1:52">
      <c r="A507" s="5" t="s">
        <v>19</v>
      </c>
      <c r="B507" s="5">
        <v>1421</v>
      </c>
      <c r="C507" s="19">
        <v>859</v>
      </c>
      <c r="E507" s="14"/>
      <c r="F507" s="11"/>
      <c r="G507" s="11"/>
      <c r="H507" s="11"/>
      <c r="I507" s="11"/>
      <c r="J507" s="25"/>
      <c r="K507" s="11"/>
      <c r="L507" s="11"/>
      <c r="M507" s="19">
        <v>9</v>
      </c>
      <c r="O507" s="6"/>
      <c r="P507" s="16">
        <v>860</v>
      </c>
      <c r="Q507" s="16">
        <v>0</v>
      </c>
      <c r="R507" s="22"/>
      <c r="S507" s="22">
        <f t="shared" si="14"/>
        <v>0</v>
      </c>
      <c r="T507" s="5" t="s">
        <v>1210</v>
      </c>
      <c r="U507" s="5" t="s">
        <v>1210</v>
      </c>
      <c r="Y507" s="8"/>
      <c r="Z507" s="8"/>
      <c r="AA507" s="8"/>
      <c r="AB507" s="8"/>
      <c r="AC507" s="8"/>
      <c r="AD507" s="8"/>
      <c r="AE507" s="25"/>
      <c r="AF507" s="11"/>
      <c r="AG507" s="25"/>
      <c r="AH507" s="11"/>
      <c r="AI507" s="11">
        <v>56</v>
      </c>
      <c r="AJ507" s="19">
        <v>113</v>
      </c>
      <c r="AK507" s="12">
        <f>(AJ507+AI507)/30*7</f>
        <v>39.433333333333337</v>
      </c>
      <c r="AL507" s="6">
        <f>IF(AK507-C507&lt;0,0,AK507-C507)</f>
        <v>0</v>
      </c>
      <c r="AM507" s="6">
        <f>IF(AL507-R507-S507&lt;0,0,AL507-R507-S507)</f>
        <v>0</v>
      </c>
      <c r="AN507" s="5" t="str">
        <f t="shared" si="15"/>
        <v/>
      </c>
      <c r="AO507" s="5">
        <v>0</v>
      </c>
      <c r="AP507" s="9"/>
      <c r="AQ507" s="5" t="s">
        <v>1229</v>
      </c>
      <c r="AR507" s="5" t="s">
        <v>1210</v>
      </c>
      <c r="AS507" s="8"/>
      <c r="AT507" s="8"/>
      <c r="AU507" s="8"/>
      <c r="AV507" s="8"/>
      <c r="AW507" s="8"/>
      <c r="AX507" s="8"/>
      <c r="AY507" s="8"/>
      <c r="AZ507" s="8"/>
    </row>
    <row r="508" spans="1:52">
      <c r="A508" s="5" t="s">
        <v>10</v>
      </c>
      <c r="B508" s="5">
        <v>1210</v>
      </c>
      <c r="C508" s="19">
        <v>487</v>
      </c>
      <c r="E508" s="14"/>
      <c r="F508" s="11"/>
      <c r="G508" s="11"/>
      <c r="H508" s="11"/>
      <c r="I508" s="11"/>
      <c r="J508" s="25"/>
      <c r="K508" s="11"/>
      <c r="L508" s="11"/>
      <c r="M508" s="19">
        <v>3</v>
      </c>
      <c r="O508" s="6"/>
      <c r="P508" s="16">
        <v>904</v>
      </c>
      <c r="Q508" s="16">
        <v>793</v>
      </c>
      <c r="R508" s="22"/>
      <c r="S508" s="22">
        <f t="shared" si="14"/>
        <v>0</v>
      </c>
      <c r="U508" s="5" t="s">
        <v>1210</v>
      </c>
      <c r="Y508" s="8"/>
      <c r="Z508" s="8"/>
      <c r="AA508" s="8"/>
      <c r="AB508" s="8"/>
      <c r="AC508" s="8"/>
      <c r="AD508" s="8"/>
      <c r="AE508" s="25"/>
      <c r="AF508" s="11"/>
      <c r="AG508" s="25"/>
      <c r="AH508" s="11"/>
      <c r="AI508" s="11">
        <v>63</v>
      </c>
      <c r="AJ508" s="19">
        <v>143</v>
      </c>
      <c r="AK508" s="12">
        <f>(AJ508+AI508)/30*7</f>
        <v>48.066666666666663</v>
      </c>
      <c r="AL508" s="6">
        <f>IF(AK508-C508&lt;0,0,AK508-C508)</f>
        <v>0</v>
      </c>
      <c r="AM508" s="6">
        <f>IF(AL508-R508-S508&lt;0,0,AL508-R508-S508)</f>
        <v>0</v>
      </c>
      <c r="AN508" s="5" t="str">
        <f t="shared" si="15"/>
        <v/>
      </c>
      <c r="AO508" s="5">
        <v>0</v>
      </c>
      <c r="AP508" s="9"/>
      <c r="AQ508" s="5" t="s">
        <v>1229</v>
      </c>
      <c r="AR508" s="5" t="s">
        <v>1210</v>
      </c>
      <c r="AS508" s="8"/>
      <c r="AT508" s="8"/>
      <c r="AU508" s="8"/>
      <c r="AV508" s="8"/>
      <c r="AW508" s="8"/>
      <c r="AX508" s="8"/>
      <c r="AY508" s="8"/>
      <c r="AZ508" s="8"/>
    </row>
    <row r="509" spans="1:52">
      <c r="A509" s="5" t="s">
        <v>152</v>
      </c>
      <c r="B509" s="5">
        <v>503</v>
      </c>
      <c r="C509" s="19">
        <v>689</v>
      </c>
      <c r="E509" s="14"/>
      <c r="F509" s="11"/>
      <c r="G509" s="11"/>
      <c r="H509" s="11"/>
      <c r="I509" s="11"/>
      <c r="J509" s="25"/>
      <c r="K509" s="11"/>
      <c r="L509" s="11"/>
      <c r="M509" s="19">
        <v>0</v>
      </c>
      <c r="O509" s="6"/>
      <c r="P509" s="16">
        <v>228</v>
      </c>
      <c r="Q509" s="16">
        <v>301</v>
      </c>
      <c r="R509" s="22"/>
      <c r="S509" s="22">
        <f t="shared" si="14"/>
        <v>0</v>
      </c>
      <c r="T509" s="5" t="s">
        <v>1210</v>
      </c>
      <c r="U509" s="5" t="s">
        <v>1210</v>
      </c>
      <c r="Y509" s="8"/>
      <c r="Z509" s="8"/>
      <c r="AA509" s="8"/>
      <c r="AB509" s="8"/>
      <c r="AC509" s="8"/>
      <c r="AD509" s="8"/>
      <c r="AE509" s="25"/>
      <c r="AF509" s="11"/>
      <c r="AG509" s="25"/>
      <c r="AH509" s="11"/>
      <c r="AI509" s="11">
        <v>86</v>
      </c>
      <c r="AJ509" s="19">
        <v>94</v>
      </c>
      <c r="AK509" s="12">
        <f>(AJ509+AI509)/30*7</f>
        <v>42</v>
      </c>
      <c r="AL509" s="6">
        <f>IF(AK509-C509&lt;0,0,AK509-C509)</f>
        <v>0</v>
      </c>
      <c r="AM509" s="6">
        <f>IF(AL509-R509-S509&lt;0,0,AL509-R509-S509)</f>
        <v>0</v>
      </c>
      <c r="AN509" s="5" t="str">
        <f t="shared" si="15"/>
        <v/>
      </c>
      <c r="AO509" s="5">
        <v>0</v>
      </c>
      <c r="AP509" s="9"/>
      <c r="AQ509" s="5" t="s">
        <v>1210</v>
      </c>
      <c r="AR509" s="5" t="s">
        <v>1210</v>
      </c>
      <c r="AS509" s="8"/>
      <c r="AT509" s="8"/>
      <c r="AU509" s="8"/>
      <c r="AV509" s="8"/>
      <c r="AW509" s="8"/>
      <c r="AX509" s="8"/>
      <c r="AY509" s="8"/>
      <c r="AZ509" s="8"/>
    </row>
    <row r="510" spans="1:52">
      <c r="A510" s="5" t="s">
        <v>21</v>
      </c>
      <c r="B510" s="5">
        <v>340</v>
      </c>
      <c r="C510" s="19">
        <v>902</v>
      </c>
      <c r="E510" s="14"/>
      <c r="F510" s="11"/>
      <c r="G510" s="11"/>
      <c r="H510" s="11"/>
      <c r="I510" s="11"/>
      <c r="J510" s="25"/>
      <c r="K510" s="11"/>
      <c r="L510" s="11"/>
      <c r="M510" s="19">
        <v>3</v>
      </c>
      <c r="O510" s="6"/>
      <c r="P510" s="16">
        <v>230</v>
      </c>
      <c r="Q510" s="16">
        <v>0</v>
      </c>
      <c r="R510" s="22"/>
      <c r="S510" s="22">
        <f t="shared" si="14"/>
        <v>0</v>
      </c>
      <c r="T510" s="5" t="s">
        <v>1210</v>
      </c>
      <c r="U510" s="5" t="s">
        <v>1210</v>
      </c>
      <c r="Y510" s="8"/>
      <c r="Z510" s="8"/>
      <c r="AA510" s="8"/>
      <c r="AB510" s="8"/>
      <c r="AC510" s="8"/>
      <c r="AD510" s="8"/>
      <c r="AE510" s="25"/>
      <c r="AF510" s="11"/>
      <c r="AG510" s="25"/>
      <c r="AH510" s="11"/>
      <c r="AI510" s="11">
        <v>69</v>
      </c>
      <c r="AJ510" s="19">
        <v>132</v>
      </c>
      <c r="AK510" s="12">
        <f>(AJ510+AI510)/30*7</f>
        <v>46.9</v>
      </c>
      <c r="AL510" s="6">
        <f>IF(AK510-C510&lt;0,0,AK510-C510)</f>
        <v>0</v>
      </c>
      <c r="AM510" s="6">
        <f>IF(AL510-R510-S510&lt;0,0,AL510-R510-S510)</f>
        <v>0</v>
      </c>
      <c r="AN510" s="5" t="str">
        <f t="shared" si="15"/>
        <v/>
      </c>
      <c r="AO510" s="5">
        <v>0</v>
      </c>
      <c r="AP510" s="9"/>
      <c r="AQ510" s="5" t="s">
        <v>1229</v>
      </c>
      <c r="AR510" s="5" t="s">
        <v>1210</v>
      </c>
      <c r="AS510" s="8"/>
      <c r="AT510" s="8"/>
      <c r="AU510" s="8"/>
      <c r="AV510" s="8"/>
      <c r="AW510" s="8"/>
      <c r="AX510" s="8"/>
      <c r="AY510" s="8"/>
      <c r="AZ510" s="8"/>
    </row>
    <row r="511" spans="1:52">
      <c r="A511" s="5" t="s">
        <v>89</v>
      </c>
      <c r="B511" s="5">
        <v>1624</v>
      </c>
      <c r="C511" s="19">
        <v>433</v>
      </c>
      <c r="E511" s="14"/>
      <c r="F511" s="11"/>
      <c r="G511" s="11"/>
      <c r="H511" s="11"/>
      <c r="I511" s="11"/>
      <c r="J511" s="25"/>
      <c r="K511" s="11"/>
      <c r="L511" s="11"/>
      <c r="M511" s="19">
        <v>6</v>
      </c>
      <c r="O511" s="6"/>
      <c r="P511" s="16">
        <v>849</v>
      </c>
      <c r="Q511" s="16">
        <v>0</v>
      </c>
      <c r="R511" s="22"/>
      <c r="S511" s="22">
        <f t="shared" si="14"/>
        <v>0</v>
      </c>
      <c r="T511" s="5" t="s">
        <v>1210</v>
      </c>
      <c r="U511" s="5" t="s">
        <v>1210</v>
      </c>
      <c r="Y511" s="8"/>
      <c r="Z511" s="8"/>
      <c r="AA511" s="8"/>
      <c r="AB511" s="8"/>
      <c r="AC511" s="8"/>
      <c r="AD511" s="8"/>
      <c r="AE511" s="25"/>
      <c r="AF511" s="11"/>
      <c r="AG511" s="25"/>
      <c r="AH511" s="11"/>
      <c r="AI511" s="11">
        <v>14</v>
      </c>
      <c r="AJ511" s="19">
        <v>114</v>
      </c>
      <c r="AK511" s="12">
        <f>(AJ511+AI511)/30*7</f>
        <v>29.866666666666667</v>
      </c>
      <c r="AL511" s="6">
        <f>IF(AK511-C511&lt;0,0,AK511-C511)</f>
        <v>0</v>
      </c>
      <c r="AM511" s="6">
        <f>IF(AL511-R511-S511&lt;0,0,AL511-R511-S511)</f>
        <v>0</v>
      </c>
      <c r="AN511" s="5" t="str">
        <f t="shared" si="15"/>
        <v/>
      </c>
      <c r="AO511" s="5">
        <v>0</v>
      </c>
      <c r="AP511" s="9"/>
      <c r="AQ511" s="5" t="s">
        <v>1210</v>
      </c>
      <c r="AR511" s="5" t="s">
        <v>1210</v>
      </c>
      <c r="AS511" s="8"/>
      <c r="AT511" s="8"/>
      <c r="AU511" s="8"/>
      <c r="AV511" s="8"/>
      <c r="AW511" s="8"/>
      <c r="AX511" s="8"/>
      <c r="AY511" s="8"/>
      <c r="AZ511" s="8"/>
    </row>
    <row r="512" spans="1:52">
      <c r="A512" s="5" t="s">
        <v>189</v>
      </c>
      <c r="B512" s="5">
        <v>1806</v>
      </c>
      <c r="C512" s="19">
        <v>887</v>
      </c>
      <c r="E512" s="14"/>
      <c r="F512" s="11"/>
      <c r="G512" s="11"/>
      <c r="H512" s="11"/>
      <c r="I512" s="11"/>
      <c r="J512" s="25"/>
      <c r="K512" s="11"/>
      <c r="L512" s="11"/>
      <c r="M512" s="19">
        <v>0</v>
      </c>
      <c r="O512" s="6"/>
      <c r="P512" s="16">
        <v>727</v>
      </c>
      <c r="Q512" s="16">
        <v>0</v>
      </c>
      <c r="R512" s="22"/>
      <c r="S512" s="22">
        <f t="shared" si="14"/>
        <v>0</v>
      </c>
      <c r="T512" s="5" t="s">
        <v>1210</v>
      </c>
      <c r="U512" s="5" t="s">
        <v>1210</v>
      </c>
      <c r="Y512" s="8"/>
      <c r="Z512" s="8"/>
      <c r="AA512" s="8"/>
      <c r="AB512" s="8"/>
      <c r="AC512" s="8"/>
      <c r="AD512" s="8"/>
      <c r="AE512" s="25"/>
      <c r="AF512" s="11"/>
      <c r="AG512" s="25"/>
      <c r="AH512" s="11"/>
      <c r="AI512" s="11">
        <v>51</v>
      </c>
      <c r="AJ512" s="19">
        <v>111</v>
      </c>
      <c r="AK512" s="12">
        <f>(AJ512+AI512)/30*7</f>
        <v>37.800000000000004</v>
      </c>
      <c r="AL512" s="6">
        <f>IF(AK512-C512&lt;0,0,AK512-C512)</f>
        <v>0</v>
      </c>
      <c r="AM512" s="6">
        <f>IF(AL512-R512-S512&lt;0,0,AL512-R512-S512)</f>
        <v>0</v>
      </c>
      <c r="AN512" s="5" t="str">
        <f t="shared" si="15"/>
        <v/>
      </c>
      <c r="AO512" s="5">
        <v>0</v>
      </c>
      <c r="AP512" s="9"/>
      <c r="AQ512" s="5" t="s">
        <v>1210</v>
      </c>
      <c r="AR512" s="5" t="s">
        <v>1210</v>
      </c>
      <c r="AS512" s="8"/>
      <c r="AT512" s="8"/>
      <c r="AU512" s="8"/>
      <c r="AV512" s="8"/>
      <c r="AW512" s="8"/>
      <c r="AX512" s="8"/>
      <c r="AY512" s="8"/>
      <c r="AZ512" s="8"/>
    </row>
    <row r="513" spans="1:52">
      <c r="A513" s="5" t="s">
        <v>140</v>
      </c>
      <c r="B513" s="5">
        <v>981</v>
      </c>
      <c r="C513" s="19">
        <v>296</v>
      </c>
      <c r="E513" s="14"/>
      <c r="F513" s="11"/>
      <c r="G513" s="11"/>
      <c r="H513" s="11"/>
      <c r="I513" s="11"/>
      <c r="J513" s="25"/>
      <c r="K513" s="11"/>
      <c r="L513" s="11"/>
      <c r="M513" s="19">
        <v>0</v>
      </c>
      <c r="O513" s="6"/>
      <c r="P513" s="16">
        <v>996</v>
      </c>
      <c r="Q513" s="16">
        <v>725</v>
      </c>
      <c r="R513" s="22"/>
      <c r="S513" s="22">
        <f t="shared" si="14"/>
        <v>0</v>
      </c>
      <c r="T513" s="5" t="s">
        <v>1210</v>
      </c>
      <c r="U513" s="5" t="s">
        <v>1210</v>
      </c>
      <c r="Y513" s="8"/>
      <c r="Z513" s="8"/>
      <c r="AA513" s="8"/>
      <c r="AB513" s="8"/>
      <c r="AC513" s="8"/>
      <c r="AD513" s="8"/>
      <c r="AE513" s="25"/>
      <c r="AF513" s="11"/>
      <c r="AG513" s="25"/>
      <c r="AH513" s="11"/>
      <c r="AI513" s="11">
        <v>22</v>
      </c>
      <c r="AJ513" s="19">
        <v>92</v>
      </c>
      <c r="AK513" s="12">
        <f>(AJ513+AI513)/30*7</f>
        <v>26.599999999999998</v>
      </c>
      <c r="AL513" s="6">
        <f>IF(AK513-C513&lt;0,0,AK513-C513)</f>
        <v>0</v>
      </c>
      <c r="AM513" s="6">
        <f>IF(AL513-R513-S513&lt;0,0,AL513-R513-S513)</f>
        <v>0</v>
      </c>
      <c r="AN513" s="5" t="str">
        <f t="shared" si="15"/>
        <v/>
      </c>
      <c r="AO513" s="5">
        <v>0</v>
      </c>
      <c r="AP513" s="9"/>
      <c r="AQ513" s="5" t="s">
        <v>1210</v>
      </c>
      <c r="AR513" s="5" t="s">
        <v>1210</v>
      </c>
      <c r="AS513" s="8"/>
      <c r="AT513" s="8"/>
      <c r="AU513" s="8"/>
      <c r="AV513" s="8"/>
      <c r="AW513" s="8"/>
      <c r="AX513" s="8"/>
      <c r="AY513" s="8"/>
      <c r="AZ513" s="8"/>
    </row>
    <row r="514" spans="1:52">
      <c r="A514" s="5" t="s">
        <v>116</v>
      </c>
      <c r="B514" s="5">
        <v>1260</v>
      </c>
      <c r="C514" s="19">
        <v>595</v>
      </c>
      <c r="E514" s="14"/>
      <c r="F514" s="11"/>
      <c r="G514" s="11"/>
      <c r="H514" s="11"/>
      <c r="I514" s="11"/>
      <c r="J514" s="25"/>
      <c r="K514" s="11"/>
      <c r="L514" s="11"/>
      <c r="M514" s="19">
        <v>5</v>
      </c>
      <c r="O514" s="6"/>
      <c r="P514" s="16">
        <v>693</v>
      </c>
      <c r="Q514" s="16">
        <v>0</v>
      </c>
      <c r="R514" s="22"/>
      <c r="S514" s="22">
        <f t="shared" si="14"/>
        <v>0</v>
      </c>
      <c r="T514" s="5" t="s">
        <v>1210</v>
      </c>
      <c r="U514" s="5" t="s">
        <v>1210</v>
      </c>
      <c r="Y514" s="8"/>
      <c r="Z514" s="8"/>
      <c r="AA514" s="8"/>
      <c r="AB514" s="8"/>
      <c r="AC514" s="8"/>
      <c r="AD514" s="8"/>
      <c r="AE514" s="25"/>
      <c r="AF514" s="11"/>
      <c r="AG514" s="25"/>
      <c r="AH514" s="11"/>
      <c r="AI514" s="11">
        <v>72</v>
      </c>
      <c r="AJ514" s="19">
        <v>83</v>
      </c>
      <c r="AK514" s="12">
        <f>(AJ514+AI514)/30*7</f>
        <v>36.166666666666671</v>
      </c>
      <c r="AL514" s="6">
        <f>IF(AK514-C514&lt;0,0,AK514-C514)</f>
        <v>0</v>
      </c>
      <c r="AM514" s="6">
        <f>IF(AL514-R514-S514&lt;0,0,AL514-R514-S514)</f>
        <v>0</v>
      </c>
      <c r="AN514" s="5" t="str">
        <f t="shared" si="15"/>
        <v/>
      </c>
      <c r="AO514" s="5">
        <v>0</v>
      </c>
      <c r="AP514" s="9"/>
      <c r="AQ514" s="5" t="s">
        <v>1210</v>
      </c>
      <c r="AR514" s="5" t="s">
        <v>1210</v>
      </c>
      <c r="AS514" s="8"/>
      <c r="AT514" s="8"/>
      <c r="AU514" s="8"/>
      <c r="AV514" s="8"/>
      <c r="AW514" s="8"/>
      <c r="AX514" s="8"/>
      <c r="AY514" s="8"/>
      <c r="AZ514" s="8"/>
    </row>
    <row r="515" spans="1:52">
      <c r="A515" s="5" t="s">
        <v>102</v>
      </c>
      <c r="B515" s="5">
        <v>1843</v>
      </c>
      <c r="C515" s="19">
        <v>559</v>
      </c>
      <c r="E515" s="14"/>
      <c r="F515" s="11"/>
      <c r="G515" s="11"/>
      <c r="H515" s="11"/>
      <c r="I515" s="11"/>
      <c r="J515" s="25"/>
      <c r="K515" s="11"/>
      <c r="L515" s="11"/>
      <c r="M515" s="19">
        <v>0</v>
      </c>
      <c r="O515" s="6"/>
      <c r="P515" s="16">
        <v>1000</v>
      </c>
      <c r="Q515" s="16">
        <v>0</v>
      </c>
      <c r="R515" s="22"/>
      <c r="S515" s="22">
        <f t="shared" si="14"/>
        <v>0</v>
      </c>
      <c r="T515" s="5" t="s">
        <v>1210</v>
      </c>
      <c r="U515" s="5" t="s">
        <v>1210</v>
      </c>
      <c r="Y515" s="8"/>
      <c r="Z515" s="8"/>
      <c r="AA515" s="8"/>
      <c r="AB515" s="8"/>
      <c r="AC515" s="8"/>
      <c r="AD515" s="8"/>
      <c r="AE515" s="25"/>
      <c r="AF515" s="11"/>
      <c r="AG515" s="25"/>
      <c r="AH515" s="11"/>
      <c r="AI515" s="11">
        <v>87</v>
      </c>
      <c r="AJ515" s="19">
        <v>76</v>
      </c>
      <c r="AK515" s="12">
        <f>(AJ515+AI515)/30*7</f>
        <v>38.033333333333331</v>
      </c>
      <c r="AL515" s="6">
        <f>IF(AK515-C515&lt;0,0,AK515-C515)</f>
        <v>0</v>
      </c>
      <c r="AM515" s="6">
        <f>IF(AL515-R515-S515&lt;0,0,AL515-R515-S515)</f>
        <v>0</v>
      </c>
      <c r="AN515" s="5" t="str">
        <f t="shared" si="15"/>
        <v/>
      </c>
      <c r="AO515" s="5">
        <v>0</v>
      </c>
      <c r="AP515" s="9"/>
      <c r="AQ515" s="5" t="s">
        <v>1210</v>
      </c>
      <c r="AR515" s="5" t="s">
        <v>1210</v>
      </c>
      <c r="AS515" s="8"/>
      <c r="AT515" s="8"/>
      <c r="AU515" s="8"/>
      <c r="AV515" s="8"/>
      <c r="AW515" s="8"/>
      <c r="AX515" s="8"/>
      <c r="AY515" s="8"/>
      <c r="AZ515" s="8"/>
    </row>
    <row r="516" spans="1:52">
      <c r="A516" s="5" t="s">
        <v>501</v>
      </c>
      <c r="B516" s="5">
        <v>333</v>
      </c>
      <c r="C516" s="19">
        <v>598</v>
      </c>
      <c r="E516" s="14"/>
      <c r="F516" s="11"/>
      <c r="G516" s="11"/>
      <c r="H516" s="11"/>
      <c r="I516" s="11"/>
      <c r="J516" s="25"/>
      <c r="K516" s="11"/>
      <c r="L516" s="11"/>
      <c r="M516" s="19">
        <v>0</v>
      </c>
      <c r="O516" s="6"/>
      <c r="P516" s="16">
        <v>902</v>
      </c>
      <c r="Q516" s="16">
        <v>488</v>
      </c>
      <c r="R516" s="22"/>
      <c r="S516" s="22">
        <f t="shared" ref="S516:S579" si="16">IF(AL516&gt;0,IF(Q516&gt;=AL516,ROUND(AL516,0),Q516),0)</f>
        <v>0</v>
      </c>
      <c r="T516" s="5" t="s">
        <v>1210</v>
      </c>
      <c r="U516" s="5" t="s">
        <v>1210</v>
      </c>
      <c r="Y516" s="8"/>
      <c r="Z516" s="8"/>
      <c r="AA516" s="8"/>
      <c r="AB516" s="8"/>
      <c r="AC516" s="8"/>
      <c r="AD516" s="8"/>
      <c r="AE516" s="25"/>
      <c r="AF516" s="11"/>
      <c r="AG516" s="25"/>
      <c r="AH516" s="11"/>
      <c r="AI516" s="11">
        <v>97</v>
      </c>
      <c r="AJ516" s="19">
        <v>6</v>
      </c>
      <c r="AK516" s="12">
        <f>(AJ516+AI516)/30*7</f>
        <v>24.033333333333331</v>
      </c>
      <c r="AL516" s="6">
        <f>IF(AK516-C516&lt;0,0,AK516-C516)</f>
        <v>0</v>
      </c>
      <c r="AM516" s="6">
        <f>IF(AL516-R516-S516&lt;0,0,AL516-R516-S516)</f>
        <v>0</v>
      </c>
      <c r="AN516" s="5" t="str">
        <f t="shared" ref="AN516:AN579" si="17">IF(AM516&gt;0,IF(LEN(U516)=0,IF(ROUND(AM516-AO516,0)&gt;0,ROUND(AM516-AO516,0),""),IF(U516+AO516&gt;=AM516,"",ROUND(AM516-U516-AO516,0))),"")</f>
        <v/>
      </c>
      <c r="AO516" s="5">
        <v>0</v>
      </c>
      <c r="AP516" s="9"/>
      <c r="AQ516" s="5" t="s">
        <v>1210</v>
      </c>
      <c r="AR516" s="5" t="s">
        <v>1230</v>
      </c>
      <c r="AS516" s="8"/>
      <c r="AT516" s="8"/>
      <c r="AU516" s="8"/>
      <c r="AV516" s="8"/>
      <c r="AW516" s="8"/>
      <c r="AX516" s="8"/>
      <c r="AY516" s="8"/>
      <c r="AZ516" s="8"/>
    </row>
    <row r="517" spans="1:52">
      <c r="A517" s="5" t="s">
        <v>114</v>
      </c>
      <c r="B517" s="5">
        <v>627</v>
      </c>
      <c r="C517" s="19">
        <v>481</v>
      </c>
      <c r="E517" s="14"/>
      <c r="F517" s="11"/>
      <c r="G517" s="11"/>
      <c r="H517" s="11"/>
      <c r="I517" s="11"/>
      <c r="J517" s="25"/>
      <c r="K517" s="11"/>
      <c r="L517" s="11"/>
      <c r="M517" s="19">
        <v>0</v>
      </c>
      <c r="O517" s="6"/>
      <c r="P517" s="16">
        <v>751</v>
      </c>
      <c r="Q517" s="16">
        <v>514</v>
      </c>
      <c r="R517" s="22"/>
      <c r="S517" s="22">
        <f t="shared" si="16"/>
        <v>0</v>
      </c>
      <c r="T517" s="5" t="s">
        <v>1210</v>
      </c>
      <c r="U517" s="5" t="s">
        <v>1210</v>
      </c>
      <c r="Y517" s="8"/>
      <c r="Z517" s="8"/>
      <c r="AA517" s="8"/>
      <c r="AB517" s="8"/>
      <c r="AC517" s="8"/>
      <c r="AD517" s="8"/>
      <c r="AE517" s="25"/>
      <c r="AF517" s="11"/>
      <c r="AG517" s="25"/>
      <c r="AH517" s="11"/>
      <c r="AI517" s="11">
        <v>80</v>
      </c>
      <c r="AJ517" s="19">
        <v>87</v>
      </c>
      <c r="AK517" s="12">
        <f>(AJ517+AI517)/30*7</f>
        <v>38.966666666666669</v>
      </c>
      <c r="AL517" s="6">
        <f>IF(AK517-C517&lt;0,0,AK517-C517)</f>
        <v>0</v>
      </c>
      <c r="AM517" s="6">
        <f>IF(AL517-R517-S517&lt;0,0,AL517-R517-S517)</f>
        <v>0</v>
      </c>
      <c r="AN517" s="5" t="str">
        <f t="shared" si="17"/>
        <v/>
      </c>
      <c r="AO517" s="5">
        <v>0</v>
      </c>
      <c r="AP517" s="9"/>
      <c r="AQ517" s="5" t="s">
        <v>1210</v>
      </c>
      <c r="AR517" s="5" t="s">
        <v>1210</v>
      </c>
      <c r="AS517" s="8"/>
      <c r="AT517" s="8"/>
      <c r="AU517" s="8"/>
      <c r="AV517" s="8"/>
      <c r="AW517" s="8"/>
      <c r="AX517" s="8"/>
      <c r="AY517" s="8"/>
      <c r="AZ517" s="8"/>
    </row>
    <row r="518" spans="1:52">
      <c r="A518" s="5" t="s">
        <v>201</v>
      </c>
      <c r="B518" s="5">
        <v>1080</v>
      </c>
      <c r="C518" s="19">
        <v>389</v>
      </c>
      <c r="E518" s="14"/>
      <c r="F518" s="11"/>
      <c r="G518" s="11"/>
      <c r="H518" s="11"/>
      <c r="I518" s="11"/>
      <c r="J518" s="25"/>
      <c r="K518" s="11"/>
      <c r="L518" s="11"/>
      <c r="M518" s="19">
        <v>0</v>
      </c>
      <c r="O518" s="6"/>
      <c r="P518" s="16">
        <v>861</v>
      </c>
      <c r="Q518" s="16">
        <v>0</v>
      </c>
      <c r="R518" s="22"/>
      <c r="S518" s="22">
        <f t="shared" si="16"/>
        <v>0</v>
      </c>
      <c r="T518" s="5" t="s">
        <v>1210</v>
      </c>
      <c r="U518" s="5" t="s">
        <v>1210</v>
      </c>
      <c r="Y518" s="8"/>
      <c r="Z518" s="8"/>
      <c r="AA518" s="8"/>
      <c r="AB518" s="8"/>
      <c r="AC518" s="8"/>
      <c r="AD518" s="8"/>
      <c r="AE518" s="25"/>
      <c r="AF518" s="11"/>
      <c r="AG518" s="25"/>
      <c r="AH518" s="11"/>
      <c r="AI518" s="11">
        <v>37</v>
      </c>
      <c r="AJ518" s="19">
        <v>70</v>
      </c>
      <c r="AK518" s="12">
        <f>(AJ518+AI518)/30*7</f>
        <v>24.966666666666669</v>
      </c>
      <c r="AL518" s="6">
        <f>IF(AK518-C518&lt;0,0,AK518-C518)</f>
        <v>0</v>
      </c>
      <c r="AM518" s="6">
        <f>IF(AL518-R518-S518&lt;0,0,AL518-R518-S518)</f>
        <v>0</v>
      </c>
      <c r="AN518" s="5" t="str">
        <f t="shared" si="17"/>
        <v/>
      </c>
      <c r="AO518" s="5">
        <v>0</v>
      </c>
      <c r="AP518" s="9"/>
      <c r="AQ518" s="5" t="s">
        <v>1210</v>
      </c>
      <c r="AR518" s="5" t="s">
        <v>1210</v>
      </c>
      <c r="AS518" s="8"/>
      <c r="AT518" s="8"/>
      <c r="AU518" s="8"/>
      <c r="AV518" s="8"/>
      <c r="AW518" s="8"/>
      <c r="AX518" s="8"/>
      <c r="AY518" s="8"/>
      <c r="AZ518" s="8"/>
    </row>
    <row r="519" spans="1:52">
      <c r="A519" s="5" t="s">
        <v>51</v>
      </c>
      <c r="B519" s="5">
        <v>1033</v>
      </c>
      <c r="C519" s="19">
        <v>340</v>
      </c>
      <c r="E519" s="14"/>
      <c r="F519" s="11"/>
      <c r="G519" s="11"/>
      <c r="H519" s="11"/>
      <c r="I519" s="11"/>
      <c r="J519" s="25"/>
      <c r="K519" s="11"/>
      <c r="L519" s="11"/>
      <c r="M519" s="19">
        <v>0</v>
      </c>
      <c r="O519" s="6"/>
      <c r="P519" s="16">
        <v>570</v>
      </c>
      <c r="Q519" s="16">
        <v>0</v>
      </c>
      <c r="R519" s="22"/>
      <c r="S519" s="22">
        <f t="shared" si="16"/>
        <v>0</v>
      </c>
      <c r="T519" s="5" t="s">
        <v>1213</v>
      </c>
      <c r="U519" s="5">
        <v>40</v>
      </c>
      <c r="Y519" s="8"/>
      <c r="Z519" s="8"/>
      <c r="AA519" s="8"/>
      <c r="AB519" s="8"/>
      <c r="AC519" s="8"/>
      <c r="AD519" s="8"/>
      <c r="AE519" s="25"/>
      <c r="AF519" s="11"/>
      <c r="AG519" s="25"/>
      <c r="AH519" s="11"/>
      <c r="AI519" s="11">
        <v>73</v>
      </c>
      <c r="AJ519" s="19">
        <v>128</v>
      </c>
      <c r="AK519" s="12">
        <f>(AJ519+AI519)/30*7</f>
        <v>46.9</v>
      </c>
      <c r="AL519" s="6">
        <f>IF(AK519-C519&lt;0,0,AK519-C519)</f>
        <v>0</v>
      </c>
      <c r="AM519" s="6">
        <f>IF(AL519-R519-S519&lt;0,0,AL519-R519-S519)</f>
        <v>0</v>
      </c>
      <c r="AN519" s="5" t="str">
        <f t="shared" si="17"/>
        <v/>
      </c>
      <c r="AO519" s="5">
        <v>0</v>
      </c>
      <c r="AP519" s="9"/>
      <c r="AQ519" s="5" t="s">
        <v>1229</v>
      </c>
      <c r="AR519" s="5" t="s">
        <v>1210</v>
      </c>
      <c r="AS519" s="8"/>
      <c r="AT519" s="8"/>
      <c r="AU519" s="8"/>
      <c r="AV519" s="8"/>
      <c r="AW519" s="8"/>
      <c r="AX519" s="8"/>
      <c r="AY519" s="8"/>
      <c r="AZ519" s="8"/>
    </row>
    <row r="520" spans="1:52">
      <c r="A520" s="5" t="s">
        <v>168</v>
      </c>
      <c r="B520" s="5">
        <v>948</v>
      </c>
      <c r="C520" s="19">
        <v>716</v>
      </c>
      <c r="E520" s="14"/>
      <c r="F520" s="11"/>
      <c r="G520" s="11"/>
      <c r="H520" s="11"/>
      <c r="I520" s="11"/>
      <c r="J520" s="25"/>
      <c r="K520" s="11"/>
      <c r="L520" s="11"/>
      <c r="M520" s="19">
        <v>0</v>
      </c>
      <c r="O520" s="6"/>
      <c r="P520" s="16">
        <v>574</v>
      </c>
      <c r="Q520" s="16">
        <v>929</v>
      </c>
      <c r="R520" s="22"/>
      <c r="S520" s="22">
        <f t="shared" si="16"/>
        <v>0</v>
      </c>
      <c r="T520" s="5" t="s">
        <v>1210</v>
      </c>
      <c r="U520" s="5" t="s">
        <v>1210</v>
      </c>
      <c r="Y520" s="8"/>
      <c r="Z520" s="8"/>
      <c r="AA520" s="8"/>
      <c r="AB520" s="8"/>
      <c r="AC520" s="8"/>
      <c r="AD520" s="8"/>
      <c r="AE520" s="25"/>
      <c r="AF520" s="11"/>
      <c r="AG520" s="25"/>
      <c r="AH520" s="11"/>
      <c r="AI520" s="11">
        <v>65</v>
      </c>
      <c r="AJ520" s="19">
        <v>54</v>
      </c>
      <c r="AK520" s="12">
        <f>(AJ520+AI520)/30*7</f>
        <v>27.766666666666666</v>
      </c>
      <c r="AL520" s="6">
        <f>IF(AK520-C520&lt;0,0,AK520-C520)</f>
        <v>0</v>
      </c>
      <c r="AM520" s="6">
        <f>IF(AL520-R520-S520&lt;0,0,AL520-R520-S520)</f>
        <v>0</v>
      </c>
      <c r="AN520" s="5" t="str">
        <f t="shared" si="17"/>
        <v/>
      </c>
      <c r="AO520" s="5">
        <v>0</v>
      </c>
      <c r="AP520" s="9"/>
      <c r="AQ520" s="5" t="s">
        <v>1210</v>
      </c>
      <c r="AR520" s="5" t="s">
        <v>1210</v>
      </c>
      <c r="AS520" s="8"/>
      <c r="AT520" s="8"/>
      <c r="AU520" s="8"/>
      <c r="AV520" s="8"/>
      <c r="AW520" s="8"/>
      <c r="AX520" s="8"/>
      <c r="AY520" s="8"/>
      <c r="AZ520" s="8"/>
    </row>
    <row r="521" spans="1:52">
      <c r="A521" s="5" t="s">
        <v>220</v>
      </c>
      <c r="B521" s="5">
        <v>1802</v>
      </c>
      <c r="C521" s="19">
        <v>754</v>
      </c>
      <c r="E521" s="14"/>
      <c r="F521" s="11"/>
      <c r="G521" s="11"/>
      <c r="H521" s="11"/>
      <c r="I521" s="11"/>
      <c r="J521" s="25"/>
      <c r="K521" s="11"/>
      <c r="L521" s="11"/>
      <c r="M521" s="19">
        <v>0</v>
      </c>
      <c r="O521" s="6"/>
      <c r="P521" s="16">
        <v>987</v>
      </c>
      <c r="Q521" s="16">
        <v>0</v>
      </c>
      <c r="R521" s="22"/>
      <c r="S521" s="22">
        <f t="shared" si="16"/>
        <v>0</v>
      </c>
      <c r="T521" s="5" t="s">
        <v>1210</v>
      </c>
      <c r="U521" s="5" t="s">
        <v>1210</v>
      </c>
      <c r="Y521" s="8"/>
      <c r="Z521" s="8"/>
      <c r="AA521" s="8"/>
      <c r="AB521" s="8"/>
      <c r="AC521" s="8"/>
      <c r="AD521" s="8"/>
      <c r="AE521" s="25"/>
      <c r="AF521" s="11"/>
      <c r="AG521" s="25"/>
      <c r="AH521" s="11"/>
      <c r="AI521" s="11">
        <v>42</v>
      </c>
      <c r="AJ521" s="19">
        <v>94</v>
      </c>
      <c r="AK521" s="12">
        <f>(AJ521+AI521)/30*7</f>
        <v>31.733333333333334</v>
      </c>
      <c r="AL521" s="6">
        <f>IF(AK521-C521&lt;0,0,AK521-C521)</f>
        <v>0</v>
      </c>
      <c r="AM521" s="6">
        <f>IF(AL521-R521-S521&lt;0,0,AL521-R521-S521)</f>
        <v>0</v>
      </c>
      <c r="AN521" s="5" t="str">
        <f t="shared" si="17"/>
        <v/>
      </c>
      <c r="AO521" s="5">
        <v>0</v>
      </c>
      <c r="AP521" s="9"/>
      <c r="AQ521" s="5" t="s">
        <v>1210</v>
      </c>
      <c r="AR521" s="5" t="s">
        <v>1210</v>
      </c>
      <c r="AS521" s="8"/>
      <c r="AT521" s="8"/>
      <c r="AU521" s="8"/>
      <c r="AV521" s="8"/>
      <c r="AW521" s="8"/>
      <c r="AX521" s="8"/>
      <c r="AY521" s="8"/>
      <c r="AZ521" s="8"/>
    </row>
    <row r="522" spans="1:52">
      <c r="A522" s="5" t="s">
        <v>191</v>
      </c>
      <c r="B522" s="5">
        <v>2094</v>
      </c>
      <c r="C522" s="19">
        <v>577</v>
      </c>
      <c r="E522" s="14"/>
      <c r="F522" s="11"/>
      <c r="G522" s="11"/>
      <c r="H522" s="11"/>
      <c r="I522" s="11"/>
      <c r="J522" s="25"/>
      <c r="K522" s="11"/>
      <c r="L522" s="11"/>
      <c r="M522" s="19">
        <v>0</v>
      </c>
      <c r="O522" s="6"/>
      <c r="P522" s="16">
        <v>227</v>
      </c>
      <c r="Q522" s="16">
        <v>553</v>
      </c>
      <c r="R522" s="22"/>
      <c r="S522" s="22">
        <f t="shared" si="16"/>
        <v>0</v>
      </c>
      <c r="T522" s="5" t="s">
        <v>1218</v>
      </c>
      <c r="U522" s="5">
        <v>0</v>
      </c>
      <c r="Y522" s="8"/>
      <c r="Z522" s="8"/>
      <c r="AA522" s="8"/>
      <c r="AB522" s="8"/>
      <c r="AC522" s="8"/>
      <c r="AD522" s="8"/>
      <c r="AE522" s="25"/>
      <c r="AF522" s="11"/>
      <c r="AG522" s="25"/>
      <c r="AH522" s="11"/>
      <c r="AI522" s="11">
        <v>19</v>
      </c>
      <c r="AJ522" s="19">
        <v>151</v>
      </c>
      <c r="AK522" s="12">
        <f>(AJ522+AI522)/30*7</f>
        <v>39.666666666666671</v>
      </c>
      <c r="AL522" s="6">
        <f>IF(AK522-C522&lt;0,0,AK522-C522)</f>
        <v>0</v>
      </c>
      <c r="AM522" s="6">
        <f>IF(AL522-R522-S522&lt;0,0,AL522-R522-S522)</f>
        <v>0</v>
      </c>
      <c r="AN522" s="5" t="str">
        <f t="shared" si="17"/>
        <v/>
      </c>
      <c r="AO522" s="5">
        <v>0</v>
      </c>
      <c r="AP522" s="9"/>
      <c r="AQ522" s="5" t="s">
        <v>1229</v>
      </c>
      <c r="AR522" s="5" t="s">
        <v>1210</v>
      </c>
      <c r="AS522" s="8"/>
      <c r="AT522" s="8"/>
      <c r="AU522" s="8"/>
      <c r="AV522" s="8"/>
      <c r="AW522" s="8"/>
      <c r="AX522" s="8"/>
      <c r="AY522" s="8"/>
      <c r="AZ522" s="8"/>
    </row>
    <row r="523" spans="1:52">
      <c r="A523" s="5" t="s">
        <v>182</v>
      </c>
      <c r="B523" s="5">
        <v>1188</v>
      </c>
      <c r="C523" s="19">
        <v>342</v>
      </c>
      <c r="E523" s="14"/>
      <c r="F523" s="11"/>
      <c r="G523" s="11"/>
      <c r="H523" s="11"/>
      <c r="I523" s="11"/>
      <c r="J523" s="25"/>
      <c r="K523" s="11"/>
      <c r="L523" s="11"/>
      <c r="M523" s="19">
        <v>0</v>
      </c>
      <c r="O523" s="6"/>
      <c r="P523" s="16">
        <v>922</v>
      </c>
      <c r="Q523" s="16">
        <v>0</v>
      </c>
      <c r="R523" s="22"/>
      <c r="S523" s="22">
        <f t="shared" si="16"/>
        <v>0</v>
      </c>
      <c r="T523" s="5" t="s">
        <v>1210</v>
      </c>
      <c r="U523" s="5" t="s">
        <v>1210</v>
      </c>
      <c r="Y523" s="8"/>
      <c r="Z523" s="8"/>
      <c r="AA523" s="8"/>
      <c r="AB523" s="8"/>
      <c r="AC523" s="8"/>
      <c r="AD523" s="8"/>
      <c r="AE523" s="25"/>
      <c r="AF523" s="11"/>
      <c r="AG523" s="25"/>
      <c r="AH523" s="11"/>
      <c r="AI523" s="11">
        <v>93</v>
      </c>
      <c r="AJ523" s="19">
        <v>51</v>
      </c>
      <c r="AK523" s="12">
        <f>(AJ523+AI523)/30*7</f>
        <v>33.6</v>
      </c>
      <c r="AL523" s="6">
        <f>IF(AK523-C523&lt;0,0,AK523-C523)</f>
        <v>0</v>
      </c>
      <c r="AM523" s="6">
        <f>IF(AL523-R523-S523&lt;0,0,AL523-R523-S523)</f>
        <v>0</v>
      </c>
      <c r="AN523" s="5" t="str">
        <f t="shared" si="17"/>
        <v/>
      </c>
      <c r="AO523" s="5">
        <v>0</v>
      </c>
      <c r="AP523" s="9"/>
      <c r="AQ523" s="5" t="s">
        <v>1210</v>
      </c>
      <c r="AR523" s="5" t="s">
        <v>1210</v>
      </c>
      <c r="AS523" s="8"/>
      <c r="AT523" s="8"/>
      <c r="AU523" s="8"/>
      <c r="AV523" s="8"/>
      <c r="AW523" s="8"/>
      <c r="AX523" s="8"/>
      <c r="AY523" s="8"/>
      <c r="AZ523" s="8"/>
    </row>
    <row r="524" spans="1:52">
      <c r="A524" s="5" t="s">
        <v>265</v>
      </c>
      <c r="B524" s="5">
        <v>412</v>
      </c>
      <c r="C524" s="19">
        <v>860</v>
      </c>
      <c r="E524" s="14"/>
      <c r="F524" s="11"/>
      <c r="G524" s="11"/>
      <c r="H524" s="11"/>
      <c r="I524" s="11"/>
      <c r="J524" s="25"/>
      <c r="K524" s="11"/>
      <c r="L524" s="11"/>
      <c r="M524" s="19">
        <v>9</v>
      </c>
      <c r="O524" s="6"/>
      <c r="P524" s="16">
        <v>771</v>
      </c>
      <c r="Q524" s="16">
        <v>0</v>
      </c>
      <c r="R524" s="22"/>
      <c r="S524" s="22">
        <f t="shared" si="16"/>
        <v>0</v>
      </c>
      <c r="T524" s="5" t="s">
        <v>1210</v>
      </c>
      <c r="U524" s="5" t="s">
        <v>1210</v>
      </c>
      <c r="Y524" s="8"/>
      <c r="Z524" s="8"/>
      <c r="AA524" s="8"/>
      <c r="AB524" s="8"/>
      <c r="AC524" s="8"/>
      <c r="AD524" s="8"/>
      <c r="AE524" s="25"/>
      <c r="AF524" s="11"/>
      <c r="AG524" s="25"/>
      <c r="AH524" s="11"/>
      <c r="AI524" s="11">
        <v>89</v>
      </c>
      <c r="AJ524" s="19">
        <v>12</v>
      </c>
      <c r="AK524" s="12">
        <f>(AJ524+AI524)/30*7</f>
        <v>23.566666666666666</v>
      </c>
      <c r="AL524" s="6">
        <f>IF(AK524-C524&lt;0,0,AK524-C524)</f>
        <v>0</v>
      </c>
      <c r="AM524" s="6">
        <f>IF(AL524-R524-S524&lt;0,0,AL524-R524-S524)</f>
        <v>0</v>
      </c>
      <c r="AN524" s="5" t="str">
        <f t="shared" si="17"/>
        <v/>
      </c>
      <c r="AO524" s="5">
        <v>0</v>
      </c>
      <c r="AP524" s="9"/>
      <c r="AQ524" s="5" t="s">
        <v>1210</v>
      </c>
      <c r="AR524" s="5" t="s">
        <v>1230</v>
      </c>
      <c r="AS524" s="8"/>
      <c r="AT524" s="8"/>
      <c r="AU524" s="8"/>
      <c r="AV524" s="8"/>
      <c r="AW524" s="8"/>
      <c r="AX524" s="8"/>
      <c r="AY524" s="8"/>
      <c r="AZ524" s="8"/>
    </row>
    <row r="525" spans="1:52">
      <c r="A525" s="5" t="s">
        <v>52</v>
      </c>
      <c r="B525" s="5">
        <v>1857</v>
      </c>
      <c r="C525" s="19">
        <v>637</v>
      </c>
      <c r="E525" s="14"/>
      <c r="F525" s="11"/>
      <c r="G525" s="11"/>
      <c r="H525" s="11"/>
      <c r="I525" s="11"/>
      <c r="J525" s="25"/>
      <c r="K525" s="11"/>
      <c r="L525" s="11"/>
      <c r="M525" s="19">
        <v>0</v>
      </c>
      <c r="O525" s="6"/>
      <c r="P525" s="16">
        <v>288</v>
      </c>
      <c r="Q525" s="16">
        <v>0</v>
      </c>
      <c r="R525" s="22"/>
      <c r="S525" s="22">
        <f t="shared" si="16"/>
        <v>0</v>
      </c>
      <c r="T525" s="5" t="s">
        <v>1210</v>
      </c>
      <c r="U525" s="5" t="s">
        <v>1210</v>
      </c>
      <c r="Y525" s="8"/>
      <c r="Z525" s="8"/>
      <c r="AA525" s="8"/>
      <c r="AB525" s="8"/>
      <c r="AC525" s="8"/>
      <c r="AD525" s="8"/>
      <c r="AE525" s="25"/>
      <c r="AF525" s="11"/>
      <c r="AG525" s="25"/>
      <c r="AH525" s="11"/>
      <c r="AI525" s="11">
        <v>26</v>
      </c>
      <c r="AJ525" s="19">
        <v>135</v>
      </c>
      <c r="AK525" s="12">
        <f>(AJ525+AI525)/30*7</f>
        <v>37.566666666666663</v>
      </c>
      <c r="AL525" s="6">
        <f>IF(AK525-C525&lt;0,0,AK525-C525)</f>
        <v>0</v>
      </c>
      <c r="AM525" s="6">
        <f>IF(AL525-R525-S525&lt;0,0,AL525-R525-S525)</f>
        <v>0</v>
      </c>
      <c r="AN525" s="5" t="str">
        <f t="shared" si="17"/>
        <v/>
      </c>
      <c r="AO525" s="5">
        <v>0</v>
      </c>
      <c r="AP525" s="9"/>
      <c r="AQ525" s="5" t="s">
        <v>1210</v>
      </c>
      <c r="AR525" s="5" t="s">
        <v>1210</v>
      </c>
      <c r="AS525" s="8"/>
      <c r="AT525" s="8"/>
      <c r="AU525" s="8"/>
      <c r="AV525" s="8"/>
      <c r="AW525" s="8"/>
      <c r="AX525" s="8"/>
      <c r="AY525" s="8"/>
      <c r="AZ525" s="8"/>
    </row>
    <row r="526" spans="1:52">
      <c r="A526" s="5" t="s">
        <v>404</v>
      </c>
      <c r="B526" s="5">
        <v>1051</v>
      </c>
      <c r="C526" s="19">
        <v>371</v>
      </c>
      <c r="E526" s="14"/>
      <c r="F526" s="11"/>
      <c r="G526" s="11"/>
      <c r="H526" s="11"/>
      <c r="I526" s="11"/>
      <c r="J526" s="25"/>
      <c r="K526" s="11"/>
      <c r="L526" s="11"/>
      <c r="M526" s="19">
        <v>0</v>
      </c>
      <c r="O526" s="6"/>
      <c r="P526" s="16">
        <v>912</v>
      </c>
      <c r="Q526" s="16">
        <v>564</v>
      </c>
      <c r="R526" s="22"/>
      <c r="S526" s="22">
        <f t="shared" si="16"/>
        <v>0</v>
      </c>
      <c r="T526" s="5" t="s">
        <v>1210</v>
      </c>
      <c r="U526" s="5" t="s">
        <v>1210</v>
      </c>
      <c r="Y526" s="8"/>
      <c r="Z526" s="8"/>
      <c r="AA526" s="8"/>
      <c r="AB526" s="8"/>
      <c r="AC526" s="8"/>
      <c r="AD526" s="8"/>
      <c r="AE526" s="25"/>
      <c r="AF526" s="11"/>
      <c r="AG526" s="25"/>
      <c r="AH526" s="11"/>
      <c r="AI526" s="11">
        <v>94</v>
      </c>
      <c r="AJ526" s="19">
        <v>24</v>
      </c>
      <c r="AK526" s="12">
        <f>(AJ526+AI526)/30*7</f>
        <v>27.533333333333331</v>
      </c>
      <c r="AL526" s="6">
        <f>IF(AK526-C526&lt;0,0,AK526-C526)</f>
        <v>0</v>
      </c>
      <c r="AM526" s="6">
        <f>IF(AL526-R526-S526&lt;0,0,AL526-R526-S526)</f>
        <v>0</v>
      </c>
      <c r="AN526" s="5" t="str">
        <f t="shared" si="17"/>
        <v/>
      </c>
      <c r="AO526" s="5">
        <v>0</v>
      </c>
      <c r="AP526" s="9"/>
      <c r="AQ526" s="5" t="s">
        <v>1210</v>
      </c>
      <c r="AR526" s="5" t="s">
        <v>1210</v>
      </c>
      <c r="AS526" s="8"/>
      <c r="AT526" s="8"/>
      <c r="AU526" s="8"/>
      <c r="AV526" s="8"/>
      <c r="AW526" s="8"/>
      <c r="AX526" s="8"/>
      <c r="AY526" s="8"/>
      <c r="AZ526" s="8"/>
    </row>
    <row r="527" spans="1:52">
      <c r="A527" s="5" t="s">
        <v>316</v>
      </c>
      <c r="B527" s="5">
        <v>540</v>
      </c>
      <c r="C527" s="19">
        <v>524</v>
      </c>
      <c r="E527" s="14"/>
      <c r="F527" s="11"/>
      <c r="G527" s="11"/>
      <c r="H527" s="11"/>
      <c r="I527" s="11"/>
      <c r="J527" s="25"/>
      <c r="K527" s="11"/>
      <c r="L527" s="11"/>
      <c r="M527" s="19">
        <v>0</v>
      </c>
      <c r="O527" s="6"/>
      <c r="P527" s="16">
        <v>433</v>
      </c>
      <c r="Q527" s="16">
        <v>970</v>
      </c>
      <c r="R527" s="22"/>
      <c r="S527" s="22">
        <f t="shared" si="16"/>
        <v>0</v>
      </c>
      <c r="T527" s="5" t="s">
        <v>1223</v>
      </c>
      <c r="U527" s="5">
        <v>29</v>
      </c>
      <c r="Y527" s="8"/>
      <c r="Z527" s="8"/>
      <c r="AA527" s="8"/>
      <c r="AB527" s="8"/>
      <c r="AC527" s="8"/>
      <c r="AD527" s="8"/>
      <c r="AE527" s="25"/>
      <c r="AF527" s="11"/>
      <c r="AG527" s="25"/>
      <c r="AH527" s="11"/>
      <c r="AI527" s="11">
        <v>92</v>
      </c>
      <c r="AJ527" s="19">
        <v>8</v>
      </c>
      <c r="AK527" s="12">
        <f>(AJ527+AI527)/30*7</f>
        <v>23.333333333333336</v>
      </c>
      <c r="AL527" s="6">
        <f>IF(AK527-C527&lt;0,0,AK527-C527)</f>
        <v>0</v>
      </c>
      <c r="AM527" s="6">
        <f>IF(AL527-R527-S527&lt;0,0,AL527-R527-S527)</f>
        <v>0</v>
      </c>
      <c r="AN527" s="5" t="str">
        <f t="shared" si="17"/>
        <v/>
      </c>
      <c r="AO527" s="5">
        <v>0</v>
      </c>
      <c r="AP527" s="9"/>
      <c r="AQ527" s="5" t="s">
        <v>1210</v>
      </c>
      <c r="AR527" s="5" t="s">
        <v>1210</v>
      </c>
      <c r="AS527" s="8"/>
      <c r="AT527" s="8"/>
      <c r="AU527" s="8"/>
      <c r="AV527" s="8"/>
      <c r="AW527" s="8"/>
      <c r="AX527" s="8"/>
      <c r="AY527" s="8"/>
      <c r="AZ527" s="8"/>
    </row>
    <row r="528" spans="1:52">
      <c r="A528" s="5" t="s">
        <v>15</v>
      </c>
      <c r="B528" s="5">
        <v>815</v>
      </c>
      <c r="C528" s="19">
        <v>780</v>
      </c>
      <c r="E528" s="14"/>
      <c r="F528" s="11"/>
      <c r="G528" s="11"/>
      <c r="H528" s="11"/>
      <c r="I528" s="11"/>
      <c r="J528" s="25"/>
      <c r="K528" s="11"/>
      <c r="L528" s="11"/>
      <c r="M528" s="19">
        <v>0</v>
      </c>
      <c r="O528" s="6"/>
      <c r="P528" s="16">
        <v>720</v>
      </c>
      <c r="Q528" s="16">
        <v>707</v>
      </c>
      <c r="R528" s="22"/>
      <c r="S528" s="22">
        <f t="shared" si="16"/>
        <v>0</v>
      </c>
      <c r="T528" s="5" t="s">
        <v>1210</v>
      </c>
      <c r="U528" s="5" t="s">
        <v>1210</v>
      </c>
      <c r="Y528" s="8"/>
      <c r="Z528" s="8"/>
      <c r="AA528" s="8"/>
      <c r="AB528" s="8"/>
      <c r="AC528" s="8"/>
      <c r="AD528" s="8"/>
      <c r="AE528" s="25"/>
      <c r="AF528" s="11"/>
      <c r="AG528" s="25"/>
      <c r="AH528" s="11"/>
      <c r="AI528" s="11">
        <v>5</v>
      </c>
      <c r="AJ528" s="19">
        <v>142</v>
      </c>
      <c r="AK528" s="12">
        <f>(AJ528+AI528)/30*7</f>
        <v>34.300000000000004</v>
      </c>
      <c r="AL528" s="6">
        <f>IF(AK528-C528&lt;0,0,AK528-C528)</f>
        <v>0</v>
      </c>
      <c r="AM528" s="6">
        <f>IF(AL528-R528-S528&lt;0,0,AL528-R528-S528)</f>
        <v>0</v>
      </c>
      <c r="AN528" s="5" t="str">
        <f t="shared" si="17"/>
        <v/>
      </c>
      <c r="AO528" s="5">
        <v>0</v>
      </c>
      <c r="AP528" s="9"/>
      <c r="AQ528" s="5" t="s">
        <v>1210</v>
      </c>
      <c r="AR528" s="5" t="s">
        <v>1230</v>
      </c>
      <c r="AS528" s="8"/>
      <c r="AT528" s="8"/>
      <c r="AU528" s="8"/>
      <c r="AV528" s="8"/>
      <c r="AW528" s="8"/>
      <c r="AX528" s="8"/>
      <c r="AY528" s="8"/>
      <c r="AZ528" s="8"/>
    </row>
    <row r="529" spans="1:52">
      <c r="A529" s="5" t="s">
        <v>272</v>
      </c>
      <c r="B529" s="5">
        <v>893</v>
      </c>
      <c r="C529" s="19">
        <v>202</v>
      </c>
      <c r="E529" s="14"/>
      <c r="F529" s="11"/>
      <c r="G529" s="11"/>
      <c r="H529" s="11"/>
      <c r="I529" s="11"/>
      <c r="J529" s="25"/>
      <c r="K529" s="11"/>
      <c r="L529" s="11"/>
      <c r="M529" s="19">
        <v>0</v>
      </c>
      <c r="O529" s="6"/>
      <c r="P529" s="16">
        <v>0</v>
      </c>
      <c r="Q529" s="16">
        <v>880</v>
      </c>
      <c r="R529" s="22"/>
      <c r="S529" s="22">
        <f t="shared" si="16"/>
        <v>0</v>
      </c>
      <c r="T529" s="5" t="s">
        <v>1221</v>
      </c>
      <c r="U529" s="5">
        <v>38</v>
      </c>
      <c r="Y529" s="8"/>
      <c r="Z529" s="8"/>
      <c r="AA529" s="8"/>
      <c r="AB529" s="8"/>
      <c r="AC529" s="8"/>
      <c r="AD529" s="8"/>
      <c r="AE529" s="25"/>
      <c r="AF529" s="11"/>
      <c r="AG529" s="25"/>
      <c r="AH529" s="11"/>
      <c r="AI529" s="11">
        <v>77</v>
      </c>
      <c r="AJ529" s="19">
        <v>22</v>
      </c>
      <c r="AK529" s="12">
        <f>(AJ529+AI529)/30*7</f>
        <v>23.099999999999998</v>
      </c>
      <c r="AL529" s="6">
        <f>IF(AK529-C529&lt;0,0,AK529-C529)</f>
        <v>0</v>
      </c>
      <c r="AM529" s="6">
        <f>IF(AL529-R529-S529&lt;0,0,AL529-R529-S529)</f>
        <v>0</v>
      </c>
      <c r="AN529" s="5" t="str">
        <f t="shared" si="17"/>
        <v/>
      </c>
      <c r="AO529" s="5">
        <v>0</v>
      </c>
      <c r="AP529" s="9"/>
      <c r="AQ529" s="5" t="s">
        <v>1210</v>
      </c>
      <c r="AR529" s="5" t="s">
        <v>1210</v>
      </c>
      <c r="AS529" s="8"/>
      <c r="AT529" s="8"/>
      <c r="AU529" s="8"/>
      <c r="AV529" s="8"/>
      <c r="AW529" s="8"/>
      <c r="AX529" s="8"/>
      <c r="AY529" s="8"/>
      <c r="AZ529" s="8"/>
    </row>
    <row r="530" spans="1:52">
      <c r="A530" s="5" t="s">
        <v>253</v>
      </c>
      <c r="B530" s="5">
        <v>1611</v>
      </c>
      <c r="C530" s="19">
        <v>653</v>
      </c>
      <c r="E530" s="14"/>
      <c r="F530" s="11"/>
      <c r="G530" s="11"/>
      <c r="H530" s="11"/>
      <c r="I530" s="11"/>
      <c r="J530" s="25"/>
      <c r="K530" s="11"/>
      <c r="L530" s="11"/>
      <c r="M530" s="19">
        <v>0</v>
      </c>
      <c r="O530" s="6"/>
      <c r="P530" s="16">
        <v>635</v>
      </c>
      <c r="Q530" s="16">
        <v>250</v>
      </c>
      <c r="R530" s="22"/>
      <c r="S530" s="22">
        <f t="shared" si="16"/>
        <v>0</v>
      </c>
      <c r="U530" s="5" t="s">
        <v>1210</v>
      </c>
      <c r="Y530" s="8"/>
      <c r="Z530" s="8"/>
      <c r="AA530" s="8"/>
      <c r="AB530" s="8"/>
      <c r="AC530" s="8"/>
      <c r="AD530" s="8"/>
      <c r="AE530" s="25"/>
      <c r="AF530" s="11"/>
      <c r="AG530" s="25"/>
      <c r="AH530" s="11"/>
      <c r="AI530" s="11">
        <v>49</v>
      </c>
      <c r="AJ530" s="19">
        <v>58</v>
      </c>
      <c r="AK530" s="12">
        <f>(AJ530+AI530)/30*7</f>
        <v>24.966666666666669</v>
      </c>
      <c r="AL530" s="6">
        <f>IF(AK530-C530&lt;0,0,AK530-C530)</f>
        <v>0</v>
      </c>
      <c r="AM530" s="6">
        <f>IF(AL530-R530-S530&lt;0,0,AL530-R530-S530)</f>
        <v>0</v>
      </c>
      <c r="AN530" s="5" t="str">
        <f t="shared" si="17"/>
        <v/>
      </c>
      <c r="AO530" s="5">
        <v>0</v>
      </c>
      <c r="AP530" s="9"/>
      <c r="AQ530" s="5" t="s">
        <v>1210</v>
      </c>
      <c r="AR530" s="5" t="s">
        <v>1210</v>
      </c>
      <c r="AS530" s="8"/>
      <c r="AT530" s="8"/>
      <c r="AU530" s="8"/>
      <c r="AV530" s="8"/>
      <c r="AW530" s="8"/>
      <c r="AX530" s="8"/>
      <c r="AY530" s="8"/>
      <c r="AZ530" s="8"/>
    </row>
    <row r="531" spans="1:52">
      <c r="A531" s="5" t="s">
        <v>6</v>
      </c>
      <c r="B531" s="5">
        <v>1578</v>
      </c>
      <c r="C531" s="19">
        <v>915</v>
      </c>
      <c r="E531" s="14"/>
      <c r="F531" s="11"/>
      <c r="G531" s="11"/>
      <c r="H531" s="11"/>
      <c r="I531" s="11"/>
      <c r="J531" s="25"/>
      <c r="K531" s="11"/>
      <c r="L531" s="11"/>
      <c r="M531" s="19">
        <v>9</v>
      </c>
      <c r="O531" s="6"/>
      <c r="P531" s="16">
        <v>730</v>
      </c>
      <c r="Q531" s="16">
        <v>366</v>
      </c>
      <c r="R531" s="22"/>
      <c r="S531" s="22">
        <f t="shared" si="16"/>
        <v>0</v>
      </c>
      <c r="T531" s="5" t="s">
        <v>1210</v>
      </c>
      <c r="U531" s="5" t="s">
        <v>1210</v>
      </c>
      <c r="Y531" s="8"/>
      <c r="Z531" s="8"/>
      <c r="AA531" s="8"/>
      <c r="AB531" s="8"/>
      <c r="AC531" s="8"/>
      <c r="AD531" s="8"/>
      <c r="AE531" s="25"/>
      <c r="AF531" s="11"/>
      <c r="AG531" s="25"/>
      <c r="AH531" s="11"/>
      <c r="AI531" s="11">
        <v>11</v>
      </c>
      <c r="AJ531" s="19">
        <v>120</v>
      </c>
      <c r="AK531" s="12">
        <f>(AJ531+AI531)/30*7</f>
        <v>30.566666666666663</v>
      </c>
      <c r="AL531" s="6">
        <f>IF(AK531-C531&lt;0,0,AK531-C531)</f>
        <v>0</v>
      </c>
      <c r="AM531" s="6">
        <f>IF(AL531-R531-S531&lt;0,0,AL531-R531-S531)</f>
        <v>0</v>
      </c>
      <c r="AN531" s="5" t="str">
        <f t="shared" si="17"/>
        <v/>
      </c>
      <c r="AO531" s="5">
        <v>0</v>
      </c>
      <c r="AP531" s="9"/>
      <c r="AQ531" s="5" t="s">
        <v>1229</v>
      </c>
      <c r="AR531" s="5" t="s">
        <v>1210</v>
      </c>
      <c r="AS531" s="8"/>
      <c r="AT531" s="8"/>
      <c r="AU531" s="8"/>
      <c r="AV531" s="8"/>
      <c r="AW531" s="8"/>
      <c r="AX531" s="8"/>
      <c r="AY531" s="8"/>
      <c r="AZ531" s="8"/>
    </row>
    <row r="532" spans="1:52">
      <c r="A532" s="5" t="s">
        <v>304</v>
      </c>
      <c r="B532" s="5">
        <v>922</v>
      </c>
      <c r="C532" s="19">
        <v>773</v>
      </c>
      <c r="E532" s="14"/>
      <c r="F532" s="11"/>
      <c r="G532" s="11"/>
      <c r="H532" s="11"/>
      <c r="I532" s="11"/>
      <c r="J532" s="25"/>
      <c r="K532" s="11"/>
      <c r="L532" s="11"/>
      <c r="M532" s="19">
        <v>0</v>
      </c>
      <c r="O532" s="6"/>
      <c r="P532" s="16">
        <v>480</v>
      </c>
      <c r="Q532" s="16">
        <v>637</v>
      </c>
      <c r="R532" s="22"/>
      <c r="S532" s="22">
        <f t="shared" si="16"/>
        <v>0</v>
      </c>
      <c r="U532" s="5" t="s">
        <v>1210</v>
      </c>
      <c r="Y532" s="8"/>
      <c r="Z532" s="8"/>
      <c r="AA532" s="8"/>
      <c r="AB532" s="8"/>
      <c r="AC532" s="8"/>
      <c r="AD532" s="8"/>
      <c r="AE532" s="25"/>
      <c r="AF532" s="11"/>
      <c r="AG532" s="25"/>
      <c r="AH532" s="11"/>
      <c r="AI532" s="11">
        <v>99</v>
      </c>
      <c r="AJ532" s="19">
        <v>48</v>
      </c>
      <c r="AK532" s="12">
        <f>(AJ532+AI532)/30*7</f>
        <v>34.300000000000004</v>
      </c>
      <c r="AL532" s="6">
        <f>IF(AK532-C532&lt;0,0,AK532-C532)</f>
        <v>0</v>
      </c>
      <c r="AM532" s="6">
        <f>IF(AL532-R532-S532&lt;0,0,AL532-R532-S532)</f>
        <v>0</v>
      </c>
      <c r="AN532" s="5" t="str">
        <f t="shared" si="17"/>
        <v/>
      </c>
      <c r="AO532" s="5">
        <v>0</v>
      </c>
      <c r="AP532" s="9"/>
      <c r="AQ532" s="5" t="s">
        <v>1210</v>
      </c>
      <c r="AR532" s="5" t="s">
        <v>1210</v>
      </c>
      <c r="AS532" s="8"/>
      <c r="AT532" s="8"/>
      <c r="AU532" s="8"/>
      <c r="AV532" s="8"/>
      <c r="AW532" s="8"/>
      <c r="AX532" s="8"/>
      <c r="AY532" s="8"/>
      <c r="AZ532" s="8"/>
    </row>
    <row r="533" spans="1:52">
      <c r="A533" s="5" t="s">
        <v>307</v>
      </c>
      <c r="B533" s="5">
        <v>2045</v>
      </c>
      <c r="C533" s="19">
        <v>851</v>
      </c>
      <c r="E533" s="14"/>
      <c r="F533" s="11"/>
      <c r="G533" s="11"/>
      <c r="H533" s="11"/>
      <c r="I533" s="11"/>
      <c r="J533" s="25"/>
      <c r="K533" s="11"/>
      <c r="L533" s="11"/>
      <c r="M533" s="19">
        <v>3</v>
      </c>
      <c r="O533" s="6"/>
      <c r="P533" s="16">
        <v>688</v>
      </c>
      <c r="Q533" s="16">
        <v>0</v>
      </c>
      <c r="R533" s="22"/>
      <c r="S533" s="22">
        <f t="shared" si="16"/>
        <v>0</v>
      </c>
      <c r="T533" s="5" t="s">
        <v>1210</v>
      </c>
      <c r="U533" s="5" t="s">
        <v>1210</v>
      </c>
      <c r="Y533" s="8"/>
      <c r="Z533" s="8"/>
      <c r="AA533" s="8"/>
      <c r="AB533" s="8"/>
      <c r="AC533" s="8"/>
      <c r="AD533" s="8"/>
      <c r="AE533" s="25"/>
      <c r="AF533" s="11"/>
      <c r="AG533" s="25"/>
      <c r="AH533" s="11"/>
      <c r="AI533" s="11">
        <v>51</v>
      </c>
      <c r="AJ533" s="19">
        <v>61</v>
      </c>
      <c r="AK533" s="12">
        <f>(AJ533+AI533)/30*7</f>
        <v>26.133333333333333</v>
      </c>
      <c r="AL533" s="6">
        <f>IF(AK533-C533&lt;0,0,AK533-C533)</f>
        <v>0</v>
      </c>
      <c r="AM533" s="6">
        <f>IF(AL533-R533-S533&lt;0,0,AL533-R533-S533)</f>
        <v>0</v>
      </c>
      <c r="AN533" s="5" t="str">
        <f t="shared" si="17"/>
        <v/>
      </c>
      <c r="AO533" s="5">
        <v>0</v>
      </c>
      <c r="AP533" s="9"/>
      <c r="AQ533" s="5" t="s">
        <v>1210</v>
      </c>
      <c r="AR533" s="5" t="s">
        <v>1210</v>
      </c>
      <c r="AS533" s="8"/>
      <c r="AT533" s="8"/>
      <c r="AU533" s="8"/>
      <c r="AV533" s="8"/>
      <c r="AW533" s="8"/>
      <c r="AX533" s="8"/>
      <c r="AY533" s="8"/>
      <c r="AZ533" s="8"/>
    </row>
    <row r="534" spans="1:52">
      <c r="A534" s="5" t="s">
        <v>122</v>
      </c>
      <c r="B534" s="5">
        <v>1455</v>
      </c>
      <c r="C534" s="19">
        <v>979</v>
      </c>
      <c r="E534" s="14"/>
      <c r="F534" s="11"/>
      <c r="G534" s="11"/>
      <c r="H534" s="11"/>
      <c r="I534" s="11"/>
      <c r="J534" s="25"/>
      <c r="K534" s="11"/>
      <c r="L534" s="11"/>
      <c r="M534" s="19">
        <v>0</v>
      </c>
      <c r="O534" s="6"/>
      <c r="P534" s="16">
        <v>284</v>
      </c>
      <c r="Q534" s="16">
        <v>0</v>
      </c>
      <c r="R534" s="22"/>
      <c r="S534" s="22">
        <f t="shared" si="16"/>
        <v>0</v>
      </c>
      <c r="T534" s="5" t="s">
        <v>1210</v>
      </c>
      <c r="U534" s="5" t="s">
        <v>1210</v>
      </c>
      <c r="Y534" s="8"/>
      <c r="Z534" s="8"/>
      <c r="AA534" s="8"/>
      <c r="AB534" s="8"/>
      <c r="AC534" s="8"/>
      <c r="AD534" s="8"/>
      <c r="AE534" s="25"/>
      <c r="AF534" s="11"/>
      <c r="AG534" s="25"/>
      <c r="AH534" s="11"/>
      <c r="AI534" s="11">
        <v>74</v>
      </c>
      <c r="AJ534" s="19">
        <v>119</v>
      </c>
      <c r="AK534" s="12">
        <f>(AJ534+AI534)/30*7</f>
        <v>45.033333333333331</v>
      </c>
      <c r="AL534" s="6">
        <f>IF(AK534-C534&lt;0,0,AK534-C534)</f>
        <v>0</v>
      </c>
      <c r="AM534" s="6">
        <f>IF(AL534-R534-S534&lt;0,0,AL534-R534-S534)</f>
        <v>0</v>
      </c>
      <c r="AN534" s="5" t="str">
        <f t="shared" si="17"/>
        <v/>
      </c>
      <c r="AO534" s="5">
        <v>0</v>
      </c>
      <c r="AP534" s="9"/>
      <c r="AQ534" s="5" t="s">
        <v>1229</v>
      </c>
      <c r="AR534" s="5" t="s">
        <v>1210</v>
      </c>
      <c r="AS534" s="8"/>
      <c r="AT534" s="8"/>
      <c r="AU534" s="8"/>
      <c r="AV534" s="8"/>
      <c r="AW534" s="8"/>
      <c r="AX534" s="8"/>
      <c r="AY534" s="8"/>
      <c r="AZ534" s="8"/>
    </row>
    <row r="535" spans="1:52">
      <c r="A535" s="5" t="s">
        <v>915</v>
      </c>
      <c r="B535" s="5">
        <v>1934</v>
      </c>
      <c r="C535" s="19">
        <v>643</v>
      </c>
      <c r="E535" s="14"/>
      <c r="F535" s="11"/>
      <c r="G535" s="11"/>
      <c r="H535" s="11"/>
      <c r="I535" s="11"/>
      <c r="J535" s="25"/>
      <c r="K535" s="11"/>
      <c r="L535" s="11"/>
      <c r="M535" s="19">
        <v>6</v>
      </c>
      <c r="O535" s="6"/>
      <c r="P535" s="16">
        <v>770</v>
      </c>
      <c r="Q535" s="16">
        <v>0</v>
      </c>
      <c r="R535" s="22"/>
      <c r="S535" s="22">
        <f t="shared" si="16"/>
        <v>0</v>
      </c>
      <c r="T535" s="5" t="s">
        <v>1210</v>
      </c>
      <c r="U535" s="5" t="s">
        <v>1210</v>
      </c>
      <c r="Y535" s="8"/>
      <c r="Z535" s="8"/>
      <c r="AA535" s="8"/>
      <c r="AB535" s="8"/>
      <c r="AC535" s="8"/>
      <c r="AD535" s="8"/>
      <c r="AE535" s="25"/>
      <c r="AF535" s="11"/>
      <c r="AG535" s="25"/>
      <c r="AH535" s="11"/>
      <c r="AI535" s="11">
        <v>71</v>
      </c>
      <c r="AJ535" s="19">
        <v>40</v>
      </c>
      <c r="AK535" s="12">
        <f>(AJ535+AI535)/30*7</f>
        <v>25.900000000000002</v>
      </c>
      <c r="AL535" s="6">
        <f>IF(AK535-C535&lt;0,0,AK535-C535)</f>
        <v>0</v>
      </c>
      <c r="AM535" s="6">
        <f>IF(AL535-R535-S535&lt;0,0,AL535-R535-S535)</f>
        <v>0</v>
      </c>
      <c r="AN535" s="5" t="str">
        <f t="shared" si="17"/>
        <v/>
      </c>
      <c r="AO535" s="5">
        <v>4</v>
      </c>
      <c r="AP535" s="9"/>
      <c r="AQ535" s="5" t="s">
        <v>1210</v>
      </c>
      <c r="AR535" s="5" t="s">
        <v>1210</v>
      </c>
      <c r="AS535" s="8"/>
      <c r="AT535" s="8"/>
      <c r="AU535" s="8"/>
      <c r="AV535" s="8"/>
      <c r="AW535" s="8"/>
      <c r="AX535" s="8"/>
      <c r="AY535" s="8"/>
      <c r="AZ535" s="8"/>
    </row>
    <row r="536" spans="1:52">
      <c r="A536" s="5" t="s">
        <v>50</v>
      </c>
      <c r="B536" s="5">
        <v>1258</v>
      </c>
      <c r="C536" s="19">
        <v>267</v>
      </c>
      <c r="E536" s="14"/>
      <c r="F536" s="11"/>
      <c r="G536" s="11"/>
      <c r="H536" s="11"/>
      <c r="I536" s="11"/>
      <c r="J536" s="25"/>
      <c r="K536" s="11"/>
      <c r="L536" s="11"/>
      <c r="M536" s="19">
        <v>1</v>
      </c>
      <c r="O536" s="6"/>
      <c r="P536" s="16">
        <v>624</v>
      </c>
      <c r="Q536" s="16">
        <v>0</v>
      </c>
      <c r="R536" s="22"/>
      <c r="S536" s="22">
        <f t="shared" si="16"/>
        <v>0</v>
      </c>
      <c r="U536" s="5" t="s">
        <v>1210</v>
      </c>
      <c r="Y536" s="8"/>
      <c r="Z536" s="8"/>
      <c r="AA536" s="8"/>
      <c r="AB536" s="8"/>
      <c r="AC536" s="8"/>
      <c r="AD536" s="8"/>
      <c r="AE536" s="25"/>
      <c r="AF536" s="11"/>
      <c r="AG536" s="25"/>
      <c r="AH536" s="11"/>
      <c r="AI536" s="11">
        <v>93</v>
      </c>
      <c r="AJ536" s="19">
        <v>138</v>
      </c>
      <c r="AK536" s="12">
        <f>(AJ536+AI536)/30*7</f>
        <v>53.9</v>
      </c>
      <c r="AL536" s="6">
        <f>IF(AK536-C536&lt;0,0,AK536-C536)</f>
        <v>0</v>
      </c>
      <c r="AM536" s="6">
        <f>IF(AL536-R536-S536&lt;0,0,AL536-R536-S536)</f>
        <v>0</v>
      </c>
      <c r="AN536" s="5" t="str">
        <f t="shared" si="17"/>
        <v/>
      </c>
      <c r="AO536" s="5">
        <v>0</v>
      </c>
      <c r="AP536" s="9"/>
      <c r="AQ536" s="5" t="s">
        <v>1229</v>
      </c>
      <c r="AR536" s="5" t="s">
        <v>1210</v>
      </c>
      <c r="AS536" s="8"/>
      <c r="AT536" s="8"/>
      <c r="AU536" s="8"/>
      <c r="AV536" s="8"/>
      <c r="AW536" s="8"/>
      <c r="AX536" s="8"/>
      <c r="AY536" s="8"/>
      <c r="AZ536" s="8"/>
    </row>
    <row r="537" spans="1:52">
      <c r="A537" s="5" t="s">
        <v>34</v>
      </c>
      <c r="B537" s="5">
        <v>1506</v>
      </c>
      <c r="C537" s="19">
        <v>442</v>
      </c>
      <c r="E537" s="14"/>
      <c r="F537" s="11"/>
      <c r="G537" s="11"/>
      <c r="H537" s="11"/>
      <c r="I537" s="11"/>
      <c r="J537" s="25"/>
      <c r="K537" s="11"/>
      <c r="L537" s="11"/>
      <c r="M537" s="19">
        <v>2</v>
      </c>
      <c r="O537" s="6"/>
      <c r="P537" s="16">
        <v>720</v>
      </c>
      <c r="Q537" s="16">
        <v>0</v>
      </c>
      <c r="R537" s="22"/>
      <c r="S537" s="22">
        <f t="shared" si="16"/>
        <v>0</v>
      </c>
      <c r="T537" s="5" t="s">
        <v>1210</v>
      </c>
      <c r="U537" s="5" t="s">
        <v>1210</v>
      </c>
      <c r="Y537" s="8"/>
      <c r="Z537" s="8"/>
      <c r="AA537" s="8"/>
      <c r="AB537" s="8"/>
      <c r="AC537" s="8"/>
      <c r="AD537" s="8"/>
      <c r="AE537" s="25"/>
      <c r="AF537" s="11"/>
      <c r="AG537" s="25"/>
      <c r="AH537" s="11"/>
      <c r="AI537" s="11">
        <v>77</v>
      </c>
      <c r="AJ537" s="19">
        <v>135</v>
      </c>
      <c r="AK537" s="12">
        <f>(AJ537+AI537)/30*7</f>
        <v>49.466666666666669</v>
      </c>
      <c r="AL537" s="6">
        <f>IF(AK537-C537&lt;0,0,AK537-C537)</f>
        <v>0</v>
      </c>
      <c r="AM537" s="6">
        <f>IF(AL537-R537-S537&lt;0,0,AL537-R537-S537)</f>
        <v>0</v>
      </c>
      <c r="AN537" s="5" t="str">
        <f t="shared" si="17"/>
        <v/>
      </c>
      <c r="AO537" s="5">
        <v>0</v>
      </c>
      <c r="AP537" s="9"/>
      <c r="AQ537" s="5" t="s">
        <v>1229</v>
      </c>
      <c r="AR537" s="5" t="s">
        <v>1210</v>
      </c>
      <c r="AS537" s="8"/>
      <c r="AT537" s="8"/>
      <c r="AU537" s="8"/>
      <c r="AV537" s="8"/>
      <c r="AW537" s="8"/>
      <c r="AX537" s="8"/>
      <c r="AY537" s="8"/>
      <c r="AZ537" s="8"/>
    </row>
    <row r="538" spans="1:52">
      <c r="A538" s="5" t="s">
        <v>706</v>
      </c>
      <c r="B538" s="5">
        <v>1730</v>
      </c>
      <c r="C538" s="19">
        <v>231</v>
      </c>
      <c r="E538" s="14"/>
      <c r="F538" s="11"/>
      <c r="G538" s="11"/>
      <c r="H538" s="11"/>
      <c r="I538" s="11"/>
      <c r="J538" s="25"/>
      <c r="K538" s="11"/>
      <c r="L538" s="11"/>
      <c r="M538" s="19">
        <v>0</v>
      </c>
      <c r="O538" s="6"/>
      <c r="P538" s="16">
        <v>351</v>
      </c>
      <c r="Q538" s="16">
        <v>0</v>
      </c>
      <c r="R538" s="22"/>
      <c r="S538" s="22">
        <f t="shared" si="16"/>
        <v>0</v>
      </c>
      <c r="T538" s="5" t="s">
        <v>1210</v>
      </c>
      <c r="U538" s="5" t="s">
        <v>1210</v>
      </c>
      <c r="Y538" s="8"/>
      <c r="Z538" s="8"/>
      <c r="AA538" s="8"/>
      <c r="AB538" s="8"/>
      <c r="AC538" s="8"/>
      <c r="AD538" s="8"/>
      <c r="AE538" s="25"/>
      <c r="AF538" s="11"/>
      <c r="AG538" s="25"/>
      <c r="AH538" s="11"/>
      <c r="AI538" s="11">
        <v>84</v>
      </c>
      <c r="AJ538" s="19">
        <v>12</v>
      </c>
      <c r="AK538" s="12">
        <f>(AJ538+AI538)/30*7</f>
        <v>22.400000000000002</v>
      </c>
      <c r="AL538" s="6">
        <f>IF(AK538-C538&lt;0,0,AK538-C538)</f>
        <v>0</v>
      </c>
      <c r="AM538" s="6">
        <f>IF(AL538-R538-S538&lt;0,0,AL538-R538-S538)</f>
        <v>0</v>
      </c>
      <c r="AN538" s="5" t="str">
        <f t="shared" si="17"/>
        <v/>
      </c>
      <c r="AO538" s="5">
        <v>0</v>
      </c>
      <c r="AP538" s="9"/>
      <c r="AQ538" s="5" t="s">
        <v>1210</v>
      </c>
      <c r="AR538" s="5" t="s">
        <v>1210</v>
      </c>
      <c r="AS538" s="8"/>
      <c r="AT538" s="8"/>
      <c r="AU538" s="8"/>
      <c r="AV538" s="8"/>
      <c r="AW538" s="8"/>
      <c r="AX538" s="8"/>
      <c r="AY538" s="8"/>
      <c r="AZ538" s="8"/>
    </row>
    <row r="539" spans="1:52">
      <c r="A539" s="5" t="s">
        <v>287</v>
      </c>
      <c r="B539" s="5">
        <v>1060</v>
      </c>
      <c r="C539" s="19">
        <v>536</v>
      </c>
      <c r="E539" s="14"/>
      <c r="F539" s="11"/>
      <c r="G539" s="11"/>
      <c r="H539" s="11"/>
      <c r="I539" s="11"/>
      <c r="J539" s="25"/>
      <c r="K539" s="11"/>
      <c r="L539" s="11"/>
      <c r="M539" s="19">
        <v>0</v>
      </c>
      <c r="O539" s="6"/>
      <c r="P539" s="16">
        <v>594</v>
      </c>
      <c r="Q539" s="16">
        <v>0</v>
      </c>
      <c r="R539" s="22"/>
      <c r="S539" s="22">
        <f t="shared" si="16"/>
        <v>0</v>
      </c>
      <c r="T539" s="5" t="s">
        <v>1210</v>
      </c>
      <c r="U539" s="5" t="s">
        <v>1210</v>
      </c>
      <c r="Y539" s="8"/>
      <c r="Z539" s="8"/>
      <c r="AA539" s="8"/>
      <c r="AB539" s="8"/>
      <c r="AC539" s="8"/>
      <c r="AD539" s="8"/>
      <c r="AE539" s="25"/>
      <c r="AF539" s="11"/>
      <c r="AG539" s="25"/>
      <c r="AH539" s="11"/>
      <c r="AI539" s="11">
        <v>98</v>
      </c>
      <c r="AJ539" s="19">
        <v>23</v>
      </c>
      <c r="AK539" s="12">
        <f>(AJ539+AI539)/30*7</f>
        <v>28.233333333333334</v>
      </c>
      <c r="AL539" s="6">
        <f>IF(AK539-C539&lt;0,0,AK539-C539)</f>
        <v>0</v>
      </c>
      <c r="AM539" s="6">
        <f>IF(AL539-R539-S539&lt;0,0,AL539-R539-S539)</f>
        <v>0</v>
      </c>
      <c r="AN539" s="5" t="str">
        <f t="shared" si="17"/>
        <v/>
      </c>
      <c r="AO539" s="5">
        <v>0</v>
      </c>
      <c r="AP539" s="9"/>
      <c r="AQ539" s="5" t="s">
        <v>1210</v>
      </c>
      <c r="AR539" s="5" t="s">
        <v>1210</v>
      </c>
      <c r="AS539" s="8"/>
      <c r="AT539" s="8"/>
      <c r="AU539" s="8"/>
      <c r="AV539" s="8"/>
      <c r="AW539" s="8"/>
      <c r="AX539" s="8"/>
      <c r="AY539" s="8"/>
      <c r="AZ539" s="8"/>
    </row>
    <row r="540" spans="1:52">
      <c r="A540" s="5" t="s">
        <v>380</v>
      </c>
      <c r="B540" s="5">
        <v>2076</v>
      </c>
      <c r="C540" s="19">
        <v>440</v>
      </c>
      <c r="E540" s="14"/>
      <c r="F540" s="11"/>
      <c r="G540" s="11"/>
      <c r="H540" s="11"/>
      <c r="I540" s="11"/>
      <c r="J540" s="25"/>
      <c r="K540" s="11"/>
      <c r="L540" s="11"/>
      <c r="M540" s="19">
        <v>2</v>
      </c>
      <c r="O540" s="6"/>
      <c r="P540" s="16">
        <v>646</v>
      </c>
      <c r="Q540" s="16">
        <v>0</v>
      </c>
      <c r="R540" s="22"/>
      <c r="S540" s="22">
        <f t="shared" si="16"/>
        <v>0</v>
      </c>
      <c r="T540" s="5" t="s">
        <v>1210</v>
      </c>
      <c r="U540" s="5" t="s">
        <v>1210</v>
      </c>
      <c r="Y540" s="8"/>
      <c r="Z540" s="8"/>
      <c r="AA540" s="8"/>
      <c r="AB540" s="8"/>
      <c r="AC540" s="8"/>
      <c r="AD540" s="8"/>
      <c r="AE540" s="25"/>
      <c r="AF540" s="11"/>
      <c r="AG540" s="25"/>
      <c r="AH540" s="11"/>
      <c r="AI540" s="11">
        <v>34</v>
      </c>
      <c r="AJ540" s="19">
        <v>104</v>
      </c>
      <c r="AK540" s="12">
        <f>(AJ540+AI540)/30*7</f>
        <v>32.199999999999996</v>
      </c>
      <c r="AL540" s="6">
        <f>IF(AK540-C540&lt;0,0,AK540-C540)</f>
        <v>0</v>
      </c>
      <c r="AM540" s="6">
        <f>IF(AL540-R540-S540&lt;0,0,AL540-R540-S540)</f>
        <v>0</v>
      </c>
      <c r="AN540" s="5" t="str">
        <f t="shared" si="17"/>
        <v/>
      </c>
      <c r="AO540" s="5">
        <v>0</v>
      </c>
      <c r="AP540" s="9"/>
      <c r="AQ540" s="5" t="s">
        <v>1210</v>
      </c>
      <c r="AR540" s="5" t="s">
        <v>1210</v>
      </c>
      <c r="AS540" s="8"/>
      <c r="AT540" s="8"/>
      <c r="AU540" s="8"/>
      <c r="AV540" s="8"/>
      <c r="AW540" s="8"/>
      <c r="AX540" s="8"/>
      <c r="AY540" s="8"/>
      <c r="AZ540" s="8"/>
    </row>
    <row r="541" spans="1:52">
      <c r="A541" s="5" t="s">
        <v>823</v>
      </c>
      <c r="B541" s="5">
        <v>928</v>
      </c>
      <c r="C541" s="19">
        <v>325</v>
      </c>
      <c r="E541" s="14"/>
      <c r="F541" s="11"/>
      <c r="G541" s="11"/>
      <c r="H541" s="11"/>
      <c r="I541" s="11"/>
      <c r="J541" s="25"/>
      <c r="K541" s="11"/>
      <c r="L541" s="11"/>
      <c r="M541" s="19">
        <v>0</v>
      </c>
      <c r="O541" s="6"/>
      <c r="P541" s="16">
        <v>568</v>
      </c>
      <c r="Q541" s="16">
        <v>324</v>
      </c>
      <c r="R541" s="22"/>
      <c r="S541" s="22">
        <f t="shared" si="16"/>
        <v>0</v>
      </c>
      <c r="T541" s="5">
        <v>928</v>
      </c>
      <c r="U541" s="5">
        <v>325</v>
      </c>
      <c r="Y541" s="8"/>
      <c r="Z541" s="8"/>
      <c r="AA541" s="8"/>
      <c r="AB541" s="8"/>
      <c r="AC541" s="8"/>
      <c r="AD541" s="8"/>
      <c r="AE541" s="25"/>
      <c r="AF541" s="11"/>
      <c r="AG541" s="25"/>
      <c r="AH541" s="11"/>
      <c r="AI541" s="11">
        <v>99</v>
      </c>
      <c r="AJ541" s="19">
        <v>0</v>
      </c>
      <c r="AK541" s="12">
        <f>(AJ541+AI541)/30*7</f>
        <v>23.099999999999998</v>
      </c>
      <c r="AL541" s="6">
        <f>IF(AK541-C541&lt;0,0,AK541-C541)</f>
        <v>0</v>
      </c>
      <c r="AM541" s="6">
        <f>IF(AL541-R541-S541&lt;0,0,AL541-R541-S541)</f>
        <v>0</v>
      </c>
      <c r="AN541" s="5" t="str">
        <f t="shared" si="17"/>
        <v/>
      </c>
      <c r="AO541" s="5">
        <v>0</v>
      </c>
      <c r="AP541" s="9"/>
      <c r="AQ541" s="5" t="s">
        <v>1210</v>
      </c>
      <c r="AR541" s="5" t="s">
        <v>1230</v>
      </c>
      <c r="AS541" s="8"/>
      <c r="AT541" s="8"/>
      <c r="AU541" s="8"/>
      <c r="AV541" s="8"/>
      <c r="AW541" s="8"/>
      <c r="AX541" s="8"/>
      <c r="AY541" s="8"/>
      <c r="AZ541" s="8"/>
    </row>
    <row r="542" spans="1:52">
      <c r="A542" s="5" t="s">
        <v>59</v>
      </c>
      <c r="B542" s="5">
        <v>868</v>
      </c>
      <c r="C542" s="19">
        <v>265</v>
      </c>
      <c r="E542" s="14"/>
      <c r="F542" s="11"/>
      <c r="G542" s="11"/>
      <c r="H542" s="11"/>
      <c r="I542" s="11"/>
      <c r="J542" s="25"/>
      <c r="K542" s="11"/>
      <c r="L542" s="11"/>
      <c r="M542" s="19">
        <v>0</v>
      </c>
      <c r="O542" s="6"/>
      <c r="P542" s="16">
        <v>222</v>
      </c>
      <c r="Q542" s="16">
        <v>684</v>
      </c>
      <c r="R542" s="22"/>
      <c r="S542" s="22">
        <f t="shared" si="16"/>
        <v>0</v>
      </c>
      <c r="T542" s="5" t="s">
        <v>1210</v>
      </c>
      <c r="U542" s="5" t="s">
        <v>1210</v>
      </c>
      <c r="Y542" s="8"/>
      <c r="Z542" s="8"/>
      <c r="AA542" s="8"/>
      <c r="AB542" s="8"/>
      <c r="AC542" s="8"/>
      <c r="AD542" s="8"/>
      <c r="AE542" s="25"/>
      <c r="AF542" s="11"/>
      <c r="AG542" s="25"/>
      <c r="AH542" s="11"/>
      <c r="AI542" s="11">
        <v>96</v>
      </c>
      <c r="AJ542" s="19">
        <v>117</v>
      </c>
      <c r="AK542" s="12">
        <f>(AJ542+AI542)/30*7</f>
        <v>49.699999999999996</v>
      </c>
      <c r="AL542" s="6">
        <f>IF(AK542-C542&lt;0,0,AK542-C542)</f>
        <v>0</v>
      </c>
      <c r="AM542" s="6">
        <f>IF(AL542-R542-S542&lt;0,0,AL542-R542-S542)</f>
        <v>0</v>
      </c>
      <c r="AN542" s="5" t="str">
        <f t="shared" si="17"/>
        <v/>
      </c>
      <c r="AO542" s="5">
        <v>0</v>
      </c>
      <c r="AP542" s="9"/>
      <c r="AQ542" s="5" t="s">
        <v>1229</v>
      </c>
      <c r="AR542" s="5" t="s">
        <v>1210</v>
      </c>
      <c r="AS542" s="8"/>
      <c r="AT542" s="8"/>
      <c r="AU542" s="8"/>
      <c r="AV542" s="8"/>
      <c r="AW542" s="8"/>
      <c r="AX542" s="8"/>
      <c r="AY542" s="8"/>
      <c r="AZ542" s="8"/>
    </row>
    <row r="543" spans="1:52">
      <c r="A543" s="5" t="s">
        <v>11</v>
      </c>
      <c r="B543" s="5">
        <v>1971</v>
      </c>
      <c r="C543" s="19">
        <v>593</v>
      </c>
      <c r="E543" s="14"/>
      <c r="F543" s="11"/>
      <c r="G543" s="11"/>
      <c r="H543" s="11"/>
      <c r="I543" s="11"/>
      <c r="J543" s="25"/>
      <c r="K543" s="11"/>
      <c r="L543" s="11"/>
      <c r="M543" s="19">
        <v>8</v>
      </c>
      <c r="O543" s="6"/>
      <c r="P543" s="16">
        <v>480</v>
      </c>
      <c r="Q543" s="16">
        <v>554</v>
      </c>
      <c r="R543" s="22"/>
      <c r="S543" s="22">
        <f t="shared" si="16"/>
        <v>0</v>
      </c>
      <c r="T543" s="5" t="s">
        <v>1210</v>
      </c>
      <c r="U543" s="5" t="s">
        <v>1210</v>
      </c>
      <c r="Y543" s="8"/>
      <c r="Z543" s="8"/>
      <c r="AA543" s="8"/>
      <c r="AB543" s="8"/>
      <c r="AC543" s="8"/>
      <c r="AD543" s="8"/>
      <c r="AE543" s="25"/>
      <c r="AF543" s="11"/>
      <c r="AG543" s="25"/>
      <c r="AH543" s="11"/>
      <c r="AI543" s="11">
        <v>33</v>
      </c>
      <c r="AJ543" s="19">
        <v>107</v>
      </c>
      <c r="AK543" s="12">
        <f>(AJ543+AI543)/30*7</f>
        <v>32.666666666666671</v>
      </c>
      <c r="AL543" s="6">
        <f>IF(AK543-C543&lt;0,0,AK543-C543)</f>
        <v>0</v>
      </c>
      <c r="AM543" s="6">
        <f>IF(AL543-R543-S543&lt;0,0,AL543-R543-S543)</f>
        <v>0</v>
      </c>
      <c r="AN543" s="5" t="str">
        <f t="shared" si="17"/>
        <v/>
      </c>
      <c r="AO543" s="5">
        <v>0</v>
      </c>
      <c r="AP543" s="9"/>
      <c r="AQ543" s="5" t="s">
        <v>1229</v>
      </c>
      <c r="AR543" s="5" t="s">
        <v>1210</v>
      </c>
      <c r="AS543" s="8"/>
      <c r="AT543" s="8"/>
      <c r="AU543" s="8"/>
      <c r="AV543" s="8"/>
      <c r="AW543" s="8"/>
      <c r="AX543" s="8"/>
      <c r="AY543" s="8"/>
      <c r="AZ543" s="8"/>
    </row>
    <row r="544" spans="1:52">
      <c r="A544" s="5" t="s">
        <v>92</v>
      </c>
      <c r="B544" s="5">
        <v>1855</v>
      </c>
      <c r="C544" s="19">
        <v>488</v>
      </c>
      <c r="E544" s="14"/>
      <c r="F544" s="11"/>
      <c r="G544" s="11"/>
      <c r="H544" s="11"/>
      <c r="I544" s="11"/>
      <c r="J544" s="25"/>
      <c r="K544" s="11"/>
      <c r="L544" s="11"/>
      <c r="M544" s="19">
        <v>5</v>
      </c>
      <c r="O544" s="6"/>
      <c r="P544" s="16">
        <v>384</v>
      </c>
      <c r="Q544" s="16">
        <v>0</v>
      </c>
      <c r="R544" s="22"/>
      <c r="S544" s="22">
        <f t="shared" si="16"/>
        <v>0</v>
      </c>
      <c r="T544" s="5" t="s">
        <v>1210</v>
      </c>
      <c r="U544" s="5" t="s">
        <v>1210</v>
      </c>
      <c r="Y544" s="8"/>
      <c r="Z544" s="8"/>
      <c r="AA544" s="8"/>
      <c r="AB544" s="8"/>
      <c r="AC544" s="8"/>
      <c r="AD544" s="8"/>
      <c r="AE544" s="25"/>
      <c r="AF544" s="11"/>
      <c r="AG544" s="25"/>
      <c r="AH544" s="11"/>
      <c r="AI544" s="11">
        <v>9</v>
      </c>
      <c r="AJ544" s="19">
        <v>118</v>
      </c>
      <c r="AK544" s="12">
        <f>(AJ544+AI544)/30*7</f>
        <v>29.633333333333333</v>
      </c>
      <c r="AL544" s="6">
        <f>IF(AK544-C544&lt;0,0,AK544-C544)</f>
        <v>0</v>
      </c>
      <c r="AM544" s="6">
        <f>IF(AL544-R544-S544&lt;0,0,AL544-R544-S544)</f>
        <v>0</v>
      </c>
      <c r="AN544" s="5" t="str">
        <f t="shared" si="17"/>
        <v/>
      </c>
      <c r="AO544" s="5">
        <v>33</v>
      </c>
      <c r="AP544" s="9"/>
      <c r="AQ544" s="5" t="s">
        <v>1229</v>
      </c>
      <c r="AR544" s="5" t="s">
        <v>1210</v>
      </c>
      <c r="AS544" s="8"/>
      <c r="AT544" s="8"/>
      <c r="AU544" s="8"/>
      <c r="AV544" s="8"/>
      <c r="AW544" s="8"/>
      <c r="AX544" s="8"/>
      <c r="AY544" s="8"/>
      <c r="AZ544" s="8"/>
    </row>
    <row r="545" spans="1:52">
      <c r="A545" s="5" t="s">
        <v>656</v>
      </c>
      <c r="B545" s="5">
        <v>1629</v>
      </c>
      <c r="C545" s="19">
        <v>641</v>
      </c>
      <c r="E545" s="14"/>
      <c r="F545" s="11"/>
      <c r="G545" s="11"/>
      <c r="H545" s="11"/>
      <c r="I545" s="11"/>
      <c r="J545" s="25"/>
      <c r="K545" s="11"/>
      <c r="L545" s="11"/>
      <c r="M545" s="19">
        <v>0</v>
      </c>
      <c r="O545" s="6"/>
      <c r="P545" s="16">
        <v>0</v>
      </c>
      <c r="Q545" s="16">
        <v>0</v>
      </c>
      <c r="R545" s="22"/>
      <c r="S545" s="22">
        <f t="shared" si="16"/>
        <v>0</v>
      </c>
      <c r="T545" s="5">
        <v>1455</v>
      </c>
      <c r="U545" s="5">
        <v>979</v>
      </c>
      <c r="Y545" s="8"/>
      <c r="Z545" s="8"/>
      <c r="AA545" s="8"/>
      <c r="AB545" s="8"/>
      <c r="AC545" s="8"/>
      <c r="AD545" s="8"/>
      <c r="AE545" s="25"/>
      <c r="AF545" s="11"/>
      <c r="AG545" s="25"/>
      <c r="AH545" s="11"/>
      <c r="AI545" s="11">
        <v>86</v>
      </c>
      <c r="AJ545" s="19">
        <v>15</v>
      </c>
      <c r="AK545" s="12">
        <f>(AJ545+AI545)/30*7</f>
        <v>23.566666666666666</v>
      </c>
      <c r="AL545" s="6">
        <f>IF(AK545-C545&lt;0,0,AK545-C545)</f>
        <v>0</v>
      </c>
      <c r="AM545" s="6">
        <f>IF(AL545-R545-S545&lt;0,0,AL545-R545-S545)</f>
        <v>0</v>
      </c>
      <c r="AN545" s="5" t="str">
        <f t="shared" si="17"/>
        <v/>
      </c>
      <c r="AO545" s="5">
        <v>0</v>
      </c>
      <c r="AP545" s="9"/>
      <c r="AQ545" s="5" t="s">
        <v>1210</v>
      </c>
      <c r="AR545" s="5" t="s">
        <v>1210</v>
      </c>
      <c r="AS545" s="8"/>
      <c r="AT545" s="8"/>
      <c r="AU545" s="8"/>
      <c r="AV545" s="8"/>
      <c r="AW545" s="8"/>
      <c r="AX545" s="8"/>
      <c r="AY545" s="8"/>
      <c r="AZ545" s="8"/>
    </row>
    <row r="546" spans="1:52">
      <c r="A546" s="5" t="s">
        <v>48</v>
      </c>
      <c r="B546" s="5">
        <v>1012</v>
      </c>
      <c r="C546" s="19">
        <v>773</v>
      </c>
      <c r="E546" s="14"/>
      <c r="F546" s="11"/>
      <c r="G546" s="11"/>
      <c r="H546" s="11"/>
      <c r="I546" s="11"/>
      <c r="J546" s="25"/>
      <c r="K546" s="11"/>
      <c r="L546" s="11"/>
      <c r="M546" s="19">
        <v>0</v>
      </c>
      <c r="O546" s="6"/>
      <c r="P546" s="16">
        <v>457</v>
      </c>
      <c r="Q546" s="16">
        <v>0</v>
      </c>
      <c r="R546" s="22"/>
      <c r="S546" s="22">
        <f t="shared" si="16"/>
        <v>0</v>
      </c>
      <c r="U546" s="5" t="s">
        <v>1210</v>
      </c>
      <c r="Y546" s="8"/>
      <c r="Z546" s="8"/>
      <c r="AA546" s="8"/>
      <c r="AB546" s="8"/>
      <c r="AC546" s="8"/>
      <c r="AD546" s="8"/>
      <c r="AE546" s="25"/>
      <c r="AF546" s="11"/>
      <c r="AG546" s="25"/>
      <c r="AH546" s="11"/>
      <c r="AI546" s="11">
        <v>81</v>
      </c>
      <c r="AJ546" s="19">
        <v>101</v>
      </c>
      <c r="AK546" s="12">
        <f>(AJ546+AI546)/30*7</f>
        <v>42.466666666666669</v>
      </c>
      <c r="AL546" s="6">
        <f>IF(AK546-C546&lt;0,0,AK546-C546)</f>
        <v>0</v>
      </c>
      <c r="AM546" s="6">
        <f>IF(AL546-R546-S546&lt;0,0,AL546-R546-S546)</f>
        <v>0</v>
      </c>
      <c r="AN546" s="5" t="str">
        <f t="shared" si="17"/>
        <v/>
      </c>
      <c r="AO546" s="5">
        <v>0</v>
      </c>
      <c r="AP546" s="9"/>
      <c r="AQ546" s="5" t="s">
        <v>1210</v>
      </c>
      <c r="AR546" s="5" t="s">
        <v>1210</v>
      </c>
      <c r="AS546" s="8"/>
      <c r="AT546" s="8"/>
      <c r="AU546" s="8"/>
      <c r="AV546" s="8"/>
      <c r="AW546" s="8"/>
      <c r="AX546" s="8"/>
      <c r="AY546" s="8"/>
      <c r="AZ546" s="8"/>
    </row>
    <row r="547" spans="1:52">
      <c r="A547" s="5" t="s">
        <v>1046</v>
      </c>
      <c r="B547" s="5">
        <v>990</v>
      </c>
      <c r="C547" s="19">
        <v>461</v>
      </c>
      <c r="E547" s="14"/>
      <c r="F547" s="11"/>
      <c r="G547" s="11"/>
      <c r="H547" s="11"/>
      <c r="I547" s="11"/>
      <c r="J547" s="25"/>
      <c r="K547" s="11"/>
      <c r="L547" s="11"/>
      <c r="M547" s="19">
        <v>0</v>
      </c>
      <c r="O547" s="6"/>
      <c r="P547" s="16">
        <v>0</v>
      </c>
      <c r="Q547" s="16">
        <v>0</v>
      </c>
      <c r="R547" s="22"/>
      <c r="S547" s="22">
        <f t="shared" si="16"/>
        <v>0</v>
      </c>
      <c r="T547" s="5" t="s">
        <v>1210</v>
      </c>
      <c r="U547" s="5" t="s">
        <v>1210</v>
      </c>
      <c r="Y547" s="8"/>
      <c r="Z547" s="8"/>
      <c r="AA547" s="8"/>
      <c r="AB547" s="8"/>
      <c r="AC547" s="8"/>
      <c r="AD547" s="8"/>
      <c r="AE547" s="25"/>
      <c r="AF547" s="11"/>
      <c r="AG547" s="25"/>
      <c r="AH547" s="11"/>
      <c r="AI547" s="11">
        <v>96</v>
      </c>
      <c r="AJ547" s="19">
        <v>0</v>
      </c>
      <c r="AK547" s="12">
        <f>(AJ547+AI547)/30*7</f>
        <v>22.400000000000002</v>
      </c>
      <c r="AL547" s="6">
        <f>IF(AK547-C547&lt;0,0,AK547-C547)</f>
        <v>0</v>
      </c>
      <c r="AM547" s="6">
        <f>IF(AL547-R547-S547&lt;0,0,AL547-R547-S547)</f>
        <v>0</v>
      </c>
      <c r="AN547" s="5" t="str">
        <f t="shared" si="17"/>
        <v/>
      </c>
      <c r="AO547" s="5">
        <v>0</v>
      </c>
      <c r="AP547" s="9"/>
      <c r="AQ547" s="5" t="s">
        <v>1210</v>
      </c>
      <c r="AR547" s="5" t="s">
        <v>1210</v>
      </c>
      <c r="AS547" s="8"/>
      <c r="AT547" s="8"/>
      <c r="AU547" s="8"/>
      <c r="AV547" s="8"/>
      <c r="AW547" s="8"/>
      <c r="AX547" s="8"/>
      <c r="AY547" s="8"/>
      <c r="AZ547" s="8"/>
    </row>
    <row r="548" spans="1:52">
      <c r="A548" s="5" t="s">
        <v>327</v>
      </c>
      <c r="B548" s="5">
        <v>1774</v>
      </c>
      <c r="C548" s="19">
        <v>927</v>
      </c>
      <c r="E548" s="14"/>
      <c r="F548" s="11"/>
      <c r="G548" s="11"/>
      <c r="H548" s="11"/>
      <c r="I548" s="11"/>
      <c r="J548" s="25"/>
      <c r="K548" s="11"/>
      <c r="L548" s="11"/>
      <c r="M548" s="19">
        <v>0</v>
      </c>
      <c r="O548" s="6"/>
      <c r="P548" s="16">
        <v>473</v>
      </c>
      <c r="Q548" s="16">
        <v>0</v>
      </c>
      <c r="R548" s="22"/>
      <c r="S548" s="22">
        <f t="shared" si="16"/>
        <v>0</v>
      </c>
      <c r="T548" s="5" t="s">
        <v>1210</v>
      </c>
      <c r="U548" s="5" t="s">
        <v>1210</v>
      </c>
      <c r="Y548" s="8"/>
      <c r="Z548" s="8"/>
      <c r="AA548" s="8"/>
      <c r="AB548" s="8"/>
      <c r="AC548" s="8"/>
      <c r="AD548" s="8"/>
      <c r="AE548" s="25"/>
      <c r="AF548" s="11"/>
      <c r="AG548" s="25"/>
      <c r="AH548" s="11"/>
      <c r="AI548" s="11">
        <v>98</v>
      </c>
      <c r="AJ548" s="19">
        <v>6</v>
      </c>
      <c r="AK548" s="12">
        <f>(AJ548+AI548)/30*7</f>
        <v>24.266666666666666</v>
      </c>
      <c r="AL548" s="6">
        <f>IF(AK548-C548&lt;0,0,AK548-C548)</f>
        <v>0</v>
      </c>
      <c r="AM548" s="6">
        <f>IF(AL548-R548-S548&lt;0,0,AL548-R548-S548)</f>
        <v>0</v>
      </c>
      <c r="AN548" s="5" t="str">
        <f t="shared" si="17"/>
        <v/>
      </c>
      <c r="AO548" s="5">
        <v>0</v>
      </c>
      <c r="AP548" s="9"/>
      <c r="AQ548" s="5" t="s">
        <v>1210</v>
      </c>
      <c r="AR548" s="5" t="s">
        <v>1210</v>
      </c>
      <c r="AS548" s="8"/>
      <c r="AT548" s="8"/>
      <c r="AU548" s="8"/>
      <c r="AV548" s="8"/>
      <c r="AW548" s="8"/>
      <c r="AX548" s="8"/>
      <c r="AY548" s="8"/>
      <c r="AZ548" s="8"/>
    </row>
    <row r="549" spans="1:52">
      <c r="A549" s="5" t="s">
        <v>859</v>
      </c>
      <c r="B549" s="5">
        <v>2221</v>
      </c>
      <c r="C549" s="19">
        <v>978</v>
      </c>
      <c r="E549" s="14"/>
      <c r="F549" s="11"/>
      <c r="G549" s="11"/>
      <c r="H549" s="11"/>
      <c r="I549" s="11"/>
      <c r="J549" s="25"/>
      <c r="K549" s="11"/>
      <c r="L549" s="11"/>
      <c r="M549" s="19">
        <v>0</v>
      </c>
      <c r="O549" s="6"/>
      <c r="P549" s="16">
        <v>363</v>
      </c>
      <c r="Q549" s="16">
        <v>0</v>
      </c>
      <c r="R549" s="22"/>
      <c r="S549" s="22">
        <f t="shared" si="16"/>
        <v>0</v>
      </c>
      <c r="T549" s="5" t="s">
        <v>1210</v>
      </c>
      <c r="U549" s="5" t="s">
        <v>1210</v>
      </c>
      <c r="Y549" s="8"/>
      <c r="Z549" s="8"/>
      <c r="AA549" s="8"/>
      <c r="AB549" s="8"/>
      <c r="AC549" s="8"/>
      <c r="AD549" s="8"/>
      <c r="AE549" s="25"/>
      <c r="AF549" s="11"/>
      <c r="AG549" s="25"/>
      <c r="AH549" s="11"/>
      <c r="AI549" s="11">
        <v>99</v>
      </c>
      <c r="AJ549" s="19">
        <v>0</v>
      </c>
      <c r="AK549" s="12">
        <f>(AJ549+AI549)/30*7</f>
        <v>23.099999999999998</v>
      </c>
      <c r="AL549" s="6">
        <f>IF(AK549-C549&lt;0,0,AK549-C549)</f>
        <v>0</v>
      </c>
      <c r="AM549" s="6">
        <f>IF(AL549-R549-S549&lt;0,0,AL549-R549-S549)</f>
        <v>0</v>
      </c>
      <c r="AN549" s="5" t="str">
        <f t="shared" si="17"/>
        <v/>
      </c>
      <c r="AO549" s="5">
        <v>0</v>
      </c>
      <c r="AP549" s="9"/>
      <c r="AQ549" s="5" t="s">
        <v>1210</v>
      </c>
      <c r="AR549" s="5" t="s">
        <v>1210</v>
      </c>
      <c r="AS549" s="8"/>
      <c r="AT549" s="8"/>
      <c r="AU549" s="8"/>
      <c r="AV549" s="8"/>
      <c r="AW549" s="8"/>
      <c r="AX549" s="8"/>
      <c r="AY549" s="8"/>
      <c r="AZ549" s="8"/>
    </row>
    <row r="550" spans="1:52">
      <c r="A550" s="5" t="s">
        <v>82</v>
      </c>
      <c r="B550" s="5">
        <v>1649</v>
      </c>
      <c r="C550" s="19">
        <v>475</v>
      </c>
      <c r="E550" s="14"/>
      <c r="F550" s="11"/>
      <c r="G550" s="11"/>
      <c r="H550" s="11"/>
      <c r="I550" s="11"/>
      <c r="J550" s="25"/>
      <c r="K550" s="11"/>
      <c r="L550" s="11"/>
      <c r="M550" s="19">
        <v>5</v>
      </c>
      <c r="O550" s="6"/>
      <c r="P550" s="16">
        <v>217</v>
      </c>
      <c r="Q550" s="16">
        <v>0</v>
      </c>
      <c r="R550" s="22"/>
      <c r="S550" s="22">
        <f t="shared" si="16"/>
        <v>0</v>
      </c>
      <c r="T550" s="5" t="s">
        <v>1210</v>
      </c>
      <c r="U550" s="5" t="s">
        <v>1210</v>
      </c>
      <c r="Y550" s="8"/>
      <c r="Z550" s="8"/>
      <c r="AA550" s="8"/>
      <c r="AB550" s="8"/>
      <c r="AC550" s="8"/>
      <c r="AD550" s="8"/>
      <c r="AE550" s="25"/>
      <c r="AF550" s="11"/>
      <c r="AG550" s="25"/>
      <c r="AH550" s="11"/>
      <c r="AI550" s="11">
        <v>45</v>
      </c>
      <c r="AJ550" s="19">
        <v>101</v>
      </c>
      <c r="AK550" s="12">
        <f>(AJ550+AI550)/30*7</f>
        <v>34.066666666666663</v>
      </c>
      <c r="AL550" s="6">
        <f>IF(AK550-C550&lt;0,0,AK550-C550)</f>
        <v>0</v>
      </c>
      <c r="AM550" s="6">
        <f>IF(AL550-R550-S550&lt;0,0,AL550-R550-S550)</f>
        <v>0</v>
      </c>
      <c r="AN550" s="5" t="str">
        <f t="shared" si="17"/>
        <v/>
      </c>
      <c r="AO550" s="5">
        <v>0</v>
      </c>
      <c r="AP550" s="9"/>
      <c r="AQ550" s="5" t="s">
        <v>1229</v>
      </c>
      <c r="AR550" s="5" t="s">
        <v>1210</v>
      </c>
      <c r="AS550" s="8"/>
      <c r="AT550" s="8"/>
      <c r="AU550" s="8"/>
      <c r="AV550" s="8"/>
      <c r="AW550" s="8"/>
      <c r="AX550" s="8"/>
      <c r="AY550" s="8"/>
      <c r="AZ550" s="8"/>
    </row>
    <row r="551" spans="1:52">
      <c r="A551" s="5" t="s">
        <v>162</v>
      </c>
      <c r="B551" s="5">
        <v>1178</v>
      </c>
      <c r="C551" s="19">
        <v>402</v>
      </c>
      <c r="E551" s="14"/>
      <c r="F551" s="11"/>
      <c r="G551" s="11"/>
      <c r="H551" s="11"/>
      <c r="I551" s="11"/>
      <c r="J551" s="25"/>
      <c r="K551" s="11"/>
      <c r="L551" s="11"/>
      <c r="M551" s="19">
        <v>9</v>
      </c>
      <c r="O551" s="6"/>
      <c r="P551" s="16">
        <v>592</v>
      </c>
      <c r="Q551" s="16">
        <v>667</v>
      </c>
      <c r="R551" s="22"/>
      <c r="S551" s="22">
        <f t="shared" si="16"/>
        <v>0</v>
      </c>
      <c r="T551" s="5" t="s">
        <v>1210</v>
      </c>
      <c r="U551" s="5" t="s">
        <v>1210</v>
      </c>
      <c r="Y551" s="8"/>
      <c r="Z551" s="8"/>
      <c r="AA551" s="8"/>
      <c r="AB551" s="8"/>
      <c r="AC551" s="8"/>
      <c r="AD551" s="8"/>
      <c r="AE551" s="25"/>
      <c r="AF551" s="11"/>
      <c r="AG551" s="25"/>
      <c r="AH551" s="11"/>
      <c r="AI551" s="11">
        <v>55</v>
      </c>
      <c r="AJ551" s="19">
        <v>69</v>
      </c>
      <c r="AK551" s="12">
        <f>(AJ551+AI551)/30*7</f>
        <v>28.933333333333337</v>
      </c>
      <c r="AL551" s="6">
        <f>IF(AK551-C551&lt;0,0,AK551-C551)</f>
        <v>0</v>
      </c>
      <c r="AM551" s="6">
        <f>IF(AL551-R551-S551&lt;0,0,AL551-R551-S551)</f>
        <v>0</v>
      </c>
      <c r="AN551" s="5" t="str">
        <f t="shared" si="17"/>
        <v/>
      </c>
      <c r="AO551" s="5">
        <v>0</v>
      </c>
      <c r="AP551" s="9"/>
      <c r="AQ551" s="5" t="s">
        <v>1210</v>
      </c>
      <c r="AR551" s="5" t="s">
        <v>1210</v>
      </c>
      <c r="AS551" s="8"/>
      <c r="AT551" s="8"/>
      <c r="AU551" s="8"/>
      <c r="AV551" s="8"/>
      <c r="AW551" s="8"/>
      <c r="AX551" s="8"/>
      <c r="AY551" s="8"/>
      <c r="AZ551" s="8"/>
    </row>
    <row r="552" spans="1:52">
      <c r="A552" s="5" t="s">
        <v>331</v>
      </c>
      <c r="B552" s="5">
        <v>617</v>
      </c>
      <c r="C552" s="19">
        <v>969</v>
      </c>
      <c r="E552" s="14"/>
      <c r="F552" s="11"/>
      <c r="G552" s="11"/>
      <c r="H552" s="11"/>
      <c r="I552" s="11"/>
      <c r="J552" s="25"/>
      <c r="K552" s="11"/>
      <c r="L552" s="11"/>
      <c r="M552" s="19">
        <v>0</v>
      </c>
      <c r="O552" s="6"/>
      <c r="P552" s="16">
        <v>808</v>
      </c>
      <c r="Q552" s="16">
        <v>279</v>
      </c>
      <c r="R552" s="22"/>
      <c r="S552" s="22">
        <f t="shared" si="16"/>
        <v>0</v>
      </c>
      <c r="T552" s="5" t="s">
        <v>1210</v>
      </c>
      <c r="U552" s="5" t="s">
        <v>1210</v>
      </c>
      <c r="Y552" s="8"/>
      <c r="Z552" s="8"/>
      <c r="AA552" s="8"/>
      <c r="AB552" s="8"/>
      <c r="AC552" s="8"/>
      <c r="AD552" s="8"/>
      <c r="AE552" s="25"/>
      <c r="AF552" s="11"/>
      <c r="AG552" s="25"/>
      <c r="AH552" s="11"/>
      <c r="AI552" s="11">
        <v>94</v>
      </c>
      <c r="AJ552" s="19">
        <v>4</v>
      </c>
      <c r="AK552" s="12">
        <f>(AJ552+AI552)/30*7</f>
        <v>22.866666666666667</v>
      </c>
      <c r="AL552" s="6">
        <f>IF(AK552-C552&lt;0,0,AK552-C552)</f>
        <v>0</v>
      </c>
      <c r="AM552" s="6">
        <f>IF(AL552-R552-S552&lt;0,0,AL552-R552-S552)</f>
        <v>0</v>
      </c>
      <c r="AN552" s="5" t="str">
        <f t="shared" si="17"/>
        <v/>
      </c>
      <c r="AO552" s="5">
        <v>0</v>
      </c>
      <c r="AP552" s="9"/>
      <c r="AQ552" s="5" t="s">
        <v>1210</v>
      </c>
      <c r="AR552" s="5" t="s">
        <v>1230</v>
      </c>
      <c r="AS552" s="8"/>
      <c r="AT552" s="8"/>
      <c r="AU552" s="8"/>
      <c r="AV552" s="8"/>
      <c r="AW552" s="8"/>
      <c r="AX552" s="8"/>
      <c r="AY552" s="8"/>
      <c r="AZ552" s="8"/>
    </row>
    <row r="553" spans="1:52">
      <c r="A553" s="5" t="s">
        <v>218</v>
      </c>
      <c r="B553" s="5">
        <v>884</v>
      </c>
      <c r="C553" s="19">
        <v>311</v>
      </c>
      <c r="E553" s="14"/>
      <c r="F553" s="11"/>
      <c r="G553" s="11"/>
      <c r="H553" s="11"/>
      <c r="I553" s="11"/>
      <c r="J553" s="25"/>
      <c r="K553" s="11"/>
      <c r="L553" s="11"/>
      <c r="M553" s="19">
        <v>0</v>
      </c>
      <c r="O553" s="6"/>
      <c r="P553" s="16">
        <v>790</v>
      </c>
      <c r="Q553" s="16">
        <v>326</v>
      </c>
      <c r="R553" s="22"/>
      <c r="S553" s="22">
        <f t="shared" si="16"/>
        <v>0</v>
      </c>
      <c r="U553" s="5" t="s">
        <v>1210</v>
      </c>
      <c r="Y553" s="8"/>
      <c r="Z553" s="8"/>
      <c r="AA553" s="8"/>
      <c r="AB553" s="8"/>
      <c r="AC553" s="8"/>
      <c r="AD553" s="8"/>
      <c r="AE553" s="25"/>
      <c r="AF553" s="11"/>
      <c r="AG553" s="25"/>
      <c r="AH553" s="11"/>
      <c r="AI553" s="11">
        <v>77</v>
      </c>
      <c r="AJ553" s="19">
        <v>68</v>
      </c>
      <c r="AK553" s="12">
        <f>(AJ553+AI553)/30*7</f>
        <v>33.833333333333329</v>
      </c>
      <c r="AL553" s="6">
        <f>IF(AK553-C553&lt;0,0,AK553-C553)</f>
        <v>0</v>
      </c>
      <c r="AM553" s="6">
        <f>IF(AL553-R553-S553&lt;0,0,AL553-R553-S553)</f>
        <v>0</v>
      </c>
      <c r="AN553" s="5" t="str">
        <f t="shared" si="17"/>
        <v/>
      </c>
      <c r="AO553" s="5">
        <v>0</v>
      </c>
      <c r="AP553" s="9"/>
      <c r="AQ553" s="5" t="s">
        <v>1210</v>
      </c>
      <c r="AR553" s="5" t="s">
        <v>1210</v>
      </c>
      <c r="AS553" s="8"/>
      <c r="AT553" s="8"/>
      <c r="AU553" s="8"/>
      <c r="AV553" s="8"/>
      <c r="AW553" s="8"/>
      <c r="AX553" s="8"/>
      <c r="AY553" s="8"/>
      <c r="AZ553" s="8"/>
    </row>
    <row r="554" spans="1:52">
      <c r="A554" s="5" t="s">
        <v>84</v>
      </c>
      <c r="B554" s="5">
        <v>1171</v>
      </c>
      <c r="C554" s="19">
        <v>208</v>
      </c>
      <c r="E554" s="14"/>
      <c r="F554" s="11"/>
      <c r="G554" s="11"/>
      <c r="H554" s="11"/>
      <c r="I554" s="11"/>
      <c r="J554" s="25"/>
      <c r="K554" s="11"/>
      <c r="L554" s="11"/>
      <c r="M554" s="19">
        <v>4</v>
      </c>
      <c r="O554" s="6"/>
      <c r="P554" s="16">
        <v>609</v>
      </c>
      <c r="Q554" s="16">
        <v>0</v>
      </c>
      <c r="R554" s="22"/>
      <c r="S554" s="22">
        <f t="shared" si="16"/>
        <v>0</v>
      </c>
      <c r="T554" s="5" t="s">
        <v>1210</v>
      </c>
      <c r="U554" s="5" t="s">
        <v>1210</v>
      </c>
      <c r="Y554" s="8"/>
      <c r="Z554" s="8"/>
      <c r="AA554" s="8"/>
      <c r="AB554" s="8"/>
      <c r="AC554" s="8"/>
      <c r="AD554" s="8"/>
      <c r="AE554" s="25"/>
      <c r="AF554" s="11"/>
      <c r="AG554" s="25"/>
      <c r="AH554" s="11"/>
      <c r="AI554" s="11">
        <v>10</v>
      </c>
      <c r="AJ554" s="19">
        <v>92</v>
      </c>
      <c r="AK554" s="12">
        <f>(AJ554+AI554)/30*7</f>
        <v>23.8</v>
      </c>
      <c r="AL554" s="6">
        <f>IF(AK554-C554&lt;0,0,AK554-C554)</f>
        <v>0</v>
      </c>
      <c r="AM554" s="6">
        <f>IF(AL554-R554-S554&lt;0,0,AL554-R554-S554)</f>
        <v>0</v>
      </c>
      <c r="AN554" s="5" t="str">
        <f t="shared" si="17"/>
        <v/>
      </c>
      <c r="AO554" s="5">
        <v>0</v>
      </c>
      <c r="AP554" s="9"/>
      <c r="AQ554" s="5" t="s">
        <v>1229</v>
      </c>
      <c r="AR554" s="5" t="s">
        <v>1210</v>
      </c>
      <c r="AS554" s="8"/>
      <c r="AT554" s="8"/>
      <c r="AU554" s="8"/>
      <c r="AV554" s="8"/>
      <c r="AW554" s="8"/>
      <c r="AX554" s="8"/>
      <c r="AY554" s="8"/>
      <c r="AZ554" s="8"/>
    </row>
    <row r="555" spans="1:52">
      <c r="A555" s="5" t="s">
        <v>18</v>
      </c>
      <c r="B555" s="5">
        <v>1423</v>
      </c>
      <c r="C555" s="19">
        <v>706</v>
      </c>
      <c r="E555" s="14"/>
      <c r="F555" s="11"/>
      <c r="G555" s="11"/>
      <c r="H555" s="11"/>
      <c r="I555" s="11"/>
      <c r="J555" s="25"/>
      <c r="K555" s="11"/>
      <c r="L555" s="11"/>
      <c r="M555" s="19">
        <v>0</v>
      </c>
      <c r="O555" s="6"/>
      <c r="P555" s="16">
        <v>345</v>
      </c>
      <c r="Q555" s="16">
        <v>0</v>
      </c>
      <c r="R555" s="22"/>
      <c r="S555" s="22">
        <f t="shared" si="16"/>
        <v>0</v>
      </c>
      <c r="T555" s="5" t="s">
        <v>1210</v>
      </c>
      <c r="U555" s="5" t="s">
        <v>1210</v>
      </c>
      <c r="Y555" s="8"/>
      <c r="Z555" s="8"/>
      <c r="AA555" s="8"/>
      <c r="AB555" s="8"/>
      <c r="AC555" s="8"/>
      <c r="AD555" s="8"/>
      <c r="AE555" s="25"/>
      <c r="AF555" s="11"/>
      <c r="AG555" s="25"/>
      <c r="AH555" s="11"/>
      <c r="AI555" s="11">
        <v>26</v>
      </c>
      <c r="AJ555" s="19">
        <v>140</v>
      </c>
      <c r="AK555" s="12">
        <f>(AJ555+AI555)/30*7</f>
        <v>38.733333333333334</v>
      </c>
      <c r="AL555" s="6">
        <f>IF(AK555-C555&lt;0,0,AK555-C555)</f>
        <v>0</v>
      </c>
      <c r="AM555" s="6">
        <f>IF(AL555-R555-S555&lt;0,0,AL555-R555-S555)</f>
        <v>0</v>
      </c>
      <c r="AN555" s="5" t="str">
        <f t="shared" si="17"/>
        <v/>
      </c>
      <c r="AO555" s="5">
        <v>0</v>
      </c>
      <c r="AP555" s="9"/>
      <c r="AQ555" s="5" t="s">
        <v>1229</v>
      </c>
      <c r="AR555" s="5" t="s">
        <v>1210</v>
      </c>
      <c r="AS555" s="8"/>
      <c r="AT555" s="8"/>
      <c r="AU555" s="8"/>
      <c r="AV555" s="8"/>
      <c r="AW555" s="8"/>
      <c r="AX555" s="8"/>
      <c r="AY555" s="8"/>
      <c r="AZ555" s="8"/>
    </row>
    <row r="556" spans="1:52">
      <c r="A556" s="5" t="s">
        <v>7</v>
      </c>
      <c r="B556" s="5">
        <v>1719</v>
      </c>
      <c r="C556" s="19">
        <v>524</v>
      </c>
      <c r="E556" s="14"/>
      <c r="F556" s="11"/>
      <c r="G556" s="11"/>
      <c r="H556" s="11"/>
      <c r="I556" s="11"/>
      <c r="J556" s="25"/>
      <c r="K556" s="11"/>
      <c r="L556" s="11"/>
      <c r="M556" s="19">
        <v>6</v>
      </c>
      <c r="O556" s="6"/>
      <c r="P556" s="16">
        <v>916</v>
      </c>
      <c r="Q556" s="16">
        <v>623</v>
      </c>
      <c r="R556" s="22"/>
      <c r="S556" s="22">
        <f t="shared" si="16"/>
        <v>0</v>
      </c>
      <c r="T556" s="5" t="s">
        <v>1210</v>
      </c>
      <c r="U556" s="5" t="s">
        <v>1210</v>
      </c>
      <c r="Y556" s="8"/>
      <c r="Z556" s="8"/>
      <c r="AA556" s="8"/>
      <c r="AB556" s="8"/>
      <c r="AC556" s="8"/>
      <c r="AD556" s="8"/>
      <c r="AE556" s="25"/>
      <c r="AF556" s="11"/>
      <c r="AG556" s="25"/>
      <c r="AH556" s="11"/>
      <c r="AI556" s="11">
        <v>52</v>
      </c>
      <c r="AJ556" s="19">
        <v>131</v>
      </c>
      <c r="AK556" s="12">
        <f>(AJ556+AI556)/30*7</f>
        <v>42.699999999999996</v>
      </c>
      <c r="AL556" s="6">
        <f>IF(AK556-C556&lt;0,0,AK556-C556)</f>
        <v>0</v>
      </c>
      <c r="AM556" s="6">
        <f>IF(AL556-R556-S556&lt;0,0,AL556-R556-S556)</f>
        <v>0</v>
      </c>
      <c r="AN556" s="5" t="str">
        <f t="shared" si="17"/>
        <v/>
      </c>
      <c r="AO556" s="5">
        <v>0</v>
      </c>
      <c r="AP556" s="9"/>
      <c r="AQ556" s="5" t="s">
        <v>1229</v>
      </c>
      <c r="AR556" s="5" t="s">
        <v>1210</v>
      </c>
      <c r="AS556" s="8"/>
      <c r="AT556" s="8"/>
      <c r="AU556" s="8"/>
      <c r="AV556" s="8"/>
      <c r="AW556" s="8"/>
      <c r="AX556" s="8"/>
      <c r="AY556" s="8"/>
      <c r="AZ556" s="8"/>
    </row>
    <row r="557" spans="1:52">
      <c r="A557" s="5" t="s">
        <v>673</v>
      </c>
      <c r="B557" s="5">
        <v>751</v>
      </c>
      <c r="C557" s="19">
        <v>319</v>
      </c>
      <c r="E557" s="14"/>
      <c r="F557" s="11"/>
      <c r="G557" s="11"/>
      <c r="H557" s="11"/>
      <c r="I557" s="11"/>
      <c r="J557" s="25"/>
      <c r="K557" s="11"/>
      <c r="L557" s="11"/>
      <c r="M557" s="19">
        <v>0</v>
      </c>
      <c r="O557" s="6"/>
      <c r="P557" s="16">
        <v>689</v>
      </c>
      <c r="Q557" s="16">
        <v>0</v>
      </c>
      <c r="R557" s="22"/>
      <c r="S557" s="22">
        <f t="shared" si="16"/>
        <v>0</v>
      </c>
      <c r="T557" s="5" t="s">
        <v>1210</v>
      </c>
      <c r="U557" s="5" t="s">
        <v>1210</v>
      </c>
      <c r="Y557" s="8"/>
      <c r="Z557" s="8"/>
      <c r="AA557" s="8"/>
      <c r="AB557" s="8"/>
      <c r="AC557" s="8"/>
      <c r="AD557" s="8"/>
      <c r="AE557" s="25"/>
      <c r="AF557" s="11"/>
      <c r="AG557" s="25"/>
      <c r="AH557" s="11"/>
      <c r="AI557" s="11">
        <v>97</v>
      </c>
      <c r="AJ557" s="19">
        <v>0</v>
      </c>
      <c r="AK557" s="12">
        <f>(AJ557+AI557)/30*7</f>
        <v>22.633333333333333</v>
      </c>
      <c r="AL557" s="6">
        <f>IF(AK557-C557&lt;0,0,AK557-C557)</f>
        <v>0</v>
      </c>
      <c r="AM557" s="6">
        <f>IF(AL557-R557-S557&lt;0,0,AL557-R557-S557)</f>
        <v>0</v>
      </c>
      <c r="AN557" s="5" t="str">
        <f t="shared" si="17"/>
        <v/>
      </c>
      <c r="AO557" s="5">
        <v>0</v>
      </c>
      <c r="AP557" s="9"/>
      <c r="AQ557" s="5" t="s">
        <v>1210</v>
      </c>
      <c r="AR557" s="5" t="s">
        <v>1230</v>
      </c>
      <c r="AS557" s="8"/>
      <c r="AT557" s="8"/>
      <c r="AU557" s="8"/>
      <c r="AV557" s="8"/>
      <c r="AW557" s="8"/>
      <c r="AX557" s="8"/>
      <c r="AY557" s="8"/>
      <c r="AZ557" s="8"/>
    </row>
    <row r="558" spans="1:52">
      <c r="A558" s="5" t="s">
        <v>68</v>
      </c>
      <c r="B558" s="5">
        <v>1468</v>
      </c>
      <c r="C558" s="19">
        <v>593</v>
      </c>
      <c r="E558" s="14"/>
      <c r="F558" s="11"/>
      <c r="G558" s="11"/>
      <c r="H558" s="11"/>
      <c r="I558" s="11"/>
      <c r="J558" s="25"/>
      <c r="K558" s="11"/>
      <c r="L558" s="11"/>
      <c r="M558" s="19">
        <v>0</v>
      </c>
      <c r="O558" s="6"/>
      <c r="P558" s="16">
        <v>639</v>
      </c>
      <c r="Q558" s="16">
        <v>0</v>
      </c>
      <c r="R558" s="22"/>
      <c r="S558" s="22">
        <f t="shared" si="16"/>
        <v>0</v>
      </c>
      <c r="T558" s="5" t="s">
        <v>1210</v>
      </c>
      <c r="U558" s="5" t="s">
        <v>1210</v>
      </c>
      <c r="Y558" s="8"/>
      <c r="Z558" s="8"/>
      <c r="AA558" s="8"/>
      <c r="AB558" s="8"/>
      <c r="AC558" s="8"/>
      <c r="AD558" s="8"/>
      <c r="AE558" s="25"/>
      <c r="AF558" s="11"/>
      <c r="AG558" s="25"/>
      <c r="AH558" s="11"/>
      <c r="AI558" s="11">
        <v>22</v>
      </c>
      <c r="AJ558" s="19">
        <v>152</v>
      </c>
      <c r="AK558" s="12">
        <f>(AJ558+AI558)/30*7</f>
        <v>40.6</v>
      </c>
      <c r="AL558" s="6">
        <f>IF(AK558-C558&lt;0,0,AK558-C558)</f>
        <v>0</v>
      </c>
      <c r="AM558" s="6">
        <f>IF(AL558-R558-S558&lt;0,0,AL558-R558-S558)</f>
        <v>0</v>
      </c>
      <c r="AN558" s="5" t="str">
        <f t="shared" si="17"/>
        <v/>
      </c>
      <c r="AO558" s="5">
        <v>0</v>
      </c>
      <c r="AP558" s="9"/>
      <c r="AQ558" s="5" t="s">
        <v>1210</v>
      </c>
      <c r="AR558" s="5" t="s">
        <v>1210</v>
      </c>
      <c r="AS558" s="8"/>
      <c r="AT558" s="8"/>
      <c r="AU558" s="8"/>
      <c r="AV558" s="8"/>
      <c r="AW558" s="8"/>
      <c r="AX558" s="8"/>
      <c r="AY558" s="8"/>
      <c r="AZ558" s="8"/>
    </row>
    <row r="559" spans="1:52">
      <c r="A559" s="5" t="s">
        <v>32</v>
      </c>
      <c r="B559" s="5">
        <v>1086</v>
      </c>
      <c r="C559" s="19">
        <v>948</v>
      </c>
      <c r="E559" s="14"/>
      <c r="F559" s="11"/>
      <c r="G559" s="11"/>
      <c r="H559" s="11"/>
      <c r="I559" s="11"/>
      <c r="J559" s="25"/>
      <c r="K559" s="11"/>
      <c r="L559" s="11"/>
      <c r="M559" s="19">
        <v>7</v>
      </c>
      <c r="O559" s="6"/>
      <c r="P559" s="16">
        <v>579</v>
      </c>
      <c r="Q559" s="16">
        <v>0</v>
      </c>
      <c r="R559" s="22"/>
      <c r="S559" s="22">
        <f t="shared" si="16"/>
        <v>0</v>
      </c>
      <c r="T559" s="5" t="s">
        <v>1210</v>
      </c>
      <c r="U559" s="5" t="s">
        <v>1210</v>
      </c>
      <c r="Y559" s="8"/>
      <c r="Z559" s="8"/>
      <c r="AA559" s="8"/>
      <c r="AB559" s="8"/>
      <c r="AC559" s="8"/>
      <c r="AD559" s="8"/>
      <c r="AE559" s="25"/>
      <c r="AF559" s="11"/>
      <c r="AG559" s="25"/>
      <c r="AH559" s="11"/>
      <c r="AI559" s="11">
        <v>22</v>
      </c>
      <c r="AJ559" s="19">
        <v>143</v>
      </c>
      <c r="AK559" s="12">
        <f>(AJ559+AI559)/30*7</f>
        <v>38.5</v>
      </c>
      <c r="AL559" s="6">
        <f>IF(AK559-C559&lt;0,0,AK559-C559)</f>
        <v>0</v>
      </c>
      <c r="AM559" s="6">
        <f>IF(AL559-R559-S559&lt;0,0,AL559-R559-S559)</f>
        <v>0</v>
      </c>
      <c r="AN559" s="5" t="str">
        <f t="shared" si="17"/>
        <v/>
      </c>
      <c r="AO559" s="5">
        <v>0</v>
      </c>
      <c r="AP559" s="9"/>
      <c r="AQ559" s="5" t="s">
        <v>1229</v>
      </c>
      <c r="AR559" s="5" t="s">
        <v>1210</v>
      </c>
      <c r="AS559" s="8"/>
      <c r="AT559" s="8"/>
      <c r="AU559" s="8"/>
      <c r="AV559" s="8"/>
      <c r="AW559" s="8"/>
      <c r="AX559" s="8"/>
      <c r="AY559" s="8"/>
      <c r="AZ559" s="8"/>
    </row>
    <row r="560" spans="1:52">
      <c r="A560" s="5" t="s">
        <v>93</v>
      </c>
      <c r="B560" s="5">
        <v>1041</v>
      </c>
      <c r="C560" s="19">
        <v>854</v>
      </c>
      <c r="E560" s="14"/>
      <c r="F560" s="11"/>
      <c r="G560" s="11"/>
      <c r="H560" s="11"/>
      <c r="I560" s="11"/>
      <c r="J560" s="25"/>
      <c r="K560" s="11"/>
      <c r="L560" s="11"/>
      <c r="M560" s="19">
        <v>0</v>
      </c>
      <c r="O560" s="6"/>
      <c r="P560" s="16">
        <v>418</v>
      </c>
      <c r="Q560" s="16">
        <v>0</v>
      </c>
      <c r="R560" s="22"/>
      <c r="S560" s="22">
        <f t="shared" si="16"/>
        <v>0</v>
      </c>
      <c r="T560" s="5" t="s">
        <v>1210</v>
      </c>
      <c r="U560" s="5" t="s">
        <v>1210</v>
      </c>
      <c r="Y560" s="8"/>
      <c r="Z560" s="8"/>
      <c r="AA560" s="8"/>
      <c r="AB560" s="8"/>
      <c r="AC560" s="8"/>
      <c r="AD560" s="8"/>
      <c r="AE560" s="25"/>
      <c r="AF560" s="11"/>
      <c r="AG560" s="25"/>
      <c r="AH560" s="11"/>
      <c r="AI560" s="11">
        <v>41</v>
      </c>
      <c r="AJ560" s="19">
        <v>98</v>
      </c>
      <c r="AK560" s="12">
        <f>(AJ560+AI560)/30*7</f>
        <v>32.433333333333337</v>
      </c>
      <c r="AL560" s="6">
        <f>IF(AK560-C560&lt;0,0,AK560-C560)</f>
        <v>0</v>
      </c>
      <c r="AM560" s="6">
        <f>IF(AL560-R560-S560&lt;0,0,AL560-R560-S560)</f>
        <v>0</v>
      </c>
      <c r="AN560" s="5" t="str">
        <f t="shared" si="17"/>
        <v/>
      </c>
      <c r="AO560" s="5">
        <v>0</v>
      </c>
      <c r="AP560" s="9"/>
      <c r="AQ560" s="5" t="s">
        <v>1210</v>
      </c>
      <c r="AR560" s="5" t="s">
        <v>1210</v>
      </c>
      <c r="AS560" s="8"/>
      <c r="AT560" s="8"/>
      <c r="AU560" s="8"/>
      <c r="AV560" s="8"/>
      <c r="AW560" s="8"/>
      <c r="AX560" s="8"/>
      <c r="AY560" s="8"/>
      <c r="AZ560" s="8"/>
    </row>
    <row r="561" spans="1:52">
      <c r="A561" s="5" t="s">
        <v>222</v>
      </c>
      <c r="B561" s="5">
        <v>369</v>
      </c>
      <c r="C561" s="19">
        <v>988</v>
      </c>
      <c r="E561" s="14"/>
      <c r="F561" s="11"/>
      <c r="G561" s="11"/>
      <c r="H561" s="11"/>
      <c r="I561" s="11"/>
      <c r="J561" s="25"/>
      <c r="K561" s="11"/>
      <c r="L561" s="11"/>
      <c r="M561" s="19">
        <v>0</v>
      </c>
      <c r="O561" s="6"/>
      <c r="P561" s="16">
        <v>647</v>
      </c>
      <c r="Q561" s="16">
        <v>311</v>
      </c>
      <c r="R561" s="22"/>
      <c r="S561" s="22">
        <f t="shared" si="16"/>
        <v>0</v>
      </c>
      <c r="T561" s="5" t="s">
        <v>1210</v>
      </c>
      <c r="U561" s="5" t="s">
        <v>1210</v>
      </c>
      <c r="Y561" s="8"/>
      <c r="Z561" s="8"/>
      <c r="AA561" s="8"/>
      <c r="AB561" s="8"/>
      <c r="AC561" s="8"/>
      <c r="AD561" s="8"/>
      <c r="AE561" s="25"/>
      <c r="AF561" s="11"/>
      <c r="AG561" s="25"/>
      <c r="AH561" s="11"/>
      <c r="AI561" s="11">
        <v>61</v>
      </c>
      <c r="AJ561" s="19">
        <v>35</v>
      </c>
      <c r="AK561" s="12">
        <f>(AJ561+AI561)/30*7</f>
        <v>22.400000000000002</v>
      </c>
      <c r="AL561" s="6">
        <f>IF(AK561-C561&lt;0,0,AK561-C561)</f>
        <v>0</v>
      </c>
      <c r="AM561" s="6">
        <f>IF(AL561-R561-S561&lt;0,0,AL561-R561-S561)</f>
        <v>0</v>
      </c>
      <c r="AN561" s="5" t="str">
        <f t="shared" si="17"/>
        <v/>
      </c>
      <c r="AO561" s="5">
        <v>4</v>
      </c>
      <c r="AP561" s="9"/>
      <c r="AQ561" s="5" t="s">
        <v>1210</v>
      </c>
      <c r="AR561" s="5" t="s">
        <v>1230</v>
      </c>
      <c r="AS561" s="8"/>
      <c r="AT561" s="8"/>
      <c r="AU561" s="8"/>
      <c r="AV561" s="8"/>
      <c r="AW561" s="8"/>
      <c r="AX561" s="8"/>
      <c r="AY561" s="8"/>
      <c r="AZ561" s="8"/>
    </row>
    <row r="562" spans="1:52">
      <c r="A562" s="5" t="s">
        <v>553</v>
      </c>
      <c r="B562" s="5">
        <v>1720</v>
      </c>
      <c r="C562" s="19">
        <v>876</v>
      </c>
      <c r="E562" s="14"/>
      <c r="F562" s="11"/>
      <c r="G562" s="11"/>
      <c r="H562" s="11"/>
      <c r="I562" s="11"/>
      <c r="J562" s="25"/>
      <c r="K562" s="11"/>
      <c r="L562" s="11"/>
      <c r="M562" s="19">
        <v>0</v>
      </c>
      <c r="O562" s="6"/>
      <c r="P562" s="16">
        <v>482</v>
      </c>
      <c r="Q562" s="16">
        <v>0</v>
      </c>
      <c r="R562" s="22"/>
      <c r="S562" s="22">
        <f t="shared" si="16"/>
        <v>0</v>
      </c>
      <c r="T562" s="5" t="s">
        <v>1210</v>
      </c>
      <c r="U562" s="5" t="s">
        <v>1210</v>
      </c>
      <c r="Y562" s="8"/>
      <c r="Z562" s="8"/>
      <c r="AA562" s="8"/>
      <c r="AB562" s="8"/>
      <c r="AC562" s="8"/>
      <c r="AD562" s="8"/>
      <c r="AE562" s="25"/>
      <c r="AF562" s="11"/>
      <c r="AG562" s="25"/>
      <c r="AH562" s="11"/>
      <c r="AI562" s="11">
        <v>18</v>
      </c>
      <c r="AJ562" s="19">
        <v>65</v>
      </c>
      <c r="AK562" s="12">
        <f>(AJ562+AI562)/30*7</f>
        <v>19.366666666666667</v>
      </c>
      <c r="AL562" s="6">
        <f>IF(AK562-C562&lt;0,0,AK562-C562)</f>
        <v>0</v>
      </c>
      <c r="AM562" s="6">
        <f>IF(AL562-R562-S562&lt;0,0,AL562-R562-S562)</f>
        <v>0</v>
      </c>
      <c r="AN562" s="5" t="str">
        <f t="shared" si="17"/>
        <v/>
      </c>
      <c r="AO562" s="5">
        <v>0</v>
      </c>
      <c r="AP562" s="9"/>
      <c r="AQ562" s="5" t="s">
        <v>1210</v>
      </c>
      <c r="AR562" s="5" t="s">
        <v>1210</v>
      </c>
      <c r="AS562" s="8"/>
      <c r="AT562" s="8"/>
      <c r="AU562" s="8"/>
      <c r="AV562" s="8"/>
      <c r="AW562" s="8"/>
      <c r="AX562" s="8"/>
      <c r="AY562" s="8"/>
      <c r="AZ562" s="8"/>
    </row>
    <row r="563" spans="1:52">
      <c r="A563" s="5" t="s">
        <v>158</v>
      </c>
      <c r="B563" s="5">
        <v>763</v>
      </c>
      <c r="C563" s="19">
        <v>261</v>
      </c>
      <c r="E563" s="14"/>
      <c r="F563" s="11"/>
      <c r="G563" s="11"/>
      <c r="H563" s="11"/>
      <c r="I563" s="11"/>
      <c r="J563" s="25"/>
      <c r="K563" s="11"/>
      <c r="L563" s="11"/>
      <c r="M563" s="19">
        <v>0</v>
      </c>
      <c r="O563" s="6"/>
      <c r="P563" s="16">
        <v>600</v>
      </c>
      <c r="Q563" s="16">
        <v>0</v>
      </c>
      <c r="R563" s="22"/>
      <c r="S563" s="22">
        <f t="shared" si="16"/>
        <v>0</v>
      </c>
      <c r="T563" s="5" t="s">
        <v>1210</v>
      </c>
      <c r="U563" s="5" t="s">
        <v>1210</v>
      </c>
      <c r="Y563" s="8"/>
      <c r="Z563" s="8"/>
      <c r="AA563" s="8"/>
      <c r="AB563" s="8"/>
      <c r="AC563" s="8"/>
      <c r="AD563" s="8"/>
      <c r="AE563" s="25"/>
      <c r="AF563" s="11"/>
      <c r="AG563" s="25"/>
      <c r="AH563" s="11"/>
      <c r="AI563" s="11">
        <v>49</v>
      </c>
      <c r="AJ563" s="19">
        <v>34</v>
      </c>
      <c r="AK563" s="12">
        <f>(AJ563+AI563)/30*7</f>
        <v>19.366666666666667</v>
      </c>
      <c r="AL563" s="6">
        <f>IF(AK563-C563&lt;0,0,AK563-C563)</f>
        <v>0</v>
      </c>
      <c r="AM563" s="6">
        <f>IF(AL563-R563-S563&lt;0,0,AL563-R563-S563)</f>
        <v>0</v>
      </c>
      <c r="AN563" s="5" t="str">
        <f t="shared" si="17"/>
        <v/>
      </c>
      <c r="AO563" s="5">
        <v>0</v>
      </c>
      <c r="AP563" s="9"/>
      <c r="AQ563" s="5" t="s">
        <v>1210</v>
      </c>
      <c r="AR563" s="5" t="s">
        <v>1210</v>
      </c>
      <c r="AS563" s="8"/>
      <c r="AT563" s="8"/>
      <c r="AU563" s="8"/>
      <c r="AV563" s="8"/>
      <c r="AW563" s="8"/>
      <c r="AX563" s="8"/>
      <c r="AY563" s="8"/>
      <c r="AZ563" s="8"/>
    </row>
    <row r="564" spans="1:52">
      <c r="A564" s="5" t="s">
        <v>192</v>
      </c>
      <c r="B564" s="5">
        <v>1308</v>
      </c>
      <c r="C564" s="19">
        <v>641</v>
      </c>
      <c r="E564" s="14"/>
      <c r="F564" s="11"/>
      <c r="G564" s="11"/>
      <c r="H564" s="11"/>
      <c r="I564" s="11"/>
      <c r="J564" s="25"/>
      <c r="K564" s="11"/>
      <c r="L564" s="11"/>
      <c r="M564" s="19">
        <v>2</v>
      </c>
      <c r="O564" s="6"/>
      <c r="P564" s="16">
        <v>839</v>
      </c>
      <c r="Q564" s="16">
        <v>513</v>
      </c>
      <c r="R564" s="22"/>
      <c r="S564" s="22">
        <f t="shared" si="16"/>
        <v>0</v>
      </c>
      <c r="T564" s="5" t="s">
        <v>1210</v>
      </c>
      <c r="U564" s="5" t="s">
        <v>1210</v>
      </c>
      <c r="Y564" s="8"/>
      <c r="Z564" s="8"/>
      <c r="AA564" s="8"/>
      <c r="AB564" s="8"/>
      <c r="AC564" s="8"/>
      <c r="AD564" s="8"/>
      <c r="AE564" s="25"/>
      <c r="AF564" s="11"/>
      <c r="AG564" s="25"/>
      <c r="AH564" s="11"/>
      <c r="AI564" s="11">
        <v>29</v>
      </c>
      <c r="AJ564" s="19">
        <v>70</v>
      </c>
      <c r="AK564" s="12">
        <f>(AJ564+AI564)/30*7</f>
        <v>23.099999999999998</v>
      </c>
      <c r="AL564" s="6">
        <f>IF(AK564-C564&lt;0,0,AK564-C564)</f>
        <v>0</v>
      </c>
      <c r="AM564" s="6">
        <f>IF(AL564-R564-S564&lt;0,0,AL564-R564-S564)</f>
        <v>0</v>
      </c>
      <c r="AN564" s="5" t="str">
        <f t="shared" si="17"/>
        <v/>
      </c>
      <c r="AO564" s="5">
        <v>0</v>
      </c>
      <c r="AP564" s="9"/>
      <c r="AQ564" s="5" t="s">
        <v>1210</v>
      </c>
      <c r="AR564" s="5" t="s">
        <v>1210</v>
      </c>
      <c r="AS564" s="8"/>
      <c r="AT564" s="8"/>
      <c r="AU564" s="8"/>
      <c r="AV564" s="8"/>
      <c r="AW564" s="8"/>
      <c r="AX564" s="8"/>
      <c r="AY564" s="8"/>
      <c r="AZ564" s="8"/>
    </row>
    <row r="565" spans="1:52">
      <c r="A565" s="5" t="s">
        <v>187</v>
      </c>
      <c r="B565" s="5">
        <v>935</v>
      </c>
      <c r="C565" s="19">
        <v>522</v>
      </c>
      <c r="E565" s="14"/>
      <c r="F565" s="11"/>
      <c r="G565" s="11"/>
      <c r="H565" s="11"/>
      <c r="I565" s="11"/>
      <c r="J565" s="25"/>
      <c r="K565" s="11"/>
      <c r="L565" s="11"/>
      <c r="M565" s="19">
        <v>0</v>
      </c>
      <c r="O565" s="6"/>
      <c r="P565" s="16">
        <v>332</v>
      </c>
      <c r="Q565" s="16">
        <v>849</v>
      </c>
      <c r="R565" s="22"/>
      <c r="S565" s="22">
        <f t="shared" si="16"/>
        <v>0</v>
      </c>
      <c r="T565" s="5" t="s">
        <v>1210</v>
      </c>
      <c r="U565" s="5" t="s">
        <v>1210</v>
      </c>
      <c r="Y565" s="8"/>
      <c r="Z565" s="8"/>
      <c r="AA565" s="8"/>
      <c r="AB565" s="8"/>
      <c r="AC565" s="8"/>
      <c r="AD565" s="8"/>
      <c r="AE565" s="25"/>
      <c r="AF565" s="11"/>
      <c r="AG565" s="25"/>
      <c r="AH565" s="11"/>
      <c r="AI565" s="11">
        <v>85</v>
      </c>
      <c r="AJ565" s="19">
        <v>43</v>
      </c>
      <c r="AK565" s="12">
        <f>(AJ565+AI565)/30*7</f>
        <v>29.866666666666667</v>
      </c>
      <c r="AL565" s="6">
        <f>IF(AK565-C565&lt;0,0,AK565-C565)</f>
        <v>0</v>
      </c>
      <c r="AM565" s="6">
        <f>IF(AL565-R565-S565&lt;0,0,AL565-R565-S565)</f>
        <v>0</v>
      </c>
      <c r="AN565" s="5" t="str">
        <f t="shared" si="17"/>
        <v/>
      </c>
      <c r="AO565" s="5">
        <v>0</v>
      </c>
      <c r="AP565" s="9"/>
      <c r="AQ565" s="5" t="s">
        <v>1210</v>
      </c>
      <c r="AR565" s="5" t="s">
        <v>1210</v>
      </c>
      <c r="AS565" s="8"/>
      <c r="AT565" s="8"/>
      <c r="AU565" s="8"/>
      <c r="AV565" s="8"/>
      <c r="AW565" s="8"/>
      <c r="AX565" s="8"/>
      <c r="AY565" s="8"/>
      <c r="AZ565" s="8"/>
    </row>
    <row r="566" spans="1:52">
      <c r="A566" s="5" t="s">
        <v>128</v>
      </c>
      <c r="B566" s="5">
        <v>793</v>
      </c>
      <c r="C566" s="19">
        <v>790</v>
      </c>
      <c r="E566" s="14"/>
      <c r="F566" s="11"/>
      <c r="G566" s="11"/>
      <c r="H566" s="11"/>
      <c r="I566" s="11"/>
      <c r="J566" s="25"/>
      <c r="K566" s="11"/>
      <c r="L566" s="11"/>
      <c r="M566" s="19">
        <v>0</v>
      </c>
      <c r="O566" s="6"/>
      <c r="P566" s="16">
        <v>409</v>
      </c>
      <c r="Q566" s="16">
        <v>0</v>
      </c>
      <c r="R566" s="22"/>
      <c r="S566" s="22">
        <f t="shared" si="16"/>
        <v>0</v>
      </c>
      <c r="T566" s="5" t="s">
        <v>1210</v>
      </c>
      <c r="U566" s="5" t="s">
        <v>1210</v>
      </c>
      <c r="Y566" s="8"/>
      <c r="Z566" s="8"/>
      <c r="AA566" s="8"/>
      <c r="AB566" s="8"/>
      <c r="AC566" s="8"/>
      <c r="AD566" s="8"/>
      <c r="AE566" s="25"/>
      <c r="AF566" s="11"/>
      <c r="AG566" s="25"/>
      <c r="AH566" s="11"/>
      <c r="AI566" s="11">
        <v>71</v>
      </c>
      <c r="AJ566" s="19">
        <v>68</v>
      </c>
      <c r="AK566" s="12">
        <f>(AJ566+AI566)/30*7</f>
        <v>32.433333333333337</v>
      </c>
      <c r="AL566" s="6">
        <f>IF(AK566-C566&lt;0,0,AK566-C566)</f>
        <v>0</v>
      </c>
      <c r="AM566" s="6">
        <f>IF(AL566-R566-S566&lt;0,0,AL566-R566-S566)</f>
        <v>0</v>
      </c>
      <c r="AN566" s="5" t="str">
        <f t="shared" si="17"/>
        <v/>
      </c>
      <c r="AO566" s="5">
        <v>0</v>
      </c>
      <c r="AP566" s="9"/>
      <c r="AQ566" s="5" t="s">
        <v>1210</v>
      </c>
      <c r="AR566" s="5" t="s">
        <v>1210</v>
      </c>
      <c r="AS566" s="8"/>
      <c r="AT566" s="8"/>
      <c r="AU566" s="8"/>
      <c r="AV566" s="8"/>
      <c r="AW566" s="8"/>
      <c r="AX566" s="8"/>
      <c r="AY566" s="8"/>
      <c r="AZ566" s="8"/>
    </row>
    <row r="567" spans="1:52">
      <c r="A567" s="5" t="s">
        <v>290</v>
      </c>
      <c r="B567" s="5">
        <v>726</v>
      </c>
      <c r="C567" s="19">
        <v>854</v>
      </c>
      <c r="E567" s="14"/>
      <c r="F567" s="11"/>
      <c r="G567" s="11"/>
      <c r="H567" s="11"/>
      <c r="I567" s="11"/>
      <c r="J567" s="25"/>
      <c r="K567" s="11"/>
      <c r="L567" s="11"/>
      <c r="M567" s="19">
        <v>0</v>
      </c>
      <c r="O567" s="6"/>
      <c r="P567" s="16">
        <v>252</v>
      </c>
      <c r="Q567" s="16">
        <v>775</v>
      </c>
      <c r="R567" s="22"/>
      <c r="S567" s="22">
        <f t="shared" si="16"/>
        <v>0</v>
      </c>
      <c r="T567" s="5" t="s">
        <v>1210</v>
      </c>
      <c r="U567" s="5" t="s">
        <v>1210</v>
      </c>
      <c r="Y567" s="8"/>
      <c r="Z567" s="8"/>
      <c r="AA567" s="8"/>
      <c r="AB567" s="8"/>
      <c r="AC567" s="8"/>
      <c r="AD567" s="8"/>
      <c r="AE567" s="25"/>
      <c r="AF567" s="11"/>
      <c r="AG567" s="25"/>
      <c r="AH567" s="11"/>
      <c r="AI567" s="11">
        <v>54</v>
      </c>
      <c r="AJ567" s="19">
        <v>42</v>
      </c>
      <c r="AK567" s="12">
        <f>(AJ567+AI567)/30*7</f>
        <v>22.400000000000002</v>
      </c>
      <c r="AL567" s="6">
        <f>IF(AK567-C567&lt;0,0,AK567-C567)</f>
        <v>0</v>
      </c>
      <c r="AM567" s="6">
        <f>IF(AL567-R567-S567&lt;0,0,AL567-R567-S567)</f>
        <v>0</v>
      </c>
      <c r="AN567" s="5" t="str">
        <f t="shared" si="17"/>
        <v/>
      </c>
      <c r="AO567" s="5">
        <v>0</v>
      </c>
      <c r="AP567" s="9"/>
      <c r="AQ567" s="5" t="s">
        <v>1210</v>
      </c>
      <c r="AR567" s="5" t="s">
        <v>1210</v>
      </c>
      <c r="AS567" s="8"/>
      <c r="AT567" s="8"/>
      <c r="AU567" s="8"/>
      <c r="AV567" s="8"/>
      <c r="AW567" s="8"/>
      <c r="AX567" s="8"/>
      <c r="AY567" s="8"/>
      <c r="AZ567" s="8"/>
    </row>
    <row r="568" spans="1:52">
      <c r="A568" s="5" t="s">
        <v>705</v>
      </c>
      <c r="B568" s="5">
        <v>1548</v>
      </c>
      <c r="C568" s="19">
        <v>237</v>
      </c>
      <c r="E568" s="14"/>
      <c r="F568" s="11"/>
      <c r="G568" s="11"/>
      <c r="H568" s="11"/>
      <c r="I568" s="11"/>
      <c r="J568" s="25"/>
      <c r="K568" s="11"/>
      <c r="L568" s="11"/>
      <c r="M568" s="19">
        <v>0</v>
      </c>
      <c r="O568" s="6"/>
      <c r="P568" s="16">
        <v>534</v>
      </c>
      <c r="Q568" s="16">
        <v>0</v>
      </c>
      <c r="R568" s="22"/>
      <c r="S568" s="22">
        <f t="shared" si="16"/>
        <v>0</v>
      </c>
      <c r="T568" s="5">
        <v>1094</v>
      </c>
      <c r="U568" s="5">
        <v>272</v>
      </c>
      <c r="Y568" s="8"/>
      <c r="Z568" s="8"/>
      <c r="AA568" s="8"/>
      <c r="AB568" s="8"/>
      <c r="AC568" s="8"/>
      <c r="AD568" s="8"/>
      <c r="AE568" s="25"/>
      <c r="AF568" s="11"/>
      <c r="AG568" s="25"/>
      <c r="AH568" s="11"/>
      <c r="AI568" s="11">
        <v>83</v>
      </c>
      <c r="AJ568" s="19">
        <v>8</v>
      </c>
      <c r="AK568" s="12">
        <f>(AJ568+AI568)/30*7</f>
        <v>21.233333333333334</v>
      </c>
      <c r="AL568" s="6">
        <f>IF(AK568-C568&lt;0,0,AK568-C568)</f>
        <v>0</v>
      </c>
      <c r="AM568" s="6">
        <f>IF(AL568-R568-S568&lt;0,0,AL568-R568-S568)</f>
        <v>0</v>
      </c>
      <c r="AN568" s="5" t="str">
        <f t="shared" si="17"/>
        <v/>
      </c>
      <c r="AO568" s="5">
        <v>0</v>
      </c>
      <c r="AP568" s="9"/>
      <c r="AQ568" s="5" t="s">
        <v>1210</v>
      </c>
      <c r="AR568" s="5" t="s">
        <v>1230</v>
      </c>
      <c r="AS568" s="8"/>
      <c r="AT568" s="8"/>
      <c r="AU568" s="8"/>
      <c r="AV568" s="8"/>
      <c r="AW568" s="8"/>
      <c r="AX568" s="8"/>
      <c r="AY568" s="8"/>
      <c r="AZ568" s="8"/>
    </row>
    <row r="569" spans="1:52">
      <c r="A569" s="5" t="s">
        <v>177</v>
      </c>
      <c r="B569" s="5">
        <v>683</v>
      </c>
      <c r="C569" s="19">
        <v>935</v>
      </c>
      <c r="E569" s="14"/>
      <c r="F569" s="11"/>
      <c r="G569" s="11"/>
      <c r="H569" s="11"/>
      <c r="I569" s="11"/>
      <c r="J569" s="25"/>
      <c r="K569" s="11"/>
      <c r="L569" s="11"/>
      <c r="M569" s="19">
        <v>0</v>
      </c>
      <c r="O569" s="6"/>
      <c r="P569" s="16">
        <v>826</v>
      </c>
      <c r="Q569" s="16">
        <v>0</v>
      </c>
      <c r="R569" s="22"/>
      <c r="S569" s="22">
        <f t="shared" si="16"/>
        <v>0</v>
      </c>
      <c r="T569" s="5" t="s">
        <v>1210</v>
      </c>
      <c r="U569" s="5" t="s">
        <v>1210</v>
      </c>
      <c r="Y569" s="8"/>
      <c r="Z569" s="8"/>
      <c r="AA569" s="8"/>
      <c r="AB569" s="8"/>
      <c r="AC569" s="8"/>
      <c r="AD569" s="8"/>
      <c r="AE569" s="25"/>
      <c r="AF569" s="11"/>
      <c r="AG569" s="25"/>
      <c r="AH569" s="11"/>
      <c r="AI569" s="11">
        <v>59</v>
      </c>
      <c r="AJ569" s="19">
        <v>100</v>
      </c>
      <c r="AK569" s="12">
        <f>(AJ569+AI569)/30*7</f>
        <v>37.1</v>
      </c>
      <c r="AL569" s="6">
        <f>IF(AK569-C569&lt;0,0,AK569-C569)</f>
        <v>0</v>
      </c>
      <c r="AM569" s="6">
        <f>IF(AL569-R569-S569&lt;0,0,AL569-R569-S569)</f>
        <v>0</v>
      </c>
      <c r="AN569" s="5" t="str">
        <f t="shared" si="17"/>
        <v/>
      </c>
      <c r="AO569" s="5">
        <v>0</v>
      </c>
      <c r="AP569" s="9"/>
      <c r="AQ569" s="5" t="s">
        <v>1210</v>
      </c>
      <c r="AR569" s="5" t="s">
        <v>1210</v>
      </c>
      <c r="AS569" s="8"/>
      <c r="AT569" s="8"/>
      <c r="AU569" s="8"/>
      <c r="AV569" s="8"/>
      <c r="AW569" s="8"/>
      <c r="AX569" s="8"/>
      <c r="AY569" s="8"/>
      <c r="AZ569" s="8"/>
    </row>
    <row r="570" spans="1:52">
      <c r="A570" s="5" t="s">
        <v>171</v>
      </c>
      <c r="B570" s="5">
        <v>1309</v>
      </c>
      <c r="C570" s="19">
        <v>706</v>
      </c>
      <c r="E570" s="14"/>
      <c r="F570" s="11"/>
      <c r="G570" s="11"/>
      <c r="H570" s="11"/>
      <c r="I570" s="11"/>
      <c r="J570" s="25"/>
      <c r="K570" s="11"/>
      <c r="L570" s="11"/>
      <c r="M570" s="19">
        <v>9</v>
      </c>
      <c r="O570" s="6"/>
      <c r="P570" s="16">
        <v>661</v>
      </c>
      <c r="Q570" s="16">
        <v>316</v>
      </c>
      <c r="R570" s="22"/>
      <c r="S570" s="22">
        <f t="shared" si="16"/>
        <v>0</v>
      </c>
      <c r="T570" s="5" t="s">
        <v>1210</v>
      </c>
      <c r="U570" s="5" t="s">
        <v>1210</v>
      </c>
      <c r="Y570" s="8"/>
      <c r="Z570" s="8"/>
      <c r="AA570" s="8"/>
      <c r="AB570" s="8"/>
      <c r="AC570" s="8"/>
      <c r="AD570" s="8"/>
      <c r="AE570" s="25"/>
      <c r="AF570" s="11"/>
      <c r="AG570" s="25"/>
      <c r="AH570" s="11"/>
      <c r="AI570" s="11">
        <v>40</v>
      </c>
      <c r="AJ570" s="19">
        <v>37</v>
      </c>
      <c r="AK570" s="12">
        <f>(AJ570+AI570)/30*7</f>
        <v>17.966666666666669</v>
      </c>
      <c r="AL570" s="6">
        <f>IF(AK570-C570&lt;0,0,AK570-C570)</f>
        <v>0</v>
      </c>
      <c r="AM570" s="6">
        <f>IF(AL570-R570-S570&lt;0,0,AL570-R570-S570)</f>
        <v>0</v>
      </c>
      <c r="AN570" s="5" t="str">
        <f t="shared" si="17"/>
        <v/>
      </c>
      <c r="AO570" s="5">
        <v>0</v>
      </c>
      <c r="AP570" s="9"/>
      <c r="AQ570" s="5" t="s">
        <v>1210</v>
      </c>
      <c r="AR570" s="5" t="s">
        <v>1210</v>
      </c>
      <c r="AS570" s="8"/>
      <c r="AT570" s="8"/>
      <c r="AU570" s="8"/>
      <c r="AV570" s="8"/>
      <c r="AW570" s="8"/>
      <c r="AX570" s="8"/>
      <c r="AY570" s="8"/>
      <c r="AZ570" s="8"/>
    </row>
    <row r="571" spans="1:52">
      <c r="A571" s="5" t="s">
        <v>452</v>
      </c>
      <c r="B571" s="5">
        <v>529</v>
      </c>
      <c r="C571" s="19">
        <v>659</v>
      </c>
      <c r="E571" s="14"/>
      <c r="F571" s="11"/>
      <c r="G571" s="11"/>
      <c r="H571" s="11"/>
      <c r="I571" s="11"/>
      <c r="J571" s="25"/>
      <c r="K571" s="11"/>
      <c r="L571" s="11"/>
      <c r="M571" s="19">
        <v>0</v>
      </c>
      <c r="O571" s="6"/>
      <c r="P571" s="16">
        <v>333</v>
      </c>
      <c r="Q571" s="16">
        <v>0</v>
      </c>
      <c r="R571" s="22"/>
      <c r="S571" s="22">
        <f t="shared" si="16"/>
        <v>0</v>
      </c>
      <c r="T571" s="5" t="s">
        <v>1210</v>
      </c>
      <c r="U571" s="5" t="s">
        <v>1210</v>
      </c>
      <c r="Y571" s="8"/>
      <c r="Z571" s="8"/>
      <c r="AA571" s="8"/>
      <c r="AB571" s="8"/>
      <c r="AC571" s="8"/>
      <c r="AD571" s="8"/>
      <c r="AE571" s="25"/>
      <c r="AF571" s="11"/>
      <c r="AG571" s="25"/>
      <c r="AH571" s="11"/>
      <c r="AI571" s="11">
        <v>100</v>
      </c>
      <c r="AJ571" s="19">
        <v>7</v>
      </c>
      <c r="AK571" s="12">
        <f>(AJ571+AI571)/30*7</f>
        <v>24.966666666666669</v>
      </c>
      <c r="AL571" s="6">
        <f>IF(AK571-C571&lt;0,0,AK571-C571)</f>
        <v>0</v>
      </c>
      <c r="AM571" s="6">
        <f>IF(AL571-R571-S571&lt;0,0,AL571-R571-S571)</f>
        <v>0</v>
      </c>
      <c r="AN571" s="5" t="str">
        <f t="shared" si="17"/>
        <v/>
      </c>
      <c r="AO571" s="5">
        <v>0</v>
      </c>
      <c r="AP571" s="9"/>
      <c r="AQ571" s="5" t="s">
        <v>1210</v>
      </c>
      <c r="AR571" s="5" t="s">
        <v>1230</v>
      </c>
      <c r="AS571" s="8"/>
      <c r="AT571" s="8"/>
      <c r="AU571" s="8"/>
      <c r="AV571" s="8"/>
      <c r="AW571" s="8"/>
      <c r="AX571" s="8"/>
      <c r="AY571" s="8"/>
      <c r="AZ571" s="8"/>
    </row>
    <row r="572" spans="1:52">
      <c r="A572" s="5" t="s">
        <v>1032</v>
      </c>
      <c r="B572" s="5">
        <v>2200</v>
      </c>
      <c r="C572" s="19">
        <v>951</v>
      </c>
      <c r="E572" s="14"/>
      <c r="F572" s="11"/>
      <c r="G572" s="11"/>
      <c r="H572" s="11"/>
      <c r="I572" s="11"/>
      <c r="J572" s="25"/>
      <c r="K572" s="11"/>
      <c r="L572" s="11"/>
      <c r="M572" s="19">
        <v>0</v>
      </c>
      <c r="O572" s="6"/>
      <c r="P572" s="16">
        <v>656</v>
      </c>
      <c r="Q572" s="16">
        <v>0</v>
      </c>
      <c r="R572" s="22"/>
      <c r="S572" s="22">
        <f t="shared" si="16"/>
        <v>0</v>
      </c>
      <c r="T572" s="5" t="s">
        <v>1210</v>
      </c>
      <c r="U572" s="5" t="s">
        <v>1210</v>
      </c>
      <c r="Y572" s="8"/>
      <c r="Z572" s="8"/>
      <c r="AA572" s="8"/>
      <c r="AB572" s="8"/>
      <c r="AC572" s="8"/>
      <c r="AD572" s="8"/>
      <c r="AE572" s="25"/>
      <c r="AF572" s="11"/>
      <c r="AG572" s="25"/>
      <c r="AH572" s="11"/>
      <c r="AI572" s="11">
        <v>89</v>
      </c>
      <c r="AJ572" s="19">
        <v>0</v>
      </c>
      <c r="AK572" s="12">
        <f>(AJ572+AI572)/30*7</f>
        <v>20.766666666666666</v>
      </c>
      <c r="AL572" s="6">
        <f>IF(AK572-C572&lt;0,0,AK572-C572)</f>
        <v>0</v>
      </c>
      <c r="AM572" s="6">
        <f>IF(AL572-R572-S572&lt;0,0,AL572-R572-S572)</f>
        <v>0</v>
      </c>
      <c r="AN572" s="5" t="str">
        <f t="shared" si="17"/>
        <v/>
      </c>
      <c r="AO572" s="5">
        <v>0</v>
      </c>
      <c r="AP572" s="9"/>
      <c r="AQ572" s="5" t="s">
        <v>1210</v>
      </c>
      <c r="AR572" s="5" t="s">
        <v>1210</v>
      </c>
      <c r="AS572" s="8"/>
      <c r="AT572" s="8"/>
      <c r="AU572" s="8"/>
      <c r="AV572" s="8"/>
      <c r="AW572" s="8"/>
      <c r="AX572" s="8"/>
      <c r="AY572" s="8"/>
      <c r="AZ572" s="8"/>
    </row>
    <row r="573" spans="1:52">
      <c r="A573" s="5" t="s">
        <v>160</v>
      </c>
      <c r="B573" s="5">
        <v>556</v>
      </c>
      <c r="C573" s="19">
        <v>731</v>
      </c>
      <c r="E573" s="14"/>
      <c r="F573" s="11"/>
      <c r="G573" s="11"/>
      <c r="H573" s="11"/>
      <c r="I573" s="11"/>
      <c r="J573" s="25"/>
      <c r="K573" s="11"/>
      <c r="L573" s="11"/>
      <c r="M573" s="19">
        <v>0</v>
      </c>
      <c r="O573" s="6"/>
      <c r="P573" s="16">
        <v>870</v>
      </c>
      <c r="Q573" s="16">
        <v>0</v>
      </c>
      <c r="R573" s="22"/>
      <c r="S573" s="22">
        <f t="shared" si="16"/>
        <v>0</v>
      </c>
      <c r="T573" s="5" t="s">
        <v>1210</v>
      </c>
      <c r="U573" s="5" t="s">
        <v>1210</v>
      </c>
      <c r="Y573" s="8"/>
      <c r="Z573" s="8"/>
      <c r="AA573" s="8"/>
      <c r="AB573" s="8"/>
      <c r="AC573" s="8"/>
      <c r="AD573" s="8"/>
      <c r="AE573" s="25"/>
      <c r="AF573" s="11"/>
      <c r="AG573" s="25"/>
      <c r="AH573" s="11"/>
      <c r="AI573" s="11">
        <v>76</v>
      </c>
      <c r="AJ573" s="19">
        <v>0</v>
      </c>
      <c r="AK573" s="12">
        <f>(AJ573+AI573)/30*7</f>
        <v>17.733333333333334</v>
      </c>
      <c r="AL573" s="6">
        <f>IF(AK573-C573&lt;0,0,AK573-C573)</f>
        <v>0</v>
      </c>
      <c r="AM573" s="6">
        <f>IF(AL573-R573-S573&lt;0,0,AL573-R573-S573)</f>
        <v>0</v>
      </c>
      <c r="AN573" s="5" t="str">
        <f t="shared" si="17"/>
        <v/>
      </c>
      <c r="AO573" s="5">
        <v>0</v>
      </c>
      <c r="AP573" s="9"/>
      <c r="AQ573" s="5" t="s">
        <v>1210</v>
      </c>
      <c r="AR573" s="5" t="s">
        <v>1230</v>
      </c>
      <c r="AS573" s="8"/>
      <c r="AT573" s="8"/>
      <c r="AU573" s="8"/>
      <c r="AV573" s="8"/>
      <c r="AW573" s="8"/>
      <c r="AX573" s="8"/>
      <c r="AY573" s="8"/>
      <c r="AZ573" s="8"/>
    </row>
    <row r="574" spans="1:52">
      <c r="A574" s="5" t="s">
        <v>200</v>
      </c>
      <c r="B574" s="5">
        <v>1846</v>
      </c>
      <c r="C574" s="19">
        <v>363</v>
      </c>
      <c r="E574" s="14"/>
      <c r="F574" s="11"/>
      <c r="G574" s="11"/>
      <c r="H574" s="11"/>
      <c r="I574" s="11"/>
      <c r="J574" s="25"/>
      <c r="K574" s="11"/>
      <c r="L574" s="11"/>
      <c r="M574" s="19">
        <v>0</v>
      </c>
      <c r="O574" s="6"/>
      <c r="P574" s="16">
        <v>574</v>
      </c>
      <c r="Q574" s="16">
        <v>536</v>
      </c>
      <c r="R574" s="22"/>
      <c r="S574" s="22">
        <f t="shared" si="16"/>
        <v>0</v>
      </c>
      <c r="T574" s="5" t="s">
        <v>1210</v>
      </c>
      <c r="U574" s="5" t="s">
        <v>1210</v>
      </c>
      <c r="Y574" s="8"/>
      <c r="Z574" s="8"/>
      <c r="AA574" s="8"/>
      <c r="AB574" s="8"/>
      <c r="AC574" s="8"/>
      <c r="AD574" s="8"/>
      <c r="AE574" s="25"/>
      <c r="AF574" s="11"/>
      <c r="AG574" s="25"/>
      <c r="AH574" s="11"/>
      <c r="AI574" s="11">
        <v>61</v>
      </c>
      <c r="AJ574" s="19">
        <v>96</v>
      </c>
      <c r="AK574" s="12">
        <f>(AJ574+AI574)/30*7</f>
        <v>36.633333333333333</v>
      </c>
      <c r="AL574" s="6">
        <f>IF(AK574-C574&lt;0,0,AK574-C574)</f>
        <v>0</v>
      </c>
      <c r="AM574" s="6">
        <f>IF(AL574-R574-S574&lt;0,0,AL574-R574-S574)</f>
        <v>0</v>
      </c>
      <c r="AN574" s="5" t="str">
        <f t="shared" si="17"/>
        <v/>
      </c>
      <c r="AO574" s="5">
        <v>0</v>
      </c>
      <c r="AP574" s="9"/>
      <c r="AQ574" s="5" t="s">
        <v>1210</v>
      </c>
      <c r="AR574" s="5" t="s">
        <v>1210</v>
      </c>
      <c r="AS574" s="8"/>
      <c r="AT574" s="8"/>
      <c r="AU574" s="8"/>
      <c r="AV574" s="8"/>
      <c r="AW574" s="8"/>
      <c r="AX574" s="8"/>
      <c r="AY574" s="8"/>
      <c r="AZ574" s="8"/>
    </row>
    <row r="575" spans="1:52">
      <c r="A575" s="5" t="s">
        <v>254</v>
      </c>
      <c r="B575" s="5">
        <v>711</v>
      </c>
      <c r="C575" s="19">
        <v>643</v>
      </c>
      <c r="E575" s="14"/>
      <c r="F575" s="11"/>
      <c r="G575" s="11"/>
      <c r="H575" s="11"/>
      <c r="I575" s="11"/>
      <c r="J575" s="25"/>
      <c r="K575" s="11"/>
      <c r="L575" s="11"/>
      <c r="M575" s="19">
        <v>0</v>
      </c>
      <c r="O575" s="6"/>
      <c r="P575" s="16">
        <v>896</v>
      </c>
      <c r="Q575" s="16">
        <v>269</v>
      </c>
      <c r="R575" s="22"/>
      <c r="S575" s="22">
        <f t="shared" si="16"/>
        <v>0</v>
      </c>
      <c r="T575" s="5" t="s">
        <v>1210</v>
      </c>
      <c r="U575" s="5" t="s">
        <v>1210</v>
      </c>
      <c r="Y575" s="8"/>
      <c r="Z575" s="8"/>
      <c r="AA575" s="8"/>
      <c r="AB575" s="8"/>
      <c r="AC575" s="8"/>
      <c r="AD575" s="8"/>
      <c r="AE575" s="25"/>
      <c r="AF575" s="11"/>
      <c r="AG575" s="25"/>
      <c r="AH575" s="11"/>
      <c r="AI575" s="11">
        <v>97</v>
      </c>
      <c r="AJ575" s="19">
        <v>12</v>
      </c>
      <c r="AK575" s="12">
        <f>(AJ575+AI575)/30*7</f>
        <v>25.433333333333334</v>
      </c>
      <c r="AL575" s="6">
        <f>IF(AK575-C575&lt;0,0,AK575-C575)</f>
        <v>0</v>
      </c>
      <c r="AM575" s="6">
        <f>IF(AL575-R575-S575&lt;0,0,AL575-R575-S575)</f>
        <v>0</v>
      </c>
      <c r="AN575" s="5" t="str">
        <f t="shared" si="17"/>
        <v/>
      </c>
      <c r="AO575" s="5">
        <v>0</v>
      </c>
      <c r="AP575" s="9"/>
      <c r="AQ575" s="5" t="s">
        <v>1210</v>
      </c>
      <c r="AR575" s="5" t="s">
        <v>1210</v>
      </c>
      <c r="AS575" s="8"/>
      <c r="AT575" s="8"/>
      <c r="AU575" s="8"/>
      <c r="AV575" s="8"/>
      <c r="AW575" s="8"/>
      <c r="AX575" s="8"/>
      <c r="AY575" s="8"/>
      <c r="AZ575" s="8"/>
    </row>
    <row r="576" spans="1:52">
      <c r="A576" s="5" t="s">
        <v>209</v>
      </c>
      <c r="B576" s="5">
        <v>945</v>
      </c>
      <c r="C576" s="19">
        <v>946</v>
      </c>
      <c r="E576" s="14"/>
      <c r="F576" s="11"/>
      <c r="G576" s="11"/>
      <c r="H576" s="11"/>
      <c r="I576" s="11"/>
      <c r="J576" s="25"/>
      <c r="K576" s="11"/>
      <c r="L576" s="11"/>
      <c r="M576" s="19">
        <v>0</v>
      </c>
      <c r="O576" s="6"/>
      <c r="P576" s="16">
        <v>683</v>
      </c>
      <c r="Q576" s="16">
        <v>883</v>
      </c>
      <c r="R576" s="22"/>
      <c r="S576" s="22">
        <f t="shared" si="16"/>
        <v>0</v>
      </c>
      <c r="T576" s="5" t="s">
        <v>1210</v>
      </c>
      <c r="U576" s="5" t="s">
        <v>1210</v>
      </c>
      <c r="Y576" s="8"/>
      <c r="Z576" s="8"/>
      <c r="AA576" s="8"/>
      <c r="AB576" s="8"/>
      <c r="AC576" s="8"/>
      <c r="AD576" s="8"/>
      <c r="AE576" s="25"/>
      <c r="AF576" s="11"/>
      <c r="AG576" s="25"/>
      <c r="AH576" s="11"/>
      <c r="AI576" s="11">
        <v>90</v>
      </c>
      <c r="AJ576" s="19">
        <v>69</v>
      </c>
      <c r="AK576" s="12">
        <f>(AJ576+AI576)/30*7</f>
        <v>37.1</v>
      </c>
      <c r="AL576" s="6">
        <f>IF(AK576-C576&lt;0,0,AK576-C576)</f>
        <v>0</v>
      </c>
      <c r="AM576" s="6">
        <f>IF(AL576-R576-S576&lt;0,0,AL576-R576-S576)</f>
        <v>0</v>
      </c>
      <c r="AN576" s="5" t="str">
        <f t="shared" si="17"/>
        <v/>
      </c>
      <c r="AO576" s="5">
        <v>0</v>
      </c>
      <c r="AP576" s="9"/>
      <c r="AQ576" s="5" t="s">
        <v>1210</v>
      </c>
      <c r="AR576" s="5" t="s">
        <v>1210</v>
      </c>
      <c r="AS576" s="8"/>
      <c r="AT576" s="8"/>
      <c r="AU576" s="8"/>
      <c r="AV576" s="8"/>
      <c r="AW576" s="8"/>
      <c r="AX576" s="8"/>
      <c r="AY576" s="8"/>
      <c r="AZ576" s="8"/>
    </row>
    <row r="577" spans="1:52">
      <c r="A577" s="5" t="s">
        <v>445</v>
      </c>
      <c r="B577" s="5">
        <v>1839</v>
      </c>
      <c r="C577" s="19">
        <v>948</v>
      </c>
      <c r="E577" s="14"/>
      <c r="F577" s="11"/>
      <c r="G577" s="11"/>
      <c r="H577" s="11"/>
      <c r="I577" s="11"/>
      <c r="J577" s="25"/>
      <c r="K577" s="11"/>
      <c r="L577" s="11"/>
      <c r="M577" s="19">
        <v>0</v>
      </c>
      <c r="O577" s="6"/>
      <c r="P577" s="16">
        <v>936</v>
      </c>
      <c r="Q577" s="16">
        <v>0</v>
      </c>
      <c r="R577" s="22"/>
      <c r="S577" s="22">
        <f t="shared" si="16"/>
        <v>0</v>
      </c>
      <c r="T577" s="5" t="s">
        <v>1210</v>
      </c>
      <c r="U577" s="5" t="s">
        <v>1210</v>
      </c>
      <c r="Y577" s="8"/>
      <c r="Z577" s="8"/>
      <c r="AA577" s="8"/>
      <c r="AB577" s="8"/>
      <c r="AC577" s="8"/>
      <c r="AD577" s="8"/>
      <c r="AE577" s="25"/>
      <c r="AF577" s="11"/>
      <c r="AG577" s="25"/>
      <c r="AH577" s="11"/>
      <c r="AI577" s="11">
        <v>94</v>
      </c>
      <c r="AJ577" s="19">
        <v>26</v>
      </c>
      <c r="AK577" s="12">
        <f>(AJ577+AI577)/30*7</f>
        <v>28</v>
      </c>
      <c r="AL577" s="6">
        <f>IF(AK577-C577&lt;0,0,AK577-C577)</f>
        <v>0</v>
      </c>
      <c r="AM577" s="6">
        <f>IF(AL577-R577-S577&lt;0,0,AL577-R577-S577)</f>
        <v>0</v>
      </c>
      <c r="AN577" s="5" t="str">
        <f t="shared" si="17"/>
        <v/>
      </c>
      <c r="AO577" s="5">
        <v>0</v>
      </c>
      <c r="AP577" s="9"/>
      <c r="AQ577" s="5" t="s">
        <v>1210</v>
      </c>
      <c r="AR577" s="5" t="s">
        <v>1210</v>
      </c>
      <c r="AS577" s="8"/>
      <c r="AT577" s="8"/>
      <c r="AU577" s="8"/>
      <c r="AV577" s="8"/>
      <c r="AW577" s="8"/>
      <c r="AX577" s="8"/>
      <c r="AY577" s="8"/>
      <c r="AZ577" s="8"/>
    </row>
    <row r="578" spans="1:52">
      <c r="A578" s="5" t="s">
        <v>407</v>
      </c>
      <c r="B578" s="5">
        <v>1805</v>
      </c>
      <c r="C578" s="19">
        <v>761</v>
      </c>
      <c r="E578" s="14"/>
      <c r="F578" s="11"/>
      <c r="G578" s="11"/>
      <c r="H578" s="11"/>
      <c r="I578" s="11"/>
      <c r="J578" s="25"/>
      <c r="K578" s="11"/>
      <c r="L578" s="11"/>
      <c r="M578" s="19">
        <v>6</v>
      </c>
      <c r="O578" s="6"/>
      <c r="P578" s="16">
        <v>939</v>
      </c>
      <c r="Q578" s="16">
        <v>647</v>
      </c>
      <c r="R578" s="22"/>
      <c r="S578" s="22">
        <f t="shared" si="16"/>
        <v>0</v>
      </c>
      <c r="T578" s="5" t="s">
        <v>1210</v>
      </c>
      <c r="U578" s="5" t="s">
        <v>1210</v>
      </c>
      <c r="Y578" s="8"/>
      <c r="Z578" s="8"/>
      <c r="AA578" s="8"/>
      <c r="AB578" s="8"/>
      <c r="AC578" s="8"/>
      <c r="AD578" s="8"/>
      <c r="AE578" s="25"/>
      <c r="AF578" s="11"/>
      <c r="AG578" s="25"/>
      <c r="AH578" s="11"/>
      <c r="AI578" s="11">
        <v>85</v>
      </c>
      <c r="AJ578" s="19">
        <v>69</v>
      </c>
      <c r="AK578" s="12">
        <f>(AJ578+AI578)/30*7</f>
        <v>35.933333333333337</v>
      </c>
      <c r="AL578" s="6">
        <f>IF(AK578-C578&lt;0,0,AK578-C578)</f>
        <v>0</v>
      </c>
      <c r="AM578" s="6">
        <f>IF(AL578-R578-S578&lt;0,0,AL578-R578-S578)</f>
        <v>0</v>
      </c>
      <c r="AN578" s="5" t="str">
        <f t="shared" si="17"/>
        <v/>
      </c>
      <c r="AO578" s="5">
        <v>0</v>
      </c>
      <c r="AP578" s="9"/>
      <c r="AQ578" s="5" t="s">
        <v>1229</v>
      </c>
      <c r="AR578" s="5" t="s">
        <v>1210</v>
      </c>
      <c r="AS578" s="8"/>
      <c r="AT578" s="8"/>
      <c r="AU578" s="8"/>
      <c r="AV578" s="8"/>
      <c r="AW578" s="8"/>
      <c r="AX578" s="8"/>
      <c r="AY578" s="8"/>
      <c r="AZ578" s="8"/>
    </row>
    <row r="579" spans="1:52">
      <c r="A579" s="5" t="s">
        <v>42</v>
      </c>
      <c r="B579" s="5" t="s">
        <v>1142</v>
      </c>
      <c r="C579" s="19">
        <v>647</v>
      </c>
      <c r="E579" s="14"/>
      <c r="F579" s="11"/>
      <c r="G579" s="11"/>
      <c r="H579" s="11"/>
      <c r="I579" s="11"/>
      <c r="J579" s="25"/>
      <c r="K579" s="11"/>
      <c r="L579" s="11"/>
      <c r="M579" s="19">
        <v>8</v>
      </c>
      <c r="O579" s="6"/>
      <c r="P579" s="16">
        <v>699</v>
      </c>
      <c r="Q579" s="16">
        <v>0</v>
      </c>
      <c r="R579" s="22"/>
      <c r="S579" s="22">
        <f t="shared" si="16"/>
        <v>0</v>
      </c>
      <c r="T579" s="5" t="s">
        <v>1210</v>
      </c>
      <c r="U579" s="5" t="s">
        <v>1210</v>
      </c>
      <c r="Y579" s="8"/>
      <c r="Z579" s="8"/>
      <c r="AA579" s="8"/>
      <c r="AB579" s="8"/>
      <c r="AC579" s="8"/>
      <c r="AD579" s="8"/>
      <c r="AE579" s="25"/>
      <c r="AF579" s="11"/>
      <c r="AG579" s="25"/>
      <c r="AH579" s="11"/>
      <c r="AI579" s="11">
        <v>48</v>
      </c>
      <c r="AJ579" s="19">
        <v>136</v>
      </c>
      <c r="AK579" s="12">
        <f>(AJ579+AI579)/30*7</f>
        <v>42.933333333333337</v>
      </c>
      <c r="AL579" s="6">
        <f>IF(AK579-C579&lt;0,0,AK579-C579)</f>
        <v>0</v>
      </c>
      <c r="AM579" s="6">
        <f>IF(AL579-R579-S579&lt;0,0,AL579-R579-S579)</f>
        <v>0</v>
      </c>
      <c r="AN579" s="5" t="str">
        <f t="shared" si="17"/>
        <v/>
      </c>
      <c r="AO579" s="5">
        <v>0</v>
      </c>
      <c r="AP579" s="9"/>
      <c r="AQ579" s="5" t="s">
        <v>1210</v>
      </c>
      <c r="AR579" s="5" t="s">
        <v>1210</v>
      </c>
      <c r="AS579" s="8"/>
      <c r="AT579" s="8"/>
      <c r="AU579" s="8"/>
      <c r="AV579" s="8"/>
      <c r="AW579" s="8"/>
      <c r="AX579" s="8"/>
      <c r="AY579" s="8"/>
      <c r="AZ579" s="8"/>
    </row>
    <row r="580" spans="1:52">
      <c r="A580" s="5" t="s">
        <v>24</v>
      </c>
      <c r="B580" s="5">
        <v>1114</v>
      </c>
      <c r="C580" s="19">
        <v>283</v>
      </c>
      <c r="E580" s="14"/>
      <c r="F580" s="11"/>
      <c r="G580" s="11"/>
      <c r="H580" s="11"/>
      <c r="I580" s="11"/>
      <c r="J580" s="25"/>
      <c r="K580" s="11"/>
      <c r="L580" s="11"/>
      <c r="M580" s="19">
        <v>0</v>
      </c>
      <c r="O580" s="6"/>
      <c r="P580" s="16">
        <v>343</v>
      </c>
      <c r="Q580" s="16">
        <v>0</v>
      </c>
      <c r="R580" s="22"/>
      <c r="S580" s="22">
        <f t="shared" ref="S580:S643" si="18">IF(AL580&gt;0,IF(Q580&gt;=AL580,ROUND(AL580,0),Q580),0)</f>
        <v>0</v>
      </c>
      <c r="T580" s="5" t="s">
        <v>1210</v>
      </c>
      <c r="U580" s="5" t="s">
        <v>1210</v>
      </c>
      <c r="Y580" s="8"/>
      <c r="Z580" s="8"/>
      <c r="AA580" s="8"/>
      <c r="AB580" s="8"/>
      <c r="AC580" s="8"/>
      <c r="AD580" s="8"/>
      <c r="AE580" s="25"/>
      <c r="AF580" s="11"/>
      <c r="AG580" s="25"/>
      <c r="AH580" s="11"/>
      <c r="AI580" s="11">
        <v>51</v>
      </c>
      <c r="AJ580" s="19">
        <v>137</v>
      </c>
      <c r="AK580" s="12">
        <f>(AJ580+AI580)/30*7</f>
        <v>43.866666666666667</v>
      </c>
      <c r="AL580" s="6">
        <f>IF(AK580-C580&lt;0,0,AK580-C580)</f>
        <v>0</v>
      </c>
      <c r="AM580" s="6">
        <f>IF(AL580-R580-S580&lt;0,0,AL580-R580-S580)</f>
        <v>0</v>
      </c>
      <c r="AN580" s="5" t="str">
        <f t="shared" ref="AN580:AN643" si="19">IF(AM580&gt;0,IF(LEN(U580)=0,IF(ROUND(AM580-AO580,0)&gt;0,ROUND(AM580-AO580,0),""),IF(U580+AO580&gt;=AM580,"",ROUND(AM580-U580-AO580,0))),"")</f>
        <v/>
      </c>
      <c r="AO580" s="5">
        <v>0</v>
      </c>
      <c r="AP580" s="9"/>
      <c r="AQ580" s="5" t="s">
        <v>1229</v>
      </c>
      <c r="AR580" s="5" t="s">
        <v>1210</v>
      </c>
      <c r="AS580" s="8"/>
      <c r="AT580" s="8"/>
      <c r="AU580" s="8"/>
      <c r="AV580" s="8"/>
      <c r="AW580" s="8"/>
      <c r="AX580" s="8"/>
      <c r="AY580" s="8"/>
      <c r="AZ580" s="8"/>
    </row>
    <row r="581" spans="1:52">
      <c r="A581" s="5" t="s">
        <v>432</v>
      </c>
      <c r="B581" s="5">
        <v>748</v>
      </c>
      <c r="C581" s="19">
        <v>445</v>
      </c>
      <c r="E581" s="14"/>
      <c r="F581" s="11"/>
      <c r="G581" s="11"/>
      <c r="H581" s="11"/>
      <c r="I581" s="11"/>
      <c r="J581" s="25"/>
      <c r="K581" s="11"/>
      <c r="L581" s="11"/>
      <c r="M581" s="19">
        <v>0</v>
      </c>
      <c r="O581" s="6"/>
      <c r="P581" s="16">
        <v>422</v>
      </c>
      <c r="Q581" s="16">
        <v>543</v>
      </c>
      <c r="R581" s="22"/>
      <c r="S581" s="22">
        <f t="shared" si="18"/>
        <v>0</v>
      </c>
      <c r="T581" s="5" t="s">
        <v>1210</v>
      </c>
      <c r="U581" s="5" t="s">
        <v>1210</v>
      </c>
      <c r="Y581" s="8"/>
      <c r="Z581" s="8"/>
      <c r="AA581" s="8"/>
      <c r="AB581" s="8"/>
      <c r="AC581" s="8"/>
      <c r="AD581" s="8"/>
      <c r="AE581" s="25"/>
      <c r="AF581" s="11"/>
      <c r="AG581" s="25"/>
      <c r="AH581" s="11"/>
      <c r="AI581" s="11">
        <v>54</v>
      </c>
      <c r="AJ581" s="19">
        <v>18</v>
      </c>
      <c r="AK581" s="12">
        <f>(AJ581+AI581)/30*7</f>
        <v>16.8</v>
      </c>
      <c r="AL581" s="6">
        <f>IF(AK581-C581&lt;0,0,AK581-C581)</f>
        <v>0</v>
      </c>
      <c r="AM581" s="6">
        <f>IF(AL581-R581-S581&lt;0,0,AL581-R581-S581)</f>
        <v>0</v>
      </c>
      <c r="AN581" s="5" t="str">
        <f t="shared" si="19"/>
        <v/>
      </c>
      <c r="AO581" s="5">
        <v>0</v>
      </c>
      <c r="AP581" s="9"/>
      <c r="AQ581" s="5" t="s">
        <v>1210</v>
      </c>
      <c r="AR581" s="5" t="s">
        <v>1230</v>
      </c>
      <c r="AS581" s="8"/>
      <c r="AT581" s="8"/>
      <c r="AU581" s="8"/>
      <c r="AV581" s="8"/>
      <c r="AW581" s="8"/>
      <c r="AX581" s="8"/>
      <c r="AY581" s="8"/>
      <c r="AZ581" s="8"/>
    </row>
    <row r="582" spans="1:52">
      <c r="A582" s="5" t="s">
        <v>221</v>
      </c>
      <c r="B582" s="5">
        <v>864</v>
      </c>
      <c r="C582" s="19">
        <v>232</v>
      </c>
      <c r="E582" s="14"/>
      <c r="F582" s="11"/>
      <c r="G582" s="11"/>
      <c r="H582" s="11"/>
      <c r="I582" s="11"/>
      <c r="J582" s="25"/>
      <c r="K582" s="11"/>
      <c r="L582" s="11"/>
      <c r="M582" s="19">
        <v>5</v>
      </c>
      <c r="O582" s="6"/>
      <c r="P582" s="16">
        <v>330</v>
      </c>
      <c r="Q582" s="16">
        <v>460</v>
      </c>
      <c r="R582" s="22"/>
      <c r="S582" s="22">
        <f t="shared" si="18"/>
        <v>0</v>
      </c>
      <c r="T582" s="5" t="s">
        <v>1210</v>
      </c>
      <c r="U582" s="5" t="s">
        <v>1210</v>
      </c>
      <c r="Y582" s="8"/>
      <c r="Z582" s="8"/>
      <c r="AA582" s="8"/>
      <c r="AB582" s="8"/>
      <c r="AC582" s="8"/>
      <c r="AD582" s="8"/>
      <c r="AE582" s="25"/>
      <c r="AF582" s="11"/>
      <c r="AG582" s="25"/>
      <c r="AH582" s="11"/>
      <c r="AI582" s="11">
        <v>75</v>
      </c>
      <c r="AJ582" s="19">
        <v>27</v>
      </c>
      <c r="AK582" s="12">
        <f>(AJ582+AI582)/30*7</f>
        <v>23.8</v>
      </c>
      <c r="AL582" s="6">
        <f>IF(AK582-C582&lt;0,0,AK582-C582)</f>
        <v>0</v>
      </c>
      <c r="AM582" s="6">
        <f>IF(AL582-R582-S582&lt;0,0,AL582-R582-S582)</f>
        <v>0</v>
      </c>
      <c r="AN582" s="5" t="str">
        <f t="shared" si="19"/>
        <v/>
      </c>
      <c r="AO582" s="5">
        <v>0</v>
      </c>
      <c r="AP582" s="9"/>
      <c r="AQ582" s="5" t="s">
        <v>1210</v>
      </c>
      <c r="AR582" s="5" t="s">
        <v>1210</v>
      </c>
      <c r="AS582" s="8"/>
      <c r="AT582" s="8"/>
      <c r="AU582" s="8"/>
      <c r="AV582" s="8"/>
      <c r="AW582" s="8"/>
      <c r="AX582" s="8"/>
      <c r="AY582" s="8"/>
      <c r="AZ582" s="8"/>
    </row>
    <row r="583" spans="1:52">
      <c r="A583" s="5" t="s">
        <v>45</v>
      </c>
      <c r="B583" s="5">
        <v>1833</v>
      </c>
      <c r="C583" s="19">
        <v>327</v>
      </c>
      <c r="E583" s="14"/>
      <c r="F583" s="11"/>
      <c r="G583" s="11"/>
      <c r="H583" s="11"/>
      <c r="I583" s="11"/>
      <c r="J583" s="25"/>
      <c r="K583" s="11"/>
      <c r="L583" s="11"/>
      <c r="M583" s="19">
        <v>0</v>
      </c>
      <c r="O583" s="6"/>
      <c r="P583" s="16">
        <v>746</v>
      </c>
      <c r="Q583" s="16">
        <v>0</v>
      </c>
      <c r="R583" s="22"/>
      <c r="S583" s="22">
        <f t="shared" si="18"/>
        <v>0</v>
      </c>
      <c r="T583" s="5" t="s">
        <v>1210</v>
      </c>
      <c r="U583" s="5" t="s">
        <v>1210</v>
      </c>
      <c r="Y583" s="8"/>
      <c r="Z583" s="8"/>
      <c r="AA583" s="8"/>
      <c r="AB583" s="8"/>
      <c r="AC583" s="8"/>
      <c r="AD583" s="8"/>
      <c r="AE583" s="25"/>
      <c r="AF583" s="11"/>
      <c r="AG583" s="25"/>
      <c r="AH583" s="11"/>
      <c r="AI583" s="11">
        <v>65</v>
      </c>
      <c r="AJ583" s="19">
        <v>144</v>
      </c>
      <c r="AK583" s="12">
        <f>(AJ583+AI583)/30*7</f>
        <v>48.766666666666666</v>
      </c>
      <c r="AL583" s="6">
        <f>IF(AK583-C583&lt;0,0,AK583-C583)</f>
        <v>0</v>
      </c>
      <c r="AM583" s="6">
        <f>IF(AL583-R583-S583&lt;0,0,AL583-R583-S583)</f>
        <v>0</v>
      </c>
      <c r="AN583" s="5" t="str">
        <f t="shared" si="19"/>
        <v/>
      </c>
      <c r="AO583" s="5">
        <v>0</v>
      </c>
      <c r="AP583" s="9"/>
      <c r="AQ583" s="5" t="s">
        <v>1210</v>
      </c>
      <c r="AR583" s="5" t="s">
        <v>1210</v>
      </c>
      <c r="AS583" s="8"/>
      <c r="AT583" s="8"/>
      <c r="AU583" s="8"/>
      <c r="AV583" s="8"/>
      <c r="AW583" s="8"/>
      <c r="AX583" s="8"/>
      <c r="AY583" s="8"/>
      <c r="AZ583" s="8"/>
    </row>
    <row r="584" spans="1:52">
      <c r="A584" s="5" t="s">
        <v>243</v>
      </c>
      <c r="B584" s="5">
        <v>1422</v>
      </c>
      <c r="C584" s="19">
        <v>249</v>
      </c>
      <c r="E584" s="14"/>
      <c r="F584" s="11"/>
      <c r="G584" s="11"/>
      <c r="H584" s="11"/>
      <c r="I584" s="11"/>
      <c r="J584" s="25"/>
      <c r="K584" s="11"/>
      <c r="L584" s="11"/>
      <c r="M584" s="19">
        <v>0</v>
      </c>
      <c r="O584" s="6"/>
      <c r="P584" s="16">
        <v>549</v>
      </c>
      <c r="Q584" s="16">
        <v>0</v>
      </c>
      <c r="R584" s="22"/>
      <c r="S584" s="22">
        <f t="shared" si="18"/>
        <v>0</v>
      </c>
      <c r="T584" s="5" t="s">
        <v>1210</v>
      </c>
      <c r="U584" s="5" t="s">
        <v>1210</v>
      </c>
      <c r="Y584" s="8"/>
      <c r="Z584" s="8"/>
      <c r="AA584" s="8"/>
      <c r="AB584" s="8"/>
      <c r="AC584" s="8"/>
      <c r="AD584" s="8"/>
      <c r="AE584" s="25"/>
      <c r="AF584" s="11"/>
      <c r="AG584" s="25"/>
      <c r="AH584" s="11"/>
      <c r="AI584" s="11">
        <v>49</v>
      </c>
      <c r="AJ584" s="19">
        <v>40</v>
      </c>
      <c r="AK584" s="12">
        <f>(AJ584+AI584)/30*7</f>
        <v>20.766666666666666</v>
      </c>
      <c r="AL584" s="6">
        <f>IF(AK584-C584&lt;0,0,AK584-C584)</f>
        <v>0</v>
      </c>
      <c r="AM584" s="6">
        <f>IF(AL584-R584-S584&lt;0,0,AL584-R584-S584)</f>
        <v>0</v>
      </c>
      <c r="AN584" s="5" t="str">
        <f t="shared" si="19"/>
        <v/>
      </c>
      <c r="AO584" s="5">
        <v>0</v>
      </c>
      <c r="AP584" s="9"/>
      <c r="AQ584" s="5" t="s">
        <v>1210</v>
      </c>
      <c r="AR584" s="5" t="s">
        <v>1210</v>
      </c>
      <c r="AS584" s="8"/>
      <c r="AT584" s="8"/>
      <c r="AU584" s="8"/>
      <c r="AV584" s="8"/>
      <c r="AW584" s="8"/>
      <c r="AX584" s="8"/>
      <c r="AY584" s="8"/>
      <c r="AZ584" s="8"/>
    </row>
    <row r="585" spans="1:52">
      <c r="A585" s="5" t="s">
        <v>488</v>
      </c>
      <c r="B585" s="5">
        <v>648</v>
      </c>
      <c r="C585" s="19">
        <v>646</v>
      </c>
      <c r="E585" s="14"/>
      <c r="F585" s="11"/>
      <c r="G585" s="11"/>
      <c r="H585" s="11"/>
      <c r="I585" s="11"/>
      <c r="J585" s="25"/>
      <c r="K585" s="11"/>
      <c r="L585" s="11"/>
      <c r="M585" s="19">
        <v>0</v>
      </c>
      <c r="O585" s="6"/>
      <c r="P585" s="16">
        <v>223</v>
      </c>
      <c r="Q585" s="16">
        <v>731</v>
      </c>
      <c r="R585" s="22"/>
      <c r="S585" s="22">
        <f t="shared" si="18"/>
        <v>0</v>
      </c>
      <c r="T585" s="5" t="s">
        <v>1210</v>
      </c>
      <c r="U585" s="5" t="s">
        <v>1210</v>
      </c>
      <c r="Y585" s="8"/>
      <c r="Z585" s="8"/>
      <c r="AA585" s="8"/>
      <c r="AB585" s="8"/>
      <c r="AC585" s="8"/>
      <c r="AD585" s="8"/>
      <c r="AE585" s="25"/>
      <c r="AF585" s="11"/>
      <c r="AG585" s="25"/>
      <c r="AH585" s="11"/>
      <c r="AI585" s="11">
        <v>73</v>
      </c>
      <c r="AJ585" s="19">
        <v>7</v>
      </c>
      <c r="AK585" s="12">
        <f>(AJ585+AI585)/30*7</f>
        <v>18.666666666666664</v>
      </c>
      <c r="AL585" s="6">
        <f>IF(AK585-C585&lt;0,0,AK585-C585)</f>
        <v>0</v>
      </c>
      <c r="AM585" s="6">
        <f>IF(AL585-R585-S585&lt;0,0,AL585-R585-S585)</f>
        <v>0</v>
      </c>
      <c r="AN585" s="5" t="str">
        <f t="shared" si="19"/>
        <v/>
      </c>
      <c r="AO585" s="5">
        <v>0</v>
      </c>
      <c r="AP585" s="9"/>
      <c r="AQ585" s="5" t="s">
        <v>1210</v>
      </c>
      <c r="AR585" s="5" t="s">
        <v>1230</v>
      </c>
      <c r="AS585" s="8"/>
      <c r="AT585" s="8"/>
      <c r="AU585" s="8"/>
      <c r="AV585" s="8"/>
      <c r="AW585" s="8"/>
      <c r="AX585" s="8"/>
      <c r="AY585" s="8"/>
      <c r="AZ585" s="8"/>
    </row>
    <row r="586" spans="1:52">
      <c r="A586" s="5" t="s">
        <v>521</v>
      </c>
      <c r="B586" s="5">
        <v>1014</v>
      </c>
      <c r="C586" s="19">
        <v>788</v>
      </c>
      <c r="E586" s="14"/>
      <c r="F586" s="11"/>
      <c r="G586" s="11"/>
      <c r="H586" s="11"/>
      <c r="I586" s="11"/>
      <c r="J586" s="25"/>
      <c r="K586" s="11"/>
      <c r="L586" s="11"/>
      <c r="M586" s="19">
        <v>0</v>
      </c>
      <c r="O586" s="6"/>
      <c r="P586" s="16">
        <v>811</v>
      </c>
      <c r="Q586" s="16">
        <v>944</v>
      </c>
      <c r="R586" s="22"/>
      <c r="S586" s="22">
        <f t="shared" si="18"/>
        <v>0</v>
      </c>
      <c r="U586" s="5" t="s">
        <v>1210</v>
      </c>
      <c r="Y586" s="8"/>
      <c r="Z586" s="8"/>
      <c r="AA586" s="8"/>
      <c r="AB586" s="8"/>
      <c r="AC586" s="8"/>
      <c r="AD586" s="8"/>
      <c r="AE586" s="25"/>
      <c r="AF586" s="11"/>
      <c r="AG586" s="25"/>
      <c r="AH586" s="11"/>
      <c r="AI586" s="11">
        <v>95</v>
      </c>
      <c r="AJ586" s="19">
        <v>6</v>
      </c>
      <c r="AK586" s="12">
        <f>(AJ586+AI586)/30*7</f>
        <v>23.566666666666666</v>
      </c>
      <c r="AL586" s="6">
        <f>IF(AK586-C586&lt;0,0,AK586-C586)</f>
        <v>0</v>
      </c>
      <c r="AM586" s="6">
        <f>IF(AL586-R586-S586&lt;0,0,AL586-R586-S586)</f>
        <v>0</v>
      </c>
      <c r="AN586" s="5" t="str">
        <f t="shared" si="19"/>
        <v/>
      </c>
      <c r="AO586" s="5">
        <v>0</v>
      </c>
      <c r="AP586" s="9"/>
      <c r="AQ586" s="5" t="s">
        <v>1210</v>
      </c>
      <c r="AR586" s="5" t="s">
        <v>1210</v>
      </c>
      <c r="AS586" s="8"/>
      <c r="AT586" s="8"/>
      <c r="AU586" s="8"/>
      <c r="AV586" s="8"/>
      <c r="AW586" s="8"/>
      <c r="AX586" s="8"/>
      <c r="AY586" s="8"/>
      <c r="AZ586" s="8"/>
    </row>
    <row r="587" spans="1:52">
      <c r="A587" s="5" t="s">
        <v>244</v>
      </c>
      <c r="B587" s="5">
        <v>723</v>
      </c>
      <c r="C587" s="19">
        <v>278</v>
      </c>
      <c r="E587" s="14"/>
      <c r="F587" s="11"/>
      <c r="G587" s="11"/>
      <c r="H587" s="11"/>
      <c r="I587" s="11"/>
      <c r="J587" s="25"/>
      <c r="K587" s="11"/>
      <c r="L587" s="11"/>
      <c r="M587" s="19">
        <v>0</v>
      </c>
      <c r="O587" s="6"/>
      <c r="P587" s="16">
        <v>670</v>
      </c>
      <c r="Q587" s="16">
        <v>281</v>
      </c>
      <c r="R587" s="22"/>
      <c r="S587" s="22">
        <f t="shared" si="18"/>
        <v>0</v>
      </c>
      <c r="T587" s="5" t="s">
        <v>1210</v>
      </c>
      <c r="U587" s="5" t="s">
        <v>1210</v>
      </c>
      <c r="Y587" s="8"/>
      <c r="Z587" s="8"/>
      <c r="AA587" s="8"/>
      <c r="AB587" s="8"/>
      <c r="AC587" s="8"/>
      <c r="AD587" s="8"/>
      <c r="AE587" s="25"/>
      <c r="AF587" s="11"/>
      <c r="AG587" s="25"/>
      <c r="AH587" s="11"/>
      <c r="AI587" s="11">
        <v>92</v>
      </c>
      <c r="AJ587" s="19">
        <v>13</v>
      </c>
      <c r="AK587" s="12">
        <f>(AJ587+AI587)/30*7</f>
        <v>24.5</v>
      </c>
      <c r="AL587" s="6">
        <f>IF(AK587-C587&lt;0,0,AK587-C587)</f>
        <v>0</v>
      </c>
      <c r="AM587" s="6">
        <f>IF(AL587-R587-S587&lt;0,0,AL587-R587-S587)</f>
        <v>0</v>
      </c>
      <c r="AN587" s="5" t="str">
        <f t="shared" si="19"/>
        <v/>
      </c>
      <c r="AO587" s="5">
        <v>0</v>
      </c>
      <c r="AP587" s="9"/>
      <c r="AQ587" s="5" t="s">
        <v>1210</v>
      </c>
      <c r="AR587" s="5" t="s">
        <v>1210</v>
      </c>
      <c r="AS587" s="8"/>
      <c r="AT587" s="8"/>
      <c r="AU587" s="8"/>
      <c r="AV587" s="8"/>
      <c r="AW587" s="8"/>
      <c r="AX587" s="8"/>
      <c r="AY587" s="8"/>
      <c r="AZ587" s="8"/>
    </row>
    <row r="588" spans="1:52">
      <c r="A588" s="5" t="s">
        <v>431</v>
      </c>
      <c r="B588" s="5">
        <v>1003</v>
      </c>
      <c r="C588" s="19">
        <v>648</v>
      </c>
      <c r="E588" s="14"/>
      <c r="F588" s="11"/>
      <c r="G588" s="11"/>
      <c r="H588" s="11"/>
      <c r="I588" s="11"/>
      <c r="J588" s="25"/>
      <c r="K588" s="11"/>
      <c r="L588" s="11"/>
      <c r="M588" s="19">
        <v>0</v>
      </c>
      <c r="O588" s="6"/>
      <c r="P588" s="16">
        <v>242</v>
      </c>
      <c r="Q588" s="16">
        <v>0</v>
      </c>
      <c r="R588" s="22"/>
      <c r="S588" s="22">
        <f t="shared" si="18"/>
        <v>0</v>
      </c>
      <c r="T588" s="5" t="s">
        <v>1210</v>
      </c>
      <c r="U588" s="5" t="s">
        <v>1210</v>
      </c>
      <c r="Y588" s="8"/>
      <c r="Z588" s="8"/>
      <c r="AA588" s="8"/>
      <c r="AB588" s="8"/>
      <c r="AC588" s="8"/>
      <c r="AD588" s="8"/>
      <c r="AE588" s="25"/>
      <c r="AF588" s="11"/>
      <c r="AG588" s="25"/>
      <c r="AH588" s="11"/>
      <c r="AI588" s="11">
        <v>49</v>
      </c>
      <c r="AJ588" s="19">
        <v>26</v>
      </c>
      <c r="AK588" s="12">
        <f>(AJ588+AI588)/30*7</f>
        <v>17.5</v>
      </c>
      <c r="AL588" s="6">
        <f>IF(AK588-C588&lt;0,0,AK588-C588)</f>
        <v>0</v>
      </c>
      <c r="AM588" s="6">
        <f>IF(AL588-R588-S588&lt;0,0,AL588-R588-S588)</f>
        <v>0</v>
      </c>
      <c r="AN588" s="5" t="str">
        <f t="shared" si="19"/>
        <v/>
      </c>
      <c r="AO588" s="5">
        <v>0</v>
      </c>
      <c r="AP588" s="9"/>
      <c r="AQ588" s="5" t="s">
        <v>1210</v>
      </c>
      <c r="AR588" s="5" t="s">
        <v>1210</v>
      </c>
      <c r="AS588" s="8"/>
      <c r="AT588" s="8"/>
      <c r="AU588" s="8"/>
      <c r="AV588" s="8"/>
      <c r="AW588" s="8"/>
      <c r="AX588" s="8"/>
      <c r="AY588" s="8"/>
      <c r="AZ588" s="8"/>
    </row>
    <row r="589" spans="1:52">
      <c r="A589" s="5" t="s">
        <v>26</v>
      </c>
      <c r="B589" s="5">
        <v>1037</v>
      </c>
      <c r="C589" s="19">
        <v>676</v>
      </c>
      <c r="E589" s="14"/>
      <c r="F589" s="11"/>
      <c r="G589" s="11"/>
      <c r="H589" s="11"/>
      <c r="I589" s="11"/>
      <c r="J589" s="25"/>
      <c r="K589" s="11"/>
      <c r="L589" s="11"/>
      <c r="M589" s="19">
        <v>7</v>
      </c>
      <c r="O589" s="6"/>
      <c r="P589" s="16">
        <v>428</v>
      </c>
      <c r="Q589" s="16">
        <v>555</v>
      </c>
      <c r="R589" s="22"/>
      <c r="S589" s="22">
        <f t="shared" si="18"/>
        <v>0</v>
      </c>
      <c r="T589" s="5" t="s">
        <v>1210</v>
      </c>
      <c r="U589" s="5" t="s">
        <v>1210</v>
      </c>
      <c r="Y589" s="8"/>
      <c r="Z589" s="8"/>
      <c r="AA589" s="8"/>
      <c r="AB589" s="8"/>
      <c r="AC589" s="8"/>
      <c r="AD589" s="8"/>
      <c r="AE589" s="25"/>
      <c r="AF589" s="11"/>
      <c r="AG589" s="25"/>
      <c r="AH589" s="11"/>
      <c r="AI589" s="11">
        <v>59</v>
      </c>
      <c r="AJ589" s="19">
        <v>140</v>
      </c>
      <c r="AK589" s="12">
        <f>(AJ589+AI589)/30*7</f>
        <v>46.433333333333337</v>
      </c>
      <c r="AL589" s="6">
        <f>IF(AK589-C589&lt;0,0,AK589-C589)</f>
        <v>0</v>
      </c>
      <c r="AM589" s="6">
        <f>IF(AL589-R589-S589&lt;0,0,AL589-R589-S589)</f>
        <v>0</v>
      </c>
      <c r="AN589" s="5" t="str">
        <f t="shared" si="19"/>
        <v/>
      </c>
      <c r="AO589" s="5">
        <v>0</v>
      </c>
      <c r="AP589" s="9"/>
      <c r="AQ589" s="5" t="s">
        <v>1229</v>
      </c>
      <c r="AR589" s="5" t="s">
        <v>1210</v>
      </c>
      <c r="AS589" s="8"/>
      <c r="AT589" s="8"/>
      <c r="AU589" s="8"/>
      <c r="AV589" s="8"/>
      <c r="AW589" s="8"/>
      <c r="AX589" s="8"/>
      <c r="AY589" s="8"/>
      <c r="AZ589" s="8"/>
    </row>
    <row r="590" spans="1:52">
      <c r="A590" s="5" t="s">
        <v>358</v>
      </c>
      <c r="B590" s="5">
        <v>610</v>
      </c>
      <c r="C590" s="19">
        <v>423</v>
      </c>
      <c r="E590" s="14"/>
      <c r="F590" s="11"/>
      <c r="G590" s="11"/>
      <c r="H590" s="11"/>
      <c r="I590" s="11"/>
      <c r="J590" s="25"/>
      <c r="K590" s="11"/>
      <c r="L590" s="11"/>
      <c r="M590" s="19">
        <v>0</v>
      </c>
      <c r="O590" s="6"/>
      <c r="P590" s="16">
        <v>429</v>
      </c>
      <c r="Q590" s="16">
        <v>634</v>
      </c>
      <c r="R590" s="22"/>
      <c r="S590" s="22">
        <f t="shared" si="18"/>
        <v>0</v>
      </c>
      <c r="U590" s="5" t="s">
        <v>1210</v>
      </c>
      <c r="Y590" s="8"/>
      <c r="Z590" s="8"/>
      <c r="AA590" s="8"/>
      <c r="AB590" s="8"/>
      <c r="AC590" s="8"/>
      <c r="AD590" s="8"/>
      <c r="AE590" s="25"/>
      <c r="AF590" s="11"/>
      <c r="AG590" s="25"/>
      <c r="AH590" s="11"/>
      <c r="AI590" s="11">
        <v>72</v>
      </c>
      <c r="AJ590" s="19">
        <v>18</v>
      </c>
      <c r="AK590" s="12">
        <f>(AJ590+AI590)/30*7</f>
        <v>21</v>
      </c>
      <c r="AL590" s="6">
        <f>IF(AK590-C590&lt;0,0,AK590-C590)</f>
        <v>0</v>
      </c>
      <c r="AM590" s="6">
        <f>IF(AL590-R590-S590&lt;0,0,AL590-R590-S590)</f>
        <v>0</v>
      </c>
      <c r="AN590" s="5" t="str">
        <f t="shared" si="19"/>
        <v/>
      </c>
      <c r="AO590" s="5">
        <v>0</v>
      </c>
      <c r="AP590" s="9"/>
      <c r="AQ590" s="5" t="s">
        <v>1210</v>
      </c>
      <c r="AR590" s="5" t="s">
        <v>1230</v>
      </c>
      <c r="AS590" s="8"/>
      <c r="AT590" s="8"/>
      <c r="AU590" s="8"/>
      <c r="AV590" s="8"/>
      <c r="AW590" s="8"/>
      <c r="AX590" s="8"/>
      <c r="AY590" s="8"/>
      <c r="AZ590" s="8"/>
    </row>
    <row r="591" spans="1:52">
      <c r="A591" s="5" t="s">
        <v>27</v>
      </c>
      <c r="B591" s="5">
        <v>1107</v>
      </c>
      <c r="C591" s="19">
        <v>834</v>
      </c>
      <c r="E591" s="14"/>
      <c r="F591" s="11"/>
      <c r="G591" s="11"/>
      <c r="H591" s="11"/>
      <c r="I591" s="11"/>
      <c r="J591" s="25"/>
      <c r="K591" s="11"/>
      <c r="L591" s="11"/>
      <c r="M591" s="19">
        <v>2</v>
      </c>
      <c r="O591" s="6"/>
      <c r="P591" s="16">
        <v>537</v>
      </c>
      <c r="Q591" s="16">
        <v>0</v>
      </c>
      <c r="R591" s="22"/>
      <c r="S591" s="22">
        <f t="shared" si="18"/>
        <v>0</v>
      </c>
      <c r="T591" s="5" t="s">
        <v>1210</v>
      </c>
      <c r="U591" s="5" t="s">
        <v>1210</v>
      </c>
      <c r="Y591" s="8"/>
      <c r="Z591" s="8"/>
      <c r="AA591" s="8"/>
      <c r="AB591" s="8"/>
      <c r="AC591" s="8"/>
      <c r="AD591" s="8"/>
      <c r="AE591" s="25"/>
      <c r="AF591" s="11"/>
      <c r="AG591" s="25"/>
      <c r="AH591" s="11"/>
      <c r="AI591" s="11">
        <v>74</v>
      </c>
      <c r="AJ591" s="19">
        <v>101</v>
      </c>
      <c r="AK591" s="12">
        <f>(AJ591+AI591)/30*7</f>
        <v>40.833333333333329</v>
      </c>
      <c r="AL591" s="6">
        <f>IF(AK591-C591&lt;0,0,AK591-C591)</f>
        <v>0</v>
      </c>
      <c r="AM591" s="6">
        <f>IF(AL591-R591-S591&lt;0,0,AL591-R591-S591)</f>
        <v>0</v>
      </c>
      <c r="AN591" s="5" t="str">
        <f t="shared" si="19"/>
        <v/>
      </c>
      <c r="AO591" s="5">
        <v>0</v>
      </c>
      <c r="AP591" s="9"/>
      <c r="AQ591" s="5" t="s">
        <v>1229</v>
      </c>
      <c r="AR591" s="5" t="s">
        <v>1210</v>
      </c>
      <c r="AS591" s="8"/>
      <c r="AT591" s="8"/>
      <c r="AU591" s="8"/>
      <c r="AV591" s="8"/>
      <c r="AW591" s="8"/>
      <c r="AX591" s="8"/>
      <c r="AY591" s="8"/>
      <c r="AZ591" s="8"/>
    </row>
    <row r="592" spans="1:52">
      <c r="A592" s="5" t="s">
        <v>754</v>
      </c>
      <c r="B592" s="5">
        <v>1328</v>
      </c>
      <c r="C592" s="19">
        <v>271</v>
      </c>
      <c r="E592" s="14"/>
      <c r="F592" s="11"/>
      <c r="G592" s="11"/>
      <c r="H592" s="11"/>
      <c r="I592" s="11"/>
      <c r="J592" s="25"/>
      <c r="K592" s="11"/>
      <c r="L592" s="11"/>
      <c r="M592" s="19">
        <v>8</v>
      </c>
      <c r="O592" s="6"/>
      <c r="P592" s="16">
        <v>501</v>
      </c>
      <c r="Q592" s="16">
        <v>0</v>
      </c>
      <c r="R592" s="22"/>
      <c r="S592" s="22">
        <f t="shared" si="18"/>
        <v>0</v>
      </c>
      <c r="T592" s="5" t="s">
        <v>1210</v>
      </c>
      <c r="U592" s="5" t="s">
        <v>1210</v>
      </c>
      <c r="Y592" s="8"/>
      <c r="Z592" s="8"/>
      <c r="AA592" s="8"/>
      <c r="AB592" s="8"/>
      <c r="AC592" s="8"/>
      <c r="AD592" s="8"/>
      <c r="AE592" s="25"/>
      <c r="AF592" s="11"/>
      <c r="AG592" s="25"/>
      <c r="AH592" s="11"/>
      <c r="AI592" s="11">
        <v>93</v>
      </c>
      <c r="AJ592" s="19">
        <v>0</v>
      </c>
      <c r="AK592" s="12">
        <f>(AJ592+AI592)/30*7</f>
        <v>21.7</v>
      </c>
      <c r="AL592" s="6">
        <f>IF(AK592-C592&lt;0,0,AK592-C592)</f>
        <v>0</v>
      </c>
      <c r="AM592" s="6">
        <f>IF(AL592-R592-S592&lt;0,0,AL592-R592-S592)</f>
        <v>0</v>
      </c>
      <c r="AN592" s="5" t="str">
        <f t="shared" si="19"/>
        <v/>
      </c>
      <c r="AO592" s="5">
        <v>0</v>
      </c>
      <c r="AP592" s="9"/>
      <c r="AQ592" s="5" t="s">
        <v>1210</v>
      </c>
      <c r="AR592" s="5" t="s">
        <v>1210</v>
      </c>
      <c r="AS592" s="8"/>
      <c r="AT592" s="8"/>
      <c r="AU592" s="8"/>
      <c r="AV592" s="8"/>
      <c r="AW592" s="8"/>
      <c r="AX592" s="8"/>
      <c r="AY592" s="8"/>
      <c r="AZ592" s="8"/>
    </row>
    <row r="593" spans="1:52">
      <c r="A593" s="5" t="s">
        <v>111</v>
      </c>
      <c r="B593" s="5">
        <v>1259</v>
      </c>
      <c r="C593" s="19">
        <v>926</v>
      </c>
      <c r="E593" s="14"/>
      <c r="F593" s="11"/>
      <c r="G593" s="11"/>
      <c r="H593" s="11"/>
      <c r="I593" s="11"/>
      <c r="J593" s="25"/>
      <c r="K593" s="11"/>
      <c r="L593" s="11"/>
      <c r="M593" s="19">
        <v>0</v>
      </c>
      <c r="O593" s="6"/>
      <c r="P593" s="16">
        <v>452</v>
      </c>
      <c r="Q593" s="16">
        <v>0</v>
      </c>
      <c r="R593" s="22"/>
      <c r="S593" s="22">
        <f t="shared" si="18"/>
        <v>0</v>
      </c>
      <c r="U593" s="5" t="s">
        <v>1210</v>
      </c>
      <c r="Y593" s="8"/>
      <c r="Z593" s="8"/>
      <c r="AA593" s="8"/>
      <c r="AB593" s="8"/>
      <c r="AC593" s="8"/>
      <c r="AD593" s="8"/>
      <c r="AE593" s="25"/>
      <c r="AF593" s="11"/>
      <c r="AG593" s="25"/>
      <c r="AH593" s="11"/>
      <c r="AI593" s="11">
        <v>53</v>
      </c>
      <c r="AJ593" s="19">
        <v>117</v>
      </c>
      <c r="AK593" s="12">
        <f>(AJ593+AI593)/30*7</f>
        <v>39.666666666666671</v>
      </c>
      <c r="AL593" s="6">
        <f>IF(AK593-C593&lt;0,0,AK593-C593)</f>
        <v>0</v>
      </c>
      <c r="AM593" s="6">
        <f>IF(AL593-R593-S593&lt;0,0,AL593-R593-S593)</f>
        <v>0</v>
      </c>
      <c r="AN593" s="5" t="str">
        <f t="shared" si="19"/>
        <v/>
      </c>
      <c r="AO593" s="5">
        <v>0</v>
      </c>
      <c r="AP593" s="9"/>
      <c r="AQ593" s="5" t="s">
        <v>1210</v>
      </c>
      <c r="AR593" s="5" t="s">
        <v>1210</v>
      </c>
      <c r="AS593" s="8"/>
      <c r="AT593" s="8"/>
      <c r="AU593" s="8"/>
      <c r="AV593" s="8"/>
      <c r="AW593" s="8"/>
      <c r="AX593" s="8"/>
      <c r="AY593" s="8"/>
      <c r="AZ593" s="8"/>
    </row>
    <row r="594" spans="1:52">
      <c r="A594" s="5" t="s">
        <v>252</v>
      </c>
      <c r="B594" s="5">
        <v>1307</v>
      </c>
      <c r="C594" s="19">
        <v>380</v>
      </c>
      <c r="E594" s="14"/>
      <c r="F594" s="11"/>
      <c r="G594" s="11"/>
      <c r="H594" s="11"/>
      <c r="I594" s="11"/>
      <c r="J594" s="25"/>
      <c r="K594" s="11"/>
      <c r="L594" s="11"/>
      <c r="M594" s="19">
        <v>0</v>
      </c>
      <c r="O594" s="6"/>
      <c r="P594" s="16">
        <v>703</v>
      </c>
      <c r="Q594" s="16">
        <v>0</v>
      </c>
      <c r="R594" s="22"/>
      <c r="S594" s="22">
        <f t="shared" si="18"/>
        <v>0</v>
      </c>
      <c r="U594" s="5" t="s">
        <v>1210</v>
      </c>
      <c r="Y594" s="8"/>
      <c r="Z594" s="8"/>
      <c r="AA594" s="8"/>
      <c r="AB594" s="8"/>
      <c r="AC594" s="8"/>
      <c r="AD594" s="8"/>
      <c r="AE594" s="25"/>
      <c r="AF594" s="11"/>
      <c r="AG594" s="25"/>
      <c r="AH594" s="11"/>
      <c r="AI594" s="11">
        <v>55</v>
      </c>
      <c r="AJ594" s="19">
        <v>55</v>
      </c>
      <c r="AK594" s="12">
        <f>(AJ594+AI594)/30*7</f>
        <v>25.666666666666664</v>
      </c>
      <c r="AL594" s="6">
        <f>IF(AK594-C594&lt;0,0,AK594-C594)</f>
        <v>0</v>
      </c>
      <c r="AM594" s="6">
        <f>IF(AL594-R594-S594&lt;0,0,AL594-R594-S594)</f>
        <v>0</v>
      </c>
      <c r="AN594" s="5" t="str">
        <f t="shared" si="19"/>
        <v/>
      </c>
      <c r="AO594" s="5">
        <v>0</v>
      </c>
      <c r="AP594" s="9"/>
      <c r="AQ594" s="5" t="s">
        <v>1210</v>
      </c>
      <c r="AR594" s="5" t="s">
        <v>1210</v>
      </c>
      <c r="AS594" s="8"/>
      <c r="AT594" s="8"/>
      <c r="AU594" s="8"/>
      <c r="AV594" s="8"/>
      <c r="AW594" s="8"/>
      <c r="AX594" s="8"/>
      <c r="AY594" s="8"/>
      <c r="AZ594" s="8"/>
    </row>
    <row r="595" spans="1:52">
      <c r="A595" s="5" t="s">
        <v>303</v>
      </c>
      <c r="B595" s="5">
        <v>869</v>
      </c>
      <c r="C595" s="19">
        <v>302</v>
      </c>
      <c r="E595" s="14"/>
      <c r="F595" s="11"/>
      <c r="G595" s="11"/>
      <c r="H595" s="11"/>
      <c r="I595" s="11"/>
      <c r="J595" s="25"/>
      <c r="K595" s="11"/>
      <c r="L595" s="11"/>
      <c r="M595" s="19">
        <v>0</v>
      </c>
      <c r="O595" s="6"/>
      <c r="P595" s="16">
        <v>913</v>
      </c>
      <c r="Q595" s="16">
        <v>563</v>
      </c>
      <c r="R595" s="22"/>
      <c r="S595" s="22">
        <f t="shared" si="18"/>
        <v>0</v>
      </c>
      <c r="T595" s="5" t="s">
        <v>1210</v>
      </c>
      <c r="U595" s="5" t="s">
        <v>1210</v>
      </c>
      <c r="Y595" s="8"/>
      <c r="Z595" s="8"/>
      <c r="AA595" s="8"/>
      <c r="AB595" s="8"/>
      <c r="AC595" s="8"/>
      <c r="AD595" s="8"/>
      <c r="AE595" s="25"/>
      <c r="AF595" s="11"/>
      <c r="AG595" s="25"/>
      <c r="AH595" s="11"/>
      <c r="AI595" s="11">
        <v>80</v>
      </c>
      <c r="AJ595" s="19">
        <v>0</v>
      </c>
      <c r="AK595" s="12">
        <f>(AJ595+AI595)/30*7</f>
        <v>18.666666666666664</v>
      </c>
      <c r="AL595" s="6">
        <f>IF(AK595-C595&lt;0,0,AK595-C595)</f>
        <v>0</v>
      </c>
      <c r="AM595" s="6">
        <f>IF(AL595-R595-S595&lt;0,0,AL595-R595-S595)</f>
        <v>0</v>
      </c>
      <c r="AN595" s="5" t="str">
        <f t="shared" si="19"/>
        <v/>
      </c>
      <c r="AO595" s="5">
        <v>0</v>
      </c>
      <c r="AP595" s="9"/>
      <c r="AQ595" s="5" t="s">
        <v>1210</v>
      </c>
      <c r="AR595" s="5" t="s">
        <v>1210</v>
      </c>
      <c r="AS595" s="8"/>
      <c r="AT595" s="8"/>
      <c r="AU595" s="8"/>
      <c r="AV595" s="8"/>
      <c r="AW595" s="8"/>
      <c r="AX595" s="8"/>
      <c r="AY595" s="8"/>
      <c r="AZ595" s="8"/>
    </row>
    <row r="596" spans="1:52">
      <c r="A596" s="5" t="s">
        <v>148</v>
      </c>
      <c r="B596" s="5">
        <v>829</v>
      </c>
      <c r="C596" s="19">
        <v>656</v>
      </c>
      <c r="E596" s="14"/>
      <c r="F596" s="11"/>
      <c r="G596" s="11"/>
      <c r="H596" s="11"/>
      <c r="I596" s="11"/>
      <c r="J596" s="25"/>
      <c r="K596" s="11"/>
      <c r="L596" s="11"/>
      <c r="M596" s="19">
        <v>0</v>
      </c>
      <c r="O596" s="6"/>
      <c r="P596" s="16">
        <v>357</v>
      </c>
      <c r="Q596" s="16">
        <v>418</v>
      </c>
      <c r="R596" s="22"/>
      <c r="S596" s="22">
        <f t="shared" si="18"/>
        <v>0</v>
      </c>
      <c r="T596" s="5" t="s">
        <v>1210</v>
      </c>
      <c r="U596" s="5" t="s">
        <v>1210</v>
      </c>
      <c r="Y596" s="8"/>
      <c r="Z596" s="8"/>
      <c r="AA596" s="8"/>
      <c r="AB596" s="8"/>
      <c r="AC596" s="8"/>
      <c r="AD596" s="8"/>
      <c r="AE596" s="25"/>
      <c r="AF596" s="11"/>
      <c r="AG596" s="25"/>
      <c r="AH596" s="11"/>
      <c r="AI596" s="11">
        <v>83</v>
      </c>
      <c r="AJ596" s="19">
        <v>35</v>
      </c>
      <c r="AK596" s="12">
        <f>(AJ596+AI596)/30*7</f>
        <v>27.533333333333331</v>
      </c>
      <c r="AL596" s="6">
        <f>IF(AK596-C596&lt;0,0,AK596-C596)</f>
        <v>0</v>
      </c>
      <c r="AM596" s="6">
        <f>IF(AL596-R596-S596&lt;0,0,AL596-R596-S596)</f>
        <v>0</v>
      </c>
      <c r="AN596" s="5" t="str">
        <f t="shared" si="19"/>
        <v/>
      </c>
      <c r="AO596" s="5">
        <v>0</v>
      </c>
      <c r="AP596" s="9"/>
      <c r="AQ596" s="5" t="s">
        <v>1210</v>
      </c>
      <c r="AR596" s="5" t="s">
        <v>1210</v>
      </c>
      <c r="AS596" s="8"/>
      <c r="AT596" s="8"/>
      <c r="AU596" s="8"/>
      <c r="AV596" s="8"/>
      <c r="AW596" s="8"/>
      <c r="AX596" s="8"/>
      <c r="AY596" s="8"/>
      <c r="AZ596" s="8"/>
    </row>
    <row r="597" spans="1:52">
      <c r="A597" s="5" t="s">
        <v>154</v>
      </c>
      <c r="B597" s="5">
        <v>1296</v>
      </c>
      <c r="C597" s="19">
        <v>982</v>
      </c>
      <c r="E597" s="14"/>
      <c r="F597" s="11"/>
      <c r="G597" s="11"/>
      <c r="H597" s="11"/>
      <c r="I597" s="11"/>
      <c r="J597" s="25"/>
      <c r="K597" s="11"/>
      <c r="L597" s="11"/>
      <c r="M597" s="19">
        <v>4</v>
      </c>
      <c r="O597" s="6"/>
      <c r="P597" s="16">
        <v>603</v>
      </c>
      <c r="Q597" s="16">
        <v>0</v>
      </c>
      <c r="R597" s="22"/>
      <c r="S597" s="22">
        <f t="shared" si="18"/>
        <v>0</v>
      </c>
      <c r="T597" s="5" t="s">
        <v>1210</v>
      </c>
      <c r="U597" s="5" t="s">
        <v>1210</v>
      </c>
      <c r="Y597" s="8"/>
      <c r="Z597" s="8"/>
      <c r="AA597" s="8"/>
      <c r="AB597" s="8"/>
      <c r="AC597" s="8"/>
      <c r="AD597" s="8"/>
      <c r="AE597" s="25"/>
      <c r="AF597" s="11"/>
      <c r="AG597" s="25"/>
      <c r="AH597" s="11"/>
      <c r="AI597" s="11">
        <v>52</v>
      </c>
      <c r="AJ597" s="19">
        <v>78</v>
      </c>
      <c r="AK597" s="12">
        <f>(AJ597+AI597)/30*7</f>
        <v>30.333333333333332</v>
      </c>
      <c r="AL597" s="6">
        <f>IF(AK597-C597&lt;0,0,AK597-C597)</f>
        <v>0</v>
      </c>
      <c r="AM597" s="6">
        <f>IF(AL597-R597-S597&lt;0,0,AL597-R597-S597)</f>
        <v>0</v>
      </c>
      <c r="AN597" s="5" t="str">
        <f t="shared" si="19"/>
        <v/>
      </c>
      <c r="AO597" s="5">
        <v>0</v>
      </c>
      <c r="AP597" s="9"/>
      <c r="AQ597" s="5" t="s">
        <v>1210</v>
      </c>
      <c r="AR597" s="5" t="s">
        <v>1210</v>
      </c>
      <c r="AS597" s="8"/>
      <c r="AT597" s="8"/>
      <c r="AU597" s="8"/>
      <c r="AV597" s="8"/>
      <c r="AW597" s="8"/>
      <c r="AX597" s="8"/>
      <c r="AY597" s="8"/>
      <c r="AZ597" s="8"/>
    </row>
    <row r="598" spans="1:52">
      <c r="A598" s="5" t="s">
        <v>12</v>
      </c>
      <c r="B598" s="5">
        <v>914</v>
      </c>
      <c r="C598" s="19">
        <v>429</v>
      </c>
      <c r="E598" s="14"/>
      <c r="F598" s="11"/>
      <c r="G598" s="11"/>
      <c r="H598" s="11"/>
      <c r="I598" s="11"/>
      <c r="J598" s="25"/>
      <c r="K598" s="11"/>
      <c r="L598" s="11"/>
      <c r="M598" s="19">
        <v>6</v>
      </c>
      <c r="O598" s="6"/>
      <c r="P598" s="16">
        <v>502</v>
      </c>
      <c r="Q598" s="16">
        <v>0</v>
      </c>
      <c r="R598" s="22"/>
      <c r="S598" s="22">
        <f t="shared" si="18"/>
        <v>0</v>
      </c>
      <c r="T598" s="5" t="s">
        <v>1210</v>
      </c>
      <c r="U598" s="5" t="s">
        <v>1210</v>
      </c>
      <c r="Y598" s="8"/>
      <c r="Z598" s="8"/>
      <c r="AA598" s="8"/>
      <c r="AB598" s="8"/>
      <c r="AC598" s="8"/>
      <c r="AD598" s="8"/>
      <c r="AE598" s="25"/>
      <c r="AF598" s="11"/>
      <c r="AG598" s="25"/>
      <c r="AH598" s="11"/>
      <c r="AI598" s="11">
        <v>48</v>
      </c>
      <c r="AJ598" s="19">
        <v>146</v>
      </c>
      <c r="AK598" s="12">
        <f>(AJ598+AI598)/30*7</f>
        <v>45.266666666666666</v>
      </c>
      <c r="AL598" s="6">
        <f>IF(AK598-C598&lt;0,0,AK598-C598)</f>
        <v>0</v>
      </c>
      <c r="AM598" s="6">
        <f>IF(AL598-R598-S598&lt;0,0,AL598-R598-S598)</f>
        <v>0</v>
      </c>
      <c r="AN598" s="5" t="str">
        <f t="shared" si="19"/>
        <v/>
      </c>
      <c r="AO598" s="5">
        <v>0</v>
      </c>
      <c r="AP598" s="9"/>
      <c r="AQ598" s="5" t="s">
        <v>1229</v>
      </c>
      <c r="AR598" s="5" t="s">
        <v>1210</v>
      </c>
      <c r="AS598" s="8"/>
      <c r="AT598" s="8"/>
      <c r="AU598" s="8"/>
      <c r="AV598" s="8"/>
      <c r="AW598" s="8"/>
      <c r="AX598" s="8"/>
      <c r="AY598" s="8"/>
      <c r="AZ598" s="8"/>
    </row>
    <row r="599" spans="1:52">
      <c r="A599" s="5" t="s">
        <v>425</v>
      </c>
      <c r="B599" s="5">
        <v>1099</v>
      </c>
      <c r="C599" s="19">
        <v>432</v>
      </c>
      <c r="E599" s="14"/>
      <c r="F599" s="11"/>
      <c r="G599" s="11"/>
      <c r="H599" s="11"/>
      <c r="I599" s="11"/>
      <c r="J599" s="25"/>
      <c r="K599" s="11"/>
      <c r="L599" s="11"/>
      <c r="M599" s="19">
        <v>0</v>
      </c>
      <c r="O599" s="6"/>
      <c r="P599" s="16">
        <v>0</v>
      </c>
      <c r="Q599" s="16">
        <v>739</v>
      </c>
      <c r="R599" s="22"/>
      <c r="S599" s="22">
        <f t="shared" si="18"/>
        <v>0</v>
      </c>
      <c r="U599" s="5" t="s">
        <v>1210</v>
      </c>
      <c r="Y599" s="8"/>
      <c r="Z599" s="8"/>
      <c r="AA599" s="8"/>
      <c r="AB599" s="8"/>
      <c r="AC599" s="8"/>
      <c r="AD599" s="8"/>
      <c r="AE599" s="25"/>
      <c r="AF599" s="11"/>
      <c r="AG599" s="25"/>
      <c r="AH599" s="11"/>
      <c r="AI599" s="11">
        <v>75</v>
      </c>
      <c r="AJ599" s="19">
        <v>16</v>
      </c>
      <c r="AK599" s="12">
        <f>(AJ599+AI599)/30*7</f>
        <v>21.233333333333334</v>
      </c>
      <c r="AL599" s="6">
        <f>IF(AK599-C599&lt;0,0,AK599-C599)</f>
        <v>0</v>
      </c>
      <c r="AM599" s="6">
        <f>IF(AL599-R599-S599&lt;0,0,AL599-R599-S599)</f>
        <v>0</v>
      </c>
      <c r="AN599" s="5" t="str">
        <f t="shared" si="19"/>
        <v/>
      </c>
      <c r="AO599" s="5">
        <v>0</v>
      </c>
      <c r="AP599" s="9"/>
      <c r="AQ599" s="5" t="s">
        <v>1210</v>
      </c>
      <c r="AR599" s="5" t="s">
        <v>1210</v>
      </c>
      <c r="AS599" s="8"/>
      <c r="AT599" s="8"/>
      <c r="AU599" s="8"/>
      <c r="AV599" s="8"/>
      <c r="AW599" s="8"/>
      <c r="AX599" s="8"/>
      <c r="AY599" s="8"/>
      <c r="AZ599" s="8"/>
    </row>
    <row r="600" spans="1:52">
      <c r="A600" s="5" t="s">
        <v>81</v>
      </c>
      <c r="B600" s="5">
        <v>702</v>
      </c>
      <c r="C600" s="19">
        <v>329</v>
      </c>
      <c r="E600" s="14"/>
      <c r="F600" s="11"/>
      <c r="G600" s="11"/>
      <c r="H600" s="11"/>
      <c r="I600" s="11"/>
      <c r="J600" s="25"/>
      <c r="K600" s="11"/>
      <c r="L600" s="11"/>
      <c r="M600" s="19">
        <v>0</v>
      </c>
      <c r="O600" s="6"/>
      <c r="P600" s="16">
        <v>776</v>
      </c>
      <c r="Q600" s="16">
        <v>0</v>
      </c>
      <c r="R600" s="22"/>
      <c r="S600" s="22">
        <f t="shared" si="18"/>
        <v>0</v>
      </c>
      <c r="T600" s="5" t="s">
        <v>1210</v>
      </c>
      <c r="U600" s="5" t="s">
        <v>1210</v>
      </c>
      <c r="Y600" s="8"/>
      <c r="Z600" s="8"/>
      <c r="AA600" s="8"/>
      <c r="AB600" s="8"/>
      <c r="AC600" s="8"/>
      <c r="AD600" s="8"/>
      <c r="AE600" s="25"/>
      <c r="AF600" s="11"/>
      <c r="AG600" s="25"/>
      <c r="AH600" s="11"/>
      <c r="AI600" s="11">
        <v>35</v>
      </c>
      <c r="AJ600" s="19">
        <v>116</v>
      </c>
      <c r="AK600" s="12">
        <f>(AJ600+AI600)/30*7</f>
        <v>35.233333333333334</v>
      </c>
      <c r="AL600" s="6">
        <f>IF(AK600-C600&lt;0,0,AK600-C600)</f>
        <v>0</v>
      </c>
      <c r="AM600" s="6">
        <f>IF(AL600-R600-S600&lt;0,0,AL600-R600-S600)</f>
        <v>0</v>
      </c>
      <c r="AN600" s="5" t="str">
        <f t="shared" si="19"/>
        <v/>
      </c>
      <c r="AO600" s="5">
        <v>0</v>
      </c>
      <c r="AP600" s="9"/>
      <c r="AQ600" s="5" t="s">
        <v>1210</v>
      </c>
      <c r="AR600" s="5" t="s">
        <v>1210</v>
      </c>
      <c r="AS600" s="8"/>
      <c r="AT600" s="8"/>
      <c r="AU600" s="8"/>
      <c r="AV600" s="8"/>
      <c r="AW600" s="8"/>
      <c r="AX600" s="8"/>
      <c r="AY600" s="8"/>
      <c r="AZ600" s="8"/>
    </row>
    <row r="601" spans="1:52">
      <c r="A601" s="5" t="s">
        <v>258</v>
      </c>
      <c r="B601" s="5">
        <v>700</v>
      </c>
      <c r="C601" s="19">
        <v>687</v>
      </c>
      <c r="E601" s="14"/>
      <c r="F601" s="11"/>
      <c r="G601" s="11"/>
      <c r="H601" s="11"/>
      <c r="I601" s="11"/>
      <c r="J601" s="25"/>
      <c r="K601" s="11"/>
      <c r="L601" s="11"/>
      <c r="M601" s="19">
        <v>0</v>
      </c>
      <c r="O601" s="6"/>
      <c r="P601" s="16">
        <v>928</v>
      </c>
      <c r="Q601" s="16">
        <v>315</v>
      </c>
      <c r="R601" s="22"/>
      <c r="S601" s="22">
        <f t="shared" si="18"/>
        <v>0</v>
      </c>
      <c r="T601" s="5" t="s">
        <v>1210</v>
      </c>
      <c r="U601" s="5" t="s">
        <v>1210</v>
      </c>
      <c r="Y601" s="8"/>
      <c r="Z601" s="8"/>
      <c r="AA601" s="8"/>
      <c r="AB601" s="8"/>
      <c r="AC601" s="8"/>
      <c r="AD601" s="8"/>
      <c r="AE601" s="25"/>
      <c r="AF601" s="11"/>
      <c r="AG601" s="25"/>
      <c r="AH601" s="11"/>
      <c r="AI601" s="11">
        <v>23</v>
      </c>
      <c r="AJ601" s="19">
        <v>46</v>
      </c>
      <c r="AK601" s="12">
        <f>(AJ601+AI601)/30*7</f>
        <v>16.099999999999998</v>
      </c>
      <c r="AL601" s="6">
        <f>IF(AK601-C601&lt;0,0,AK601-C601)</f>
        <v>0</v>
      </c>
      <c r="AM601" s="6">
        <f>IF(AL601-R601-S601&lt;0,0,AL601-R601-S601)</f>
        <v>0</v>
      </c>
      <c r="AN601" s="5" t="str">
        <f t="shared" si="19"/>
        <v/>
      </c>
      <c r="AO601" s="5">
        <v>0</v>
      </c>
      <c r="AP601" s="9"/>
      <c r="AQ601" s="5" t="s">
        <v>1210</v>
      </c>
      <c r="AR601" s="5" t="s">
        <v>1210</v>
      </c>
      <c r="AS601" s="8"/>
      <c r="AT601" s="8"/>
      <c r="AU601" s="8"/>
      <c r="AV601" s="8"/>
      <c r="AW601" s="8"/>
      <c r="AX601" s="8"/>
      <c r="AY601" s="8"/>
      <c r="AZ601" s="8"/>
    </row>
    <row r="602" spans="1:52">
      <c r="A602" s="5" t="s">
        <v>22</v>
      </c>
      <c r="B602" s="5">
        <v>1521</v>
      </c>
      <c r="C602" s="19">
        <v>973</v>
      </c>
      <c r="E602" s="14"/>
      <c r="F602" s="11"/>
      <c r="G602" s="11"/>
      <c r="H602" s="11"/>
      <c r="I602" s="11"/>
      <c r="J602" s="25"/>
      <c r="K602" s="11"/>
      <c r="L602" s="11"/>
      <c r="M602" s="19">
        <v>8</v>
      </c>
      <c r="O602" s="6"/>
      <c r="P602" s="16">
        <v>570</v>
      </c>
      <c r="Q602" s="16">
        <v>0</v>
      </c>
      <c r="R602" s="22"/>
      <c r="S602" s="22">
        <f t="shared" si="18"/>
        <v>0</v>
      </c>
      <c r="U602" s="5" t="s">
        <v>1210</v>
      </c>
      <c r="Y602" s="8"/>
      <c r="Z602" s="8"/>
      <c r="AA602" s="8"/>
      <c r="AB602" s="8"/>
      <c r="AC602" s="8"/>
      <c r="AD602" s="8"/>
      <c r="AE602" s="25"/>
      <c r="AF602" s="11"/>
      <c r="AG602" s="25"/>
      <c r="AH602" s="11"/>
      <c r="AI602" s="11">
        <v>50</v>
      </c>
      <c r="AJ602" s="19">
        <v>130</v>
      </c>
      <c r="AK602" s="12">
        <f>(AJ602+AI602)/30*7</f>
        <v>42</v>
      </c>
      <c r="AL602" s="6">
        <f>IF(AK602-C602&lt;0,0,AK602-C602)</f>
        <v>0</v>
      </c>
      <c r="AM602" s="6">
        <f>IF(AL602-R602-S602&lt;0,0,AL602-R602-S602)</f>
        <v>0</v>
      </c>
      <c r="AN602" s="5" t="str">
        <f t="shared" si="19"/>
        <v/>
      </c>
      <c r="AO602" s="5">
        <v>0</v>
      </c>
      <c r="AP602" s="9"/>
      <c r="AQ602" s="5" t="s">
        <v>1229</v>
      </c>
      <c r="AR602" s="5" t="s">
        <v>1210</v>
      </c>
      <c r="AS602" s="8"/>
      <c r="AT602" s="8"/>
      <c r="AU602" s="8"/>
      <c r="AV602" s="8"/>
      <c r="AW602" s="8"/>
      <c r="AX602" s="8"/>
      <c r="AY602" s="8"/>
      <c r="AZ602" s="8"/>
    </row>
    <row r="603" spans="1:52">
      <c r="A603" s="5" t="s">
        <v>736</v>
      </c>
      <c r="B603" s="5">
        <v>1852</v>
      </c>
      <c r="C603" s="19">
        <v>923</v>
      </c>
      <c r="E603" s="14"/>
      <c r="F603" s="11"/>
      <c r="G603" s="11"/>
      <c r="H603" s="11"/>
      <c r="I603" s="11"/>
      <c r="J603" s="25"/>
      <c r="K603" s="11"/>
      <c r="L603" s="11"/>
      <c r="M603" s="19">
        <v>0</v>
      </c>
      <c r="O603" s="6"/>
      <c r="P603" s="16">
        <v>239</v>
      </c>
      <c r="Q603" s="16">
        <v>895</v>
      </c>
      <c r="R603" s="22"/>
      <c r="S603" s="22">
        <f t="shared" si="18"/>
        <v>0</v>
      </c>
      <c r="T603" s="5" t="s">
        <v>1210</v>
      </c>
      <c r="U603" s="5" t="s">
        <v>1210</v>
      </c>
      <c r="Y603" s="8"/>
      <c r="Z603" s="8"/>
      <c r="AA603" s="8"/>
      <c r="AB603" s="8"/>
      <c r="AC603" s="8"/>
      <c r="AD603" s="8"/>
      <c r="AE603" s="25"/>
      <c r="AF603" s="11"/>
      <c r="AG603" s="25"/>
      <c r="AH603" s="11"/>
      <c r="AI603" s="11">
        <v>50</v>
      </c>
      <c r="AJ603" s="19">
        <v>31</v>
      </c>
      <c r="AK603" s="12">
        <f>(AJ603+AI603)/30*7</f>
        <v>18.900000000000002</v>
      </c>
      <c r="AL603" s="6">
        <f>IF(AK603-C603&lt;0,0,AK603-C603)</f>
        <v>0</v>
      </c>
      <c r="AM603" s="6">
        <f>IF(AL603-R603-S603&lt;0,0,AL603-R603-S603)</f>
        <v>0</v>
      </c>
      <c r="AN603" s="5" t="str">
        <f t="shared" si="19"/>
        <v/>
      </c>
      <c r="AO603" s="5">
        <v>0</v>
      </c>
      <c r="AP603" s="9"/>
      <c r="AQ603" s="5" t="s">
        <v>1210</v>
      </c>
      <c r="AR603" s="5" t="s">
        <v>1210</v>
      </c>
      <c r="AS603" s="8"/>
      <c r="AT603" s="8"/>
      <c r="AU603" s="8"/>
      <c r="AV603" s="8"/>
      <c r="AW603" s="8"/>
      <c r="AX603" s="8"/>
      <c r="AY603" s="8"/>
      <c r="AZ603" s="8"/>
    </row>
    <row r="604" spans="1:52">
      <c r="A604" s="5" t="s">
        <v>9</v>
      </c>
      <c r="B604" s="5">
        <v>1044</v>
      </c>
      <c r="C604" s="19">
        <v>314</v>
      </c>
      <c r="E604" s="14"/>
      <c r="F604" s="11"/>
      <c r="G604" s="11"/>
      <c r="H604" s="11"/>
      <c r="I604" s="11"/>
      <c r="J604" s="25"/>
      <c r="K604" s="11"/>
      <c r="L604" s="11"/>
      <c r="M604" s="19">
        <v>10</v>
      </c>
      <c r="O604" s="6"/>
      <c r="P604" s="16">
        <v>379</v>
      </c>
      <c r="Q604" s="16">
        <v>899</v>
      </c>
      <c r="R604" s="22"/>
      <c r="S604" s="22">
        <f t="shared" si="18"/>
        <v>0</v>
      </c>
      <c r="T604" s="5" t="s">
        <v>1210</v>
      </c>
      <c r="U604" s="5" t="s">
        <v>1210</v>
      </c>
      <c r="Y604" s="8"/>
      <c r="Z604" s="8"/>
      <c r="AA604" s="8"/>
      <c r="AB604" s="8"/>
      <c r="AC604" s="8"/>
      <c r="AD604" s="8"/>
      <c r="AE604" s="25"/>
      <c r="AF604" s="11"/>
      <c r="AG604" s="25"/>
      <c r="AH604" s="11"/>
      <c r="AI604" s="11">
        <v>93</v>
      </c>
      <c r="AJ604" s="19">
        <v>99</v>
      </c>
      <c r="AK604" s="12">
        <f>(AJ604+AI604)/30*7</f>
        <v>44.800000000000004</v>
      </c>
      <c r="AL604" s="6">
        <f>IF(AK604-C604&lt;0,0,AK604-C604)</f>
        <v>0</v>
      </c>
      <c r="AM604" s="6">
        <f>IF(AL604-R604-S604&lt;0,0,AL604-R604-S604)</f>
        <v>0</v>
      </c>
      <c r="AN604" s="5" t="str">
        <f t="shared" si="19"/>
        <v/>
      </c>
      <c r="AO604" s="5">
        <v>0</v>
      </c>
      <c r="AP604" s="9"/>
      <c r="AQ604" s="5" t="s">
        <v>1229</v>
      </c>
      <c r="AR604" s="5" t="s">
        <v>1210</v>
      </c>
      <c r="AS604" s="8"/>
      <c r="AT604" s="8"/>
      <c r="AU604" s="8"/>
      <c r="AV604" s="8"/>
      <c r="AW604" s="8"/>
      <c r="AX604" s="8"/>
      <c r="AY604" s="8"/>
      <c r="AZ604" s="8"/>
    </row>
    <row r="605" spans="1:52">
      <c r="A605" s="5" t="s">
        <v>361</v>
      </c>
      <c r="B605" s="5">
        <v>1129</v>
      </c>
      <c r="C605" s="19">
        <v>377</v>
      </c>
      <c r="E605" s="14"/>
      <c r="F605" s="11"/>
      <c r="G605" s="11"/>
      <c r="H605" s="11"/>
      <c r="I605" s="11"/>
      <c r="J605" s="25"/>
      <c r="K605" s="11"/>
      <c r="L605" s="11"/>
      <c r="M605" s="19">
        <v>0</v>
      </c>
      <c r="O605" s="6"/>
      <c r="P605" s="16">
        <v>975</v>
      </c>
      <c r="Q605" s="16">
        <v>0</v>
      </c>
      <c r="R605" s="22"/>
      <c r="S605" s="22">
        <f t="shared" si="18"/>
        <v>0</v>
      </c>
      <c r="T605" s="5" t="s">
        <v>1210</v>
      </c>
      <c r="U605" s="5" t="s">
        <v>1210</v>
      </c>
      <c r="Y605" s="8"/>
      <c r="Z605" s="8"/>
      <c r="AA605" s="8"/>
      <c r="AB605" s="8"/>
      <c r="AC605" s="8"/>
      <c r="AD605" s="8"/>
      <c r="AE605" s="25"/>
      <c r="AF605" s="11"/>
      <c r="AG605" s="25"/>
      <c r="AH605" s="11"/>
      <c r="AI605" s="11">
        <v>36</v>
      </c>
      <c r="AJ605" s="19">
        <v>27</v>
      </c>
      <c r="AK605" s="12">
        <f>(AJ605+AI605)/30*7</f>
        <v>14.700000000000001</v>
      </c>
      <c r="AL605" s="6">
        <f>IF(AK605-C605&lt;0,0,AK605-C605)</f>
        <v>0</v>
      </c>
      <c r="AM605" s="6">
        <f>IF(AL605-R605-S605&lt;0,0,AL605-R605-S605)</f>
        <v>0</v>
      </c>
      <c r="AN605" s="5" t="str">
        <f t="shared" si="19"/>
        <v/>
      </c>
      <c r="AO605" s="5">
        <v>0</v>
      </c>
      <c r="AP605" s="9"/>
      <c r="AQ605" s="5" t="s">
        <v>1210</v>
      </c>
      <c r="AR605" s="5" t="s">
        <v>1210</v>
      </c>
      <c r="AS605" s="8"/>
      <c r="AT605" s="8"/>
      <c r="AU605" s="8"/>
      <c r="AV605" s="8"/>
      <c r="AW605" s="8"/>
      <c r="AX605" s="8"/>
      <c r="AY605" s="8"/>
      <c r="AZ605" s="8"/>
    </row>
    <row r="606" spans="1:52">
      <c r="A606" s="5" t="s">
        <v>283</v>
      </c>
      <c r="B606" s="5">
        <v>1711</v>
      </c>
      <c r="C606" s="19">
        <v>453</v>
      </c>
      <c r="E606" s="14"/>
      <c r="F606" s="11"/>
      <c r="G606" s="11"/>
      <c r="H606" s="11"/>
      <c r="I606" s="11"/>
      <c r="J606" s="25"/>
      <c r="K606" s="11"/>
      <c r="L606" s="11"/>
      <c r="M606" s="19">
        <v>0</v>
      </c>
      <c r="O606" s="6"/>
      <c r="P606" s="16">
        <v>943</v>
      </c>
      <c r="Q606" s="16">
        <v>0</v>
      </c>
      <c r="R606" s="22"/>
      <c r="S606" s="22">
        <f t="shared" si="18"/>
        <v>0</v>
      </c>
      <c r="T606" s="5" t="s">
        <v>1210</v>
      </c>
      <c r="U606" s="5" t="s">
        <v>1210</v>
      </c>
      <c r="Y606" s="8"/>
      <c r="Z606" s="8"/>
      <c r="AA606" s="8"/>
      <c r="AB606" s="8"/>
      <c r="AC606" s="8"/>
      <c r="AD606" s="8"/>
      <c r="AE606" s="25"/>
      <c r="AF606" s="11"/>
      <c r="AG606" s="25"/>
      <c r="AH606" s="11"/>
      <c r="AI606" s="11">
        <v>94</v>
      </c>
      <c r="AJ606" s="19">
        <v>41</v>
      </c>
      <c r="AK606" s="12">
        <f>(AJ606+AI606)/30*7</f>
        <v>31.5</v>
      </c>
      <c r="AL606" s="6">
        <f>IF(AK606-C606&lt;0,0,AK606-C606)</f>
        <v>0</v>
      </c>
      <c r="AM606" s="6">
        <f>IF(AL606-R606-S606&lt;0,0,AL606-R606-S606)</f>
        <v>0</v>
      </c>
      <c r="AN606" s="5" t="str">
        <f t="shared" si="19"/>
        <v/>
      </c>
      <c r="AO606" s="5">
        <v>0</v>
      </c>
      <c r="AP606" s="9"/>
      <c r="AQ606" s="5" t="s">
        <v>1210</v>
      </c>
      <c r="AR606" s="5" t="s">
        <v>1210</v>
      </c>
      <c r="AS606" s="8"/>
      <c r="AT606" s="8"/>
      <c r="AU606" s="8"/>
      <c r="AV606" s="8"/>
      <c r="AW606" s="8"/>
      <c r="AX606" s="8"/>
      <c r="AY606" s="8"/>
      <c r="AZ606" s="8"/>
    </row>
    <row r="607" spans="1:52">
      <c r="A607" s="5" t="s">
        <v>8</v>
      </c>
      <c r="B607" s="5">
        <v>2057</v>
      </c>
      <c r="C607" s="19">
        <v>901</v>
      </c>
      <c r="E607" s="14"/>
      <c r="F607" s="11"/>
      <c r="G607" s="11"/>
      <c r="H607" s="11"/>
      <c r="I607" s="11"/>
      <c r="J607" s="25"/>
      <c r="K607" s="11"/>
      <c r="L607" s="11"/>
      <c r="M607" s="19">
        <v>0</v>
      </c>
      <c r="O607" s="6"/>
      <c r="P607" s="16">
        <v>512</v>
      </c>
      <c r="Q607" s="16">
        <v>0</v>
      </c>
      <c r="R607" s="22"/>
      <c r="S607" s="22">
        <f t="shared" si="18"/>
        <v>0</v>
      </c>
      <c r="T607" s="5" t="s">
        <v>1210</v>
      </c>
      <c r="U607" s="5" t="s">
        <v>1210</v>
      </c>
      <c r="Y607" s="8"/>
      <c r="Z607" s="8"/>
      <c r="AA607" s="8"/>
      <c r="AB607" s="8"/>
      <c r="AC607" s="8"/>
      <c r="AD607" s="8"/>
      <c r="AE607" s="25"/>
      <c r="AF607" s="11"/>
      <c r="AG607" s="25"/>
      <c r="AH607" s="11"/>
      <c r="AI607" s="11">
        <v>20</v>
      </c>
      <c r="AJ607" s="19">
        <v>149</v>
      </c>
      <c r="AK607" s="12">
        <f>(AJ607+AI607)/30*7</f>
        <v>39.433333333333337</v>
      </c>
      <c r="AL607" s="6">
        <f>IF(AK607-C607&lt;0,0,AK607-C607)</f>
        <v>0</v>
      </c>
      <c r="AM607" s="6">
        <f>IF(AL607-R607-S607&lt;0,0,AL607-R607-S607)</f>
        <v>0</v>
      </c>
      <c r="AN607" s="5" t="str">
        <f t="shared" si="19"/>
        <v/>
      </c>
      <c r="AO607" s="5">
        <v>0</v>
      </c>
      <c r="AP607" s="9"/>
      <c r="AQ607" s="5" t="s">
        <v>1229</v>
      </c>
      <c r="AR607" s="5" t="s">
        <v>1210</v>
      </c>
      <c r="AS607" s="8"/>
      <c r="AT607" s="8"/>
      <c r="AU607" s="8"/>
      <c r="AV607" s="8"/>
      <c r="AW607" s="8"/>
      <c r="AX607" s="8"/>
      <c r="AY607" s="8"/>
      <c r="AZ607" s="8"/>
    </row>
    <row r="608" spans="1:52">
      <c r="A608" s="5" t="s">
        <v>363</v>
      </c>
      <c r="B608" s="5">
        <v>1811</v>
      </c>
      <c r="C608" s="19">
        <v>322</v>
      </c>
      <c r="E608" s="14"/>
      <c r="F608" s="11"/>
      <c r="G608" s="11"/>
      <c r="H608" s="11"/>
      <c r="I608" s="11"/>
      <c r="J608" s="25"/>
      <c r="K608" s="11"/>
      <c r="L608" s="11"/>
      <c r="M608" s="19">
        <v>0</v>
      </c>
      <c r="O608" s="6"/>
      <c r="P608" s="16">
        <v>619</v>
      </c>
      <c r="Q608" s="16">
        <v>0</v>
      </c>
      <c r="R608" s="22"/>
      <c r="S608" s="22">
        <f t="shared" si="18"/>
        <v>0</v>
      </c>
      <c r="T608" s="5" t="s">
        <v>1210</v>
      </c>
      <c r="U608" s="5" t="s">
        <v>1210</v>
      </c>
      <c r="Y608" s="8"/>
      <c r="Z608" s="8"/>
      <c r="AA608" s="8"/>
      <c r="AB608" s="8"/>
      <c r="AC608" s="8"/>
      <c r="AD608" s="8"/>
      <c r="AE608" s="25"/>
      <c r="AF608" s="11"/>
      <c r="AG608" s="25"/>
      <c r="AH608" s="11"/>
      <c r="AI608" s="11">
        <v>96</v>
      </c>
      <c r="AJ608" s="19">
        <v>43</v>
      </c>
      <c r="AK608" s="12">
        <f>(AJ608+AI608)/30*7</f>
        <v>32.433333333333337</v>
      </c>
      <c r="AL608" s="6">
        <f>IF(AK608-C608&lt;0,0,AK608-C608)</f>
        <v>0</v>
      </c>
      <c r="AM608" s="6">
        <f>IF(AL608-R608-S608&lt;0,0,AL608-R608-S608)</f>
        <v>0</v>
      </c>
      <c r="AN608" s="5" t="str">
        <f t="shared" si="19"/>
        <v/>
      </c>
      <c r="AO608" s="5">
        <v>0</v>
      </c>
      <c r="AP608" s="9"/>
      <c r="AQ608" s="5" t="s">
        <v>1210</v>
      </c>
      <c r="AR608" s="5" t="s">
        <v>1210</v>
      </c>
      <c r="AS608" s="8"/>
      <c r="AT608" s="8"/>
      <c r="AU608" s="8"/>
      <c r="AV608" s="8"/>
      <c r="AW608" s="8"/>
      <c r="AX608" s="8"/>
      <c r="AY608" s="8"/>
      <c r="AZ608" s="8"/>
    </row>
    <row r="609" spans="1:52">
      <c r="A609" s="5" t="s">
        <v>386</v>
      </c>
      <c r="B609" s="5">
        <v>1036</v>
      </c>
      <c r="C609" s="19">
        <v>969</v>
      </c>
      <c r="E609" s="14"/>
      <c r="F609" s="11"/>
      <c r="G609" s="11"/>
      <c r="H609" s="11"/>
      <c r="I609" s="11"/>
      <c r="J609" s="25"/>
      <c r="K609" s="11"/>
      <c r="L609" s="11"/>
      <c r="M609" s="19">
        <v>0</v>
      </c>
      <c r="O609" s="6"/>
      <c r="P609" s="16">
        <v>419</v>
      </c>
      <c r="Q609" s="16">
        <v>677</v>
      </c>
      <c r="R609" s="22"/>
      <c r="S609" s="22">
        <f t="shared" si="18"/>
        <v>0</v>
      </c>
      <c r="T609" s="5" t="s">
        <v>1210</v>
      </c>
      <c r="U609" s="5" t="s">
        <v>1210</v>
      </c>
      <c r="Y609" s="8"/>
      <c r="Z609" s="8"/>
      <c r="AA609" s="8"/>
      <c r="AB609" s="8"/>
      <c r="AC609" s="8"/>
      <c r="AD609" s="8"/>
      <c r="AE609" s="25"/>
      <c r="AF609" s="11"/>
      <c r="AG609" s="25"/>
      <c r="AH609" s="11"/>
      <c r="AI609" s="11">
        <v>66</v>
      </c>
      <c r="AJ609" s="19">
        <v>0</v>
      </c>
      <c r="AK609" s="12">
        <f>(AJ609+AI609)/30*7</f>
        <v>15.400000000000002</v>
      </c>
      <c r="AL609" s="6">
        <f>IF(AK609-C609&lt;0,0,AK609-C609)</f>
        <v>0</v>
      </c>
      <c r="AM609" s="6">
        <f>IF(AL609-R609-S609&lt;0,0,AL609-R609-S609)</f>
        <v>0</v>
      </c>
      <c r="AN609" s="5" t="str">
        <f t="shared" si="19"/>
        <v/>
      </c>
      <c r="AO609" s="5">
        <v>0</v>
      </c>
      <c r="AP609" s="9"/>
      <c r="AQ609" s="5" t="s">
        <v>1210</v>
      </c>
      <c r="AR609" s="5" t="s">
        <v>1210</v>
      </c>
      <c r="AS609" s="8"/>
      <c r="AT609" s="8"/>
      <c r="AU609" s="8"/>
      <c r="AV609" s="8"/>
      <c r="AW609" s="8"/>
      <c r="AX609" s="8"/>
      <c r="AY609" s="8"/>
      <c r="AZ609" s="8"/>
    </row>
    <row r="610" spans="1:52">
      <c r="A610" s="5" t="s">
        <v>343</v>
      </c>
      <c r="B610" s="5">
        <v>1071</v>
      </c>
      <c r="C610" s="19">
        <v>669</v>
      </c>
      <c r="E610" s="14"/>
      <c r="F610" s="11"/>
      <c r="G610" s="11"/>
      <c r="H610" s="11"/>
      <c r="I610" s="11"/>
      <c r="J610" s="25"/>
      <c r="K610" s="11"/>
      <c r="L610" s="11"/>
      <c r="M610" s="19">
        <v>0</v>
      </c>
      <c r="O610" s="6"/>
      <c r="P610" s="16">
        <v>770</v>
      </c>
      <c r="Q610" s="16">
        <v>0</v>
      </c>
      <c r="R610" s="22"/>
      <c r="S610" s="22">
        <f t="shared" si="18"/>
        <v>0</v>
      </c>
      <c r="T610" s="5" t="s">
        <v>1210</v>
      </c>
      <c r="U610" s="5" t="s">
        <v>1210</v>
      </c>
      <c r="Y610" s="8"/>
      <c r="Z610" s="8"/>
      <c r="AA610" s="8"/>
      <c r="AB610" s="8"/>
      <c r="AC610" s="8"/>
      <c r="AD610" s="8"/>
      <c r="AE610" s="25"/>
      <c r="AF610" s="11"/>
      <c r="AG610" s="25"/>
      <c r="AH610" s="11"/>
      <c r="AI610" s="11">
        <v>32</v>
      </c>
      <c r="AJ610" s="19">
        <v>38</v>
      </c>
      <c r="AK610" s="12">
        <f>(AJ610+AI610)/30*7</f>
        <v>16.333333333333336</v>
      </c>
      <c r="AL610" s="6">
        <f>IF(AK610-C610&lt;0,0,AK610-C610)</f>
        <v>0</v>
      </c>
      <c r="AM610" s="6">
        <f>IF(AL610-R610-S610&lt;0,0,AL610-R610-S610)</f>
        <v>0</v>
      </c>
      <c r="AN610" s="5" t="str">
        <f t="shared" si="19"/>
        <v/>
      </c>
      <c r="AO610" s="5">
        <v>0</v>
      </c>
      <c r="AP610" s="9"/>
      <c r="AQ610" s="5" t="s">
        <v>1210</v>
      </c>
      <c r="AR610" s="5" t="s">
        <v>1210</v>
      </c>
      <c r="AS610" s="8"/>
      <c r="AT610" s="8"/>
      <c r="AU610" s="8"/>
      <c r="AV610" s="8"/>
      <c r="AW610" s="8"/>
      <c r="AX610" s="8"/>
      <c r="AY610" s="8"/>
      <c r="AZ610" s="8"/>
    </row>
    <row r="611" spans="1:52">
      <c r="A611" s="5" t="s">
        <v>145</v>
      </c>
      <c r="B611" s="5">
        <v>1760</v>
      </c>
      <c r="C611" s="19">
        <v>798</v>
      </c>
      <c r="E611" s="14"/>
      <c r="F611" s="11"/>
      <c r="G611" s="11"/>
      <c r="H611" s="11"/>
      <c r="I611" s="11"/>
      <c r="J611" s="25"/>
      <c r="K611" s="11"/>
      <c r="L611" s="11"/>
      <c r="M611" s="19">
        <v>0</v>
      </c>
      <c r="O611" s="6"/>
      <c r="P611" s="16">
        <v>209</v>
      </c>
      <c r="Q611" s="16">
        <v>0</v>
      </c>
      <c r="R611" s="22"/>
      <c r="S611" s="22">
        <f t="shared" si="18"/>
        <v>0</v>
      </c>
      <c r="T611" s="5" t="s">
        <v>1210</v>
      </c>
      <c r="U611" s="5" t="s">
        <v>1210</v>
      </c>
      <c r="Y611" s="8"/>
      <c r="Z611" s="8"/>
      <c r="AA611" s="8"/>
      <c r="AB611" s="8"/>
      <c r="AC611" s="8"/>
      <c r="AD611" s="8"/>
      <c r="AE611" s="25"/>
      <c r="AF611" s="11"/>
      <c r="AG611" s="25"/>
      <c r="AH611" s="11"/>
      <c r="AI611" s="11">
        <v>70</v>
      </c>
      <c r="AJ611" s="19">
        <v>102</v>
      </c>
      <c r="AK611" s="12">
        <f>(AJ611+AI611)/30*7</f>
        <v>40.133333333333333</v>
      </c>
      <c r="AL611" s="6">
        <f>IF(AK611-C611&lt;0,0,AK611-C611)</f>
        <v>0</v>
      </c>
      <c r="AM611" s="6">
        <f>IF(AL611-R611-S611&lt;0,0,AL611-R611-S611)</f>
        <v>0</v>
      </c>
      <c r="AN611" s="5" t="str">
        <f t="shared" si="19"/>
        <v/>
      </c>
      <c r="AO611" s="5">
        <v>0</v>
      </c>
      <c r="AP611" s="9"/>
      <c r="AQ611" s="5" t="s">
        <v>1229</v>
      </c>
      <c r="AR611" s="5" t="s">
        <v>1210</v>
      </c>
      <c r="AS611" s="8"/>
      <c r="AT611" s="8"/>
      <c r="AU611" s="8"/>
      <c r="AV611" s="8"/>
      <c r="AW611" s="8"/>
      <c r="AX611" s="8"/>
      <c r="AY611" s="8"/>
      <c r="AZ611" s="8"/>
    </row>
    <row r="612" spans="1:52">
      <c r="A612" s="5" t="s">
        <v>180</v>
      </c>
      <c r="B612" s="5">
        <v>1647</v>
      </c>
      <c r="C612" s="19">
        <v>574</v>
      </c>
      <c r="E612" s="14"/>
      <c r="F612" s="11"/>
      <c r="G612" s="11"/>
      <c r="H612" s="11"/>
      <c r="I612" s="11"/>
      <c r="J612" s="25"/>
      <c r="K612" s="11"/>
      <c r="L612" s="11"/>
      <c r="M612" s="19">
        <v>0</v>
      </c>
      <c r="O612" s="6"/>
      <c r="P612" s="16">
        <v>368</v>
      </c>
      <c r="Q612" s="16">
        <v>0</v>
      </c>
      <c r="R612" s="22"/>
      <c r="S612" s="22">
        <f t="shared" si="18"/>
        <v>0</v>
      </c>
      <c r="T612" s="5" t="s">
        <v>1210</v>
      </c>
      <c r="U612" s="5" t="s">
        <v>1210</v>
      </c>
      <c r="Y612" s="8"/>
      <c r="Z612" s="8"/>
      <c r="AA612" s="8"/>
      <c r="AB612" s="8"/>
      <c r="AC612" s="8"/>
      <c r="AD612" s="8"/>
      <c r="AE612" s="25"/>
      <c r="AF612" s="11"/>
      <c r="AG612" s="25"/>
      <c r="AH612" s="11"/>
      <c r="AI612" s="11">
        <v>33</v>
      </c>
      <c r="AJ612" s="19">
        <v>44</v>
      </c>
      <c r="AK612" s="12">
        <f>(AJ612+AI612)/30*7</f>
        <v>17.966666666666669</v>
      </c>
      <c r="AL612" s="6">
        <f>IF(AK612-C612&lt;0,0,AK612-C612)</f>
        <v>0</v>
      </c>
      <c r="AM612" s="6">
        <f>IF(AL612-R612-S612&lt;0,0,AL612-R612-S612)</f>
        <v>0</v>
      </c>
      <c r="AN612" s="5" t="str">
        <f t="shared" si="19"/>
        <v/>
      </c>
      <c r="AO612" s="5">
        <v>0</v>
      </c>
      <c r="AP612" s="9"/>
      <c r="AQ612" s="5" t="s">
        <v>1210</v>
      </c>
      <c r="AR612" s="5" t="s">
        <v>1210</v>
      </c>
      <c r="AS612" s="8"/>
      <c r="AT612" s="8"/>
      <c r="AU612" s="8"/>
      <c r="AV612" s="8"/>
      <c r="AW612" s="8"/>
      <c r="AX612" s="8"/>
      <c r="AY612" s="8"/>
      <c r="AZ612" s="8"/>
    </row>
    <row r="613" spans="1:52">
      <c r="A613" s="5" t="s">
        <v>408</v>
      </c>
      <c r="B613" s="5">
        <v>1352</v>
      </c>
      <c r="C613" s="19">
        <v>908</v>
      </c>
      <c r="E613" s="14"/>
      <c r="F613" s="11"/>
      <c r="G613" s="11"/>
      <c r="H613" s="11"/>
      <c r="I613" s="11"/>
      <c r="J613" s="25"/>
      <c r="K613" s="11"/>
      <c r="L613" s="11"/>
      <c r="M613" s="19">
        <v>0</v>
      </c>
      <c r="O613" s="6"/>
      <c r="P613" s="16">
        <v>938</v>
      </c>
      <c r="Q613" s="16">
        <v>0</v>
      </c>
      <c r="R613" s="22"/>
      <c r="S613" s="22">
        <f t="shared" si="18"/>
        <v>0</v>
      </c>
      <c r="T613" s="5" t="s">
        <v>1210</v>
      </c>
      <c r="U613" s="5" t="s">
        <v>1210</v>
      </c>
      <c r="Y613" s="8"/>
      <c r="Z613" s="8"/>
      <c r="AA613" s="8"/>
      <c r="AB613" s="8"/>
      <c r="AC613" s="8"/>
      <c r="AD613" s="8"/>
      <c r="AE613" s="25"/>
      <c r="AF613" s="11"/>
      <c r="AG613" s="25"/>
      <c r="AH613" s="11"/>
      <c r="AI613" s="11">
        <v>80</v>
      </c>
      <c r="AJ613" s="19">
        <v>14</v>
      </c>
      <c r="AK613" s="12">
        <f>(AJ613+AI613)/30*7</f>
        <v>21.933333333333334</v>
      </c>
      <c r="AL613" s="6">
        <f>IF(AK613-C613&lt;0,0,AK613-C613)</f>
        <v>0</v>
      </c>
      <c r="AM613" s="6">
        <f>IF(AL613-R613-S613&lt;0,0,AL613-R613-S613)</f>
        <v>0</v>
      </c>
      <c r="AN613" s="5" t="str">
        <f t="shared" si="19"/>
        <v/>
      </c>
      <c r="AO613" s="5">
        <v>0</v>
      </c>
      <c r="AP613" s="9"/>
      <c r="AQ613" s="5" t="s">
        <v>1210</v>
      </c>
      <c r="AR613" s="5" t="s">
        <v>1210</v>
      </c>
      <c r="AS613" s="8"/>
      <c r="AT613" s="8"/>
      <c r="AU613" s="8"/>
      <c r="AV613" s="8"/>
      <c r="AW613" s="8"/>
      <c r="AX613" s="8"/>
      <c r="AY613" s="8"/>
      <c r="AZ613" s="8"/>
    </row>
    <row r="614" spans="1:52">
      <c r="A614" s="5" t="s">
        <v>378</v>
      </c>
      <c r="B614" s="5">
        <v>1022</v>
      </c>
      <c r="C614" s="19">
        <v>403</v>
      </c>
      <c r="E614" s="14"/>
      <c r="F614" s="11"/>
      <c r="G614" s="11"/>
      <c r="H614" s="11"/>
      <c r="I614" s="11"/>
      <c r="J614" s="25"/>
      <c r="K614" s="11"/>
      <c r="L614" s="11"/>
      <c r="M614" s="19">
        <v>10</v>
      </c>
      <c r="O614" s="6"/>
      <c r="P614" s="16">
        <v>788</v>
      </c>
      <c r="Q614" s="16">
        <v>373</v>
      </c>
      <c r="R614" s="22"/>
      <c r="S614" s="22">
        <f t="shared" si="18"/>
        <v>0</v>
      </c>
      <c r="T614" s="5" t="s">
        <v>1210</v>
      </c>
      <c r="U614" s="5" t="s">
        <v>1210</v>
      </c>
      <c r="Y614" s="8"/>
      <c r="Z614" s="8"/>
      <c r="AA614" s="8"/>
      <c r="AB614" s="8"/>
      <c r="AC614" s="8"/>
      <c r="AD614" s="8"/>
      <c r="AE614" s="25"/>
      <c r="AF614" s="11"/>
      <c r="AG614" s="25"/>
      <c r="AH614" s="11"/>
      <c r="AI614" s="11">
        <v>77</v>
      </c>
      <c r="AJ614" s="19">
        <v>8</v>
      </c>
      <c r="AK614" s="12">
        <f>(AJ614+AI614)/30*7</f>
        <v>19.833333333333336</v>
      </c>
      <c r="AL614" s="6">
        <f>IF(AK614-C614&lt;0,0,AK614-C614)</f>
        <v>0</v>
      </c>
      <c r="AM614" s="6">
        <f>IF(AL614-R614-S614&lt;0,0,AL614-R614-S614)</f>
        <v>0</v>
      </c>
      <c r="AN614" s="5" t="str">
        <f t="shared" si="19"/>
        <v/>
      </c>
      <c r="AO614" s="5">
        <v>0</v>
      </c>
      <c r="AP614" s="9"/>
      <c r="AQ614" s="5" t="s">
        <v>1210</v>
      </c>
      <c r="AR614" s="5" t="s">
        <v>1210</v>
      </c>
      <c r="AS614" s="8"/>
      <c r="AT614" s="8"/>
      <c r="AU614" s="8"/>
      <c r="AV614" s="8"/>
      <c r="AW614" s="8"/>
      <c r="AX614" s="8"/>
      <c r="AY614" s="8"/>
      <c r="AZ614" s="8"/>
    </row>
    <row r="615" spans="1:52">
      <c r="A615" s="5" t="s">
        <v>497</v>
      </c>
      <c r="B615" s="5">
        <v>470</v>
      </c>
      <c r="C615" s="19">
        <v>477</v>
      </c>
      <c r="E615" s="14"/>
      <c r="F615" s="11"/>
      <c r="G615" s="11"/>
      <c r="H615" s="11"/>
      <c r="I615" s="11"/>
      <c r="J615" s="25"/>
      <c r="K615" s="11"/>
      <c r="L615" s="11"/>
      <c r="M615" s="19">
        <v>0</v>
      </c>
      <c r="O615" s="6"/>
      <c r="P615" s="16">
        <v>678</v>
      </c>
      <c r="Q615" s="16">
        <v>798</v>
      </c>
      <c r="R615" s="22"/>
      <c r="S615" s="22">
        <f t="shared" si="18"/>
        <v>0</v>
      </c>
      <c r="T615" s="5" t="s">
        <v>1210</v>
      </c>
      <c r="U615" s="5" t="s">
        <v>1210</v>
      </c>
      <c r="Y615" s="8"/>
      <c r="Z615" s="8"/>
      <c r="AA615" s="8"/>
      <c r="AB615" s="8"/>
      <c r="AC615" s="8"/>
      <c r="AD615" s="8"/>
      <c r="AE615" s="25"/>
      <c r="AF615" s="11"/>
      <c r="AG615" s="25"/>
      <c r="AH615" s="11"/>
      <c r="AI615" s="11">
        <v>85</v>
      </c>
      <c r="AJ615" s="19">
        <v>0</v>
      </c>
      <c r="AK615" s="12">
        <f>(AJ615+AI615)/30*7</f>
        <v>19.833333333333336</v>
      </c>
      <c r="AL615" s="6">
        <f>IF(AK615-C615&lt;0,0,AK615-C615)</f>
        <v>0</v>
      </c>
      <c r="AM615" s="6">
        <f>IF(AL615-R615-S615&lt;0,0,AL615-R615-S615)</f>
        <v>0</v>
      </c>
      <c r="AN615" s="5" t="str">
        <f t="shared" si="19"/>
        <v/>
      </c>
      <c r="AO615" s="5">
        <v>0</v>
      </c>
      <c r="AP615" s="9"/>
      <c r="AQ615" s="5" t="s">
        <v>1210</v>
      </c>
      <c r="AR615" s="5" t="s">
        <v>1230</v>
      </c>
      <c r="AS615" s="8"/>
      <c r="AT615" s="8"/>
      <c r="AU615" s="8"/>
      <c r="AV615" s="8"/>
      <c r="AW615" s="8"/>
      <c r="AX615" s="8"/>
      <c r="AY615" s="8"/>
      <c r="AZ615" s="8"/>
    </row>
    <row r="616" spans="1:52">
      <c r="A616" s="5" t="s">
        <v>516</v>
      </c>
      <c r="B616" s="5">
        <v>1068</v>
      </c>
      <c r="C616" s="19">
        <v>958</v>
      </c>
      <c r="E616" s="14"/>
      <c r="F616" s="11"/>
      <c r="G616" s="11"/>
      <c r="H616" s="11"/>
      <c r="I616" s="11"/>
      <c r="J616" s="25"/>
      <c r="K616" s="11"/>
      <c r="L616" s="11"/>
      <c r="M616" s="19">
        <v>0</v>
      </c>
      <c r="O616" s="6"/>
      <c r="P616" s="16">
        <v>929</v>
      </c>
      <c r="Q616" s="16">
        <v>257</v>
      </c>
      <c r="R616" s="22"/>
      <c r="S616" s="22">
        <f t="shared" si="18"/>
        <v>0</v>
      </c>
      <c r="T616" s="5" t="s">
        <v>1210</v>
      </c>
      <c r="U616" s="5" t="s">
        <v>1210</v>
      </c>
      <c r="Y616" s="8"/>
      <c r="Z616" s="8"/>
      <c r="AA616" s="8"/>
      <c r="AB616" s="8"/>
      <c r="AC616" s="8"/>
      <c r="AD616" s="8"/>
      <c r="AE616" s="25"/>
      <c r="AF616" s="11"/>
      <c r="AG616" s="25"/>
      <c r="AH616" s="11"/>
      <c r="AI616" s="11">
        <v>83</v>
      </c>
      <c r="AJ616" s="19">
        <v>6</v>
      </c>
      <c r="AK616" s="12">
        <f>(AJ616+AI616)/30*7</f>
        <v>20.766666666666666</v>
      </c>
      <c r="AL616" s="6">
        <f>IF(AK616-C616&lt;0,0,AK616-C616)</f>
        <v>0</v>
      </c>
      <c r="AM616" s="6">
        <f>IF(AL616-R616-S616&lt;0,0,AL616-R616-S616)</f>
        <v>0</v>
      </c>
      <c r="AN616" s="5" t="str">
        <f t="shared" si="19"/>
        <v/>
      </c>
      <c r="AO616" s="5">
        <v>0</v>
      </c>
      <c r="AP616" s="9"/>
      <c r="AQ616" s="5" t="s">
        <v>1210</v>
      </c>
      <c r="AR616" s="5" t="s">
        <v>1210</v>
      </c>
      <c r="AS616" s="8"/>
      <c r="AT616" s="8"/>
      <c r="AU616" s="8"/>
      <c r="AV616" s="8"/>
      <c r="AW616" s="8"/>
      <c r="AX616" s="8"/>
      <c r="AY616" s="8"/>
      <c r="AZ616" s="8"/>
    </row>
    <row r="617" spans="1:52">
      <c r="A617" s="5" t="s">
        <v>75</v>
      </c>
      <c r="B617" s="5">
        <v>1274</v>
      </c>
      <c r="C617" s="19">
        <v>666</v>
      </c>
      <c r="E617" s="14"/>
      <c r="F617" s="11"/>
      <c r="G617" s="11"/>
      <c r="H617" s="11"/>
      <c r="I617" s="11"/>
      <c r="J617" s="25"/>
      <c r="K617" s="11"/>
      <c r="L617" s="11"/>
      <c r="M617" s="19">
        <v>5</v>
      </c>
      <c r="O617" s="6"/>
      <c r="P617" s="16">
        <v>445</v>
      </c>
      <c r="Q617" s="16">
        <v>0</v>
      </c>
      <c r="R617" s="22"/>
      <c r="S617" s="22">
        <f t="shared" si="18"/>
        <v>0</v>
      </c>
      <c r="T617" s="5" t="s">
        <v>1210</v>
      </c>
      <c r="U617" s="5" t="s">
        <v>1210</v>
      </c>
      <c r="Y617" s="8"/>
      <c r="Z617" s="8"/>
      <c r="AA617" s="8"/>
      <c r="AB617" s="8"/>
      <c r="AC617" s="8"/>
      <c r="AD617" s="8"/>
      <c r="AE617" s="25"/>
      <c r="AF617" s="11"/>
      <c r="AG617" s="25"/>
      <c r="AH617" s="11"/>
      <c r="AI617" s="11">
        <v>8</v>
      </c>
      <c r="AJ617" s="19">
        <v>128</v>
      </c>
      <c r="AK617" s="12">
        <f>(AJ617+AI617)/30*7</f>
        <v>31.733333333333334</v>
      </c>
      <c r="AL617" s="6">
        <f>IF(AK617-C617&lt;0,0,AK617-C617)</f>
        <v>0</v>
      </c>
      <c r="AM617" s="6">
        <f>IF(AL617-R617-S617&lt;0,0,AL617-R617-S617)</f>
        <v>0</v>
      </c>
      <c r="AN617" s="5" t="str">
        <f t="shared" si="19"/>
        <v/>
      </c>
      <c r="AO617" s="5">
        <v>0</v>
      </c>
      <c r="AP617" s="9"/>
      <c r="AQ617" s="5" t="s">
        <v>1210</v>
      </c>
      <c r="AR617" s="5" t="s">
        <v>1210</v>
      </c>
      <c r="AS617" s="8"/>
      <c r="AT617" s="8"/>
      <c r="AU617" s="8"/>
      <c r="AV617" s="8"/>
      <c r="AW617" s="8"/>
      <c r="AX617" s="8"/>
      <c r="AY617" s="8"/>
      <c r="AZ617" s="8"/>
    </row>
    <row r="618" spans="1:52">
      <c r="A618" s="5" t="s">
        <v>289</v>
      </c>
      <c r="B618" s="5">
        <v>600</v>
      </c>
      <c r="C618" s="19">
        <v>468</v>
      </c>
      <c r="E618" s="14"/>
      <c r="F618" s="11"/>
      <c r="G618" s="11"/>
      <c r="H618" s="11"/>
      <c r="I618" s="11"/>
      <c r="J618" s="25"/>
      <c r="K618" s="11"/>
      <c r="L618" s="11"/>
      <c r="M618" s="19">
        <v>0</v>
      </c>
      <c r="O618" s="6"/>
      <c r="P618" s="16">
        <v>454</v>
      </c>
      <c r="Q618" s="16">
        <v>627</v>
      </c>
      <c r="R618" s="22"/>
      <c r="S618" s="22">
        <f t="shared" si="18"/>
        <v>0</v>
      </c>
      <c r="T618" s="5" t="s">
        <v>1210</v>
      </c>
      <c r="U618" s="5" t="s">
        <v>1210</v>
      </c>
      <c r="Y618" s="8"/>
      <c r="Z618" s="8"/>
      <c r="AA618" s="8"/>
      <c r="AB618" s="8"/>
      <c r="AC618" s="8"/>
      <c r="AD618" s="8"/>
      <c r="AE618" s="25"/>
      <c r="AF618" s="11"/>
      <c r="AG618" s="25"/>
      <c r="AH618" s="11"/>
      <c r="AI618" s="11">
        <v>69</v>
      </c>
      <c r="AJ618" s="19">
        <v>24</v>
      </c>
      <c r="AK618" s="12">
        <f>(AJ618+AI618)/30*7</f>
        <v>21.7</v>
      </c>
      <c r="AL618" s="6">
        <f>IF(AK618-C618&lt;0,0,AK618-C618)</f>
        <v>0</v>
      </c>
      <c r="AM618" s="6">
        <f>IF(AL618-R618-S618&lt;0,0,AL618-R618-S618)</f>
        <v>0</v>
      </c>
      <c r="AN618" s="5" t="str">
        <f t="shared" si="19"/>
        <v/>
      </c>
      <c r="AO618" s="5">
        <v>0</v>
      </c>
      <c r="AP618" s="9"/>
      <c r="AQ618" s="5" t="s">
        <v>1210</v>
      </c>
      <c r="AR618" s="5" t="s">
        <v>1230</v>
      </c>
      <c r="AS618" s="8"/>
      <c r="AT618" s="8"/>
      <c r="AU618" s="8"/>
      <c r="AV618" s="8"/>
      <c r="AW618" s="8"/>
      <c r="AX618" s="8"/>
      <c r="AY618" s="8"/>
      <c r="AZ618" s="8"/>
    </row>
    <row r="619" spans="1:52">
      <c r="A619" s="5" t="s">
        <v>175</v>
      </c>
      <c r="B619" s="5">
        <v>1400</v>
      </c>
      <c r="C619" s="19">
        <v>978</v>
      </c>
      <c r="E619" s="14"/>
      <c r="F619" s="11"/>
      <c r="G619" s="11"/>
      <c r="H619" s="11"/>
      <c r="I619" s="11"/>
      <c r="J619" s="25"/>
      <c r="K619" s="11"/>
      <c r="L619" s="11"/>
      <c r="M619" s="19">
        <v>0</v>
      </c>
      <c r="O619" s="6"/>
      <c r="P619" s="16">
        <v>924</v>
      </c>
      <c r="Q619" s="16">
        <v>0</v>
      </c>
      <c r="R619" s="22"/>
      <c r="S619" s="22">
        <f t="shared" si="18"/>
        <v>0</v>
      </c>
      <c r="T619" s="5" t="s">
        <v>1210</v>
      </c>
      <c r="U619" s="5" t="s">
        <v>1210</v>
      </c>
      <c r="Y619" s="8"/>
      <c r="Z619" s="8"/>
      <c r="AA619" s="8"/>
      <c r="AB619" s="8"/>
      <c r="AC619" s="8"/>
      <c r="AD619" s="8"/>
      <c r="AE619" s="25"/>
      <c r="AF619" s="11"/>
      <c r="AG619" s="25"/>
      <c r="AH619" s="11"/>
      <c r="AI619" s="11">
        <v>55</v>
      </c>
      <c r="AJ619" s="19">
        <v>98</v>
      </c>
      <c r="AK619" s="12">
        <f>(AJ619+AI619)/30*7</f>
        <v>35.699999999999996</v>
      </c>
      <c r="AL619" s="6">
        <f>IF(AK619-C619&lt;0,0,AK619-C619)</f>
        <v>0</v>
      </c>
      <c r="AM619" s="6">
        <f>IF(AL619-R619-S619&lt;0,0,AL619-R619-S619)</f>
        <v>0</v>
      </c>
      <c r="AN619" s="5" t="str">
        <f t="shared" si="19"/>
        <v/>
      </c>
      <c r="AO619" s="5">
        <v>0</v>
      </c>
      <c r="AP619" s="9"/>
      <c r="AQ619" s="5" t="s">
        <v>1210</v>
      </c>
      <c r="AR619" s="5" t="s">
        <v>1210</v>
      </c>
      <c r="AS619" s="8"/>
      <c r="AT619" s="8"/>
      <c r="AU619" s="8"/>
      <c r="AV619" s="8"/>
      <c r="AW619" s="8"/>
      <c r="AX619" s="8"/>
      <c r="AY619" s="8"/>
      <c r="AZ619" s="8"/>
    </row>
    <row r="620" spans="1:52">
      <c r="A620" s="5" t="s">
        <v>181</v>
      </c>
      <c r="B620" s="5">
        <v>841</v>
      </c>
      <c r="C620" s="19">
        <v>575</v>
      </c>
      <c r="E620" s="14"/>
      <c r="F620" s="11"/>
      <c r="G620" s="11"/>
      <c r="H620" s="11"/>
      <c r="I620" s="11"/>
      <c r="J620" s="25"/>
      <c r="K620" s="11"/>
      <c r="L620" s="11"/>
      <c r="M620" s="19">
        <v>0</v>
      </c>
      <c r="O620" s="6"/>
      <c r="P620" s="16">
        <v>661</v>
      </c>
      <c r="Q620" s="16">
        <v>0</v>
      </c>
      <c r="R620" s="22"/>
      <c r="S620" s="22">
        <f t="shared" si="18"/>
        <v>0</v>
      </c>
      <c r="U620" s="5" t="s">
        <v>1210</v>
      </c>
      <c r="Y620" s="8"/>
      <c r="Z620" s="8"/>
      <c r="AA620" s="8"/>
      <c r="AB620" s="8"/>
      <c r="AC620" s="8"/>
      <c r="AD620" s="8"/>
      <c r="AE620" s="25"/>
      <c r="AF620" s="11"/>
      <c r="AG620" s="25"/>
      <c r="AH620" s="11"/>
      <c r="AI620" s="11">
        <v>66</v>
      </c>
      <c r="AJ620" s="19">
        <v>44</v>
      </c>
      <c r="AK620" s="12">
        <f>(AJ620+AI620)/30*7</f>
        <v>25.666666666666664</v>
      </c>
      <c r="AL620" s="6">
        <f>IF(AK620-C620&lt;0,0,AK620-C620)</f>
        <v>0</v>
      </c>
      <c r="AM620" s="6">
        <f>IF(AL620-R620-S620&lt;0,0,AL620-R620-S620)</f>
        <v>0</v>
      </c>
      <c r="AN620" s="5" t="str">
        <f t="shared" si="19"/>
        <v/>
      </c>
      <c r="AO620" s="5">
        <v>0</v>
      </c>
      <c r="AP620" s="9"/>
      <c r="AQ620" s="5" t="s">
        <v>1210</v>
      </c>
      <c r="AR620" s="5" t="s">
        <v>1210</v>
      </c>
      <c r="AS620" s="8"/>
      <c r="AT620" s="8"/>
      <c r="AU620" s="8"/>
      <c r="AV620" s="8"/>
      <c r="AW620" s="8"/>
      <c r="AX620" s="8"/>
      <c r="AY620" s="8"/>
      <c r="AZ620" s="8"/>
    </row>
    <row r="621" spans="1:52">
      <c r="A621" s="5" t="s">
        <v>124</v>
      </c>
      <c r="B621" s="5">
        <v>1653</v>
      </c>
      <c r="C621" s="19">
        <v>716</v>
      </c>
      <c r="E621" s="14"/>
      <c r="F621" s="11"/>
      <c r="G621" s="11"/>
      <c r="H621" s="11"/>
      <c r="I621" s="11"/>
      <c r="J621" s="25"/>
      <c r="K621" s="11"/>
      <c r="L621" s="11"/>
      <c r="M621" s="19">
        <v>0</v>
      </c>
      <c r="O621" s="6"/>
      <c r="P621" s="16">
        <v>465</v>
      </c>
      <c r="Q621" s="16">
        <v>758</v>
      </c>
      <c r="R621" s="22"/>
      <c r="S621" s="22">
        <f t="shared" si="18"/>
        <v>0</v>
      </c>
      <c r="T621" s="5" t="s">
        <v>1210</v>
      </c>
      <c r="U621" s="5" t="s">
        <v>1210</v>
      </c>
      <c r="Y621" s="8"/>
      <c r="Z621" s="8"/>
      <c r="AA621" s="8"/>
      <c r="AB621" s="8"/>
      <c r="AC621" s="8"/>
      <c r="AD621" s="8"/>
      <c r="AE621" s="25"/>
      <c r="AF621" s="11"/>
      <c r="AG621" s="25"/>
      <c r="AH621" s="11"/>
      <c r="AI621" s="11">
        <v>93</v>
      </c>
      <c r="AJ621" s="19">
        <v>81</v>
      </c>
      <c r="AK621" s="12">
        <f>(AJ621+AI621)/30*7</f>
        <v>40.6</v>
      </c>
      <c r="AL621" s="6">
        <f>IF(AK621-C621&lt;0,0,AK621-C621)</f>
        <v>0</v>
      </c>
      <c r="AM621" s="6">
        <f>IF(AL621-R621-S621&lt;0,0,AL621-R621-S621)</f>
        <v>0</v>
      </c>
      <c r="AN621" s="5" t="str">
        <f t="shared" si="19"/>
        <v/>
      </c>
      <c r="AO621" s="5">
        <v>0</v>
      </c>
      <c r="AP621" s="9"/>
      <c r="AQ621" s="5" t="s">
        <v>1210</v>
      </c>
      <c r="AR621" s="5" t="s">
        <v>1210</v>
      </c>
      <c r="AS621" s="8"/>
      <c r="AT621" s="8"/>
      <c r="AU621" s="8"/>
      <c r="AV621" s="8"/>
      <c r="AW621" s="8"/>
      <c r="AX621" s="8"/>
      <c r="AY621" s="8"/>
      <c r="AZ621" s="8"/>
    </row>
    <row r="622" spans="1:52">
      <c r="A622" s="5" t="s">
        <v>232</v>
      </c>
      <c r="B622" s="5">
        <v>1361</v>
      </c>
      <c r="C622" s="19">
        <v>386</v>
      </c>
      <c r="E622" s="14"/>
      <c r="F622" s="11"/>
      <c r="G622" s="11"/>
      <c r="H622" s="11"/>
      <c r="I622" s="11"/>
      <c r="J622" s="25"/>
      <c r="K622" s="11"/>
      <c r="L622" s="11"/>
      <c r="M622" s="19">
        <v>0</v>
      </c>
      <c r="O622" s="6"/>
      <c r="P622" s="16">
        <v>261</v>
      </c>
      <c r="Q622" s="16">
        <v>0</v>
      </c>
      <c r="R622" s="22"/>
      <c r="S622" s="22">
        <f t="shared" si="18"/>
        <v>0</v>
      </c>
      <c r="T622" s="5" t="s">
        <v>1210</v>
      </c>
      <c r="U622" s="5" t="s">
        <v>1210</v>
      </c>
      <c r="Y622" s="8"/>
      <c r="Z622" s="8"/>
      <c r="AA622" s="8"/>
      <c r="AB622" s="8"/>
      <c r="AC622" s="8"/>
      <c r="AD622" s="8"/>
      <c r="AE622" s="25"/>
      <c r="AF622" s="11"/>
      <c r="AG622" s="25"/>
      <c r="AH622" s="11"/>
      <c r="AI622" s="11">
        <v>34</v>
      </c>
      <c r="AJ622" s="19">
        <v>37</v>
      </c>
      <c r="AK622" s="12">
        <f>(AJ622+AI622)/30*7</f>
        <v>16.566666666666666</v>
      </c>
      <c r="AL622" s="6">
        <f>IF(AK622-C622&lt;0,0,AK622-C622)</f>
        <v>0</v>
      </c>
      <c r="AM622" s="6">
        <f>IF(AL622-R622-S622&lt;0,0,AL622-R622-S622)</f>
        <v>0</v>
      </c>
      <c r="AN622" s="5" t="str">
        <f t="shared" si="19"/>
        <v/>
      </c>
      <c r="AO622" s="5">
        <v>0</v>
      </c>
      <c r="AP622" s="9"/>
      <c r="AQ622" s="5" t="s">
        <v>1210</v>
      </c>
      <c r="AR622" s="5" t="s">
        <v>1230</v>
      </c>
      <c r="AS622" s="8"/>
      <c r="AT622" s="8"/>
      <c r="AU622" s="8"/>
      <c r="AV622" s="8"/>
      <c r="AW622" s="8"/>
      <c r="AX622" s="8"/>
      <c r="AY622" s="8"/>
      <c r="AZ622" s="8"/>
    </row>
    <row r="623" spans="1:52">
      <c r="A623" s="5" t="s">
        <v>652</v>
      </c>
      <c r="B623" s="5">
        <v>1938</v>
      </c>
      <c r="C623" s="19">
        <v>865</v>
      </c>
      <c r="E623" s="14"/>
      <c r="F623" s="11"/>
      <c r="G623" s="11"/>
      <c r="H623" s="11"/>
      <c r="I623" s="11"/>
      <c r="J623" s="25"/>
      <c r="K623" s="11"/>
      <c r="L623" s="11"/>
      <c r="M623" s="19">
        <v>0</v>
      </c>
      <c r="O623" s="6"/>
      <c r="P623" s="16">
        <v>940</v>
      </c>
      <c r="Q623" s="16">
        <v>0</v>
      </c>
      <c r="R623" s="22"/>
      <c r="S623" s="22">
        <f t="shared" si="18"/>
        <v>0</v>
      </c>
      <c r="T623" s="5" t="s">
        <v>1210</v>
      </c>
      <c r="U623" s="5" t="s">
        <v>1210</v>
      </c>
      <c r="Y623" s="8"/>
      <c r="Z623" s="8"/>
      <c r="AA623" s="8"/>
      <c r="AB623" s="8"/>
      <c r="AC623" s="8"/>
      <c r="AD623" s="8"/>
      <c r="AE623" s="25"/>
      <c r="AF623" s="11"/>
      <c r="AG623" s="25"/>
      <c r="AH623" s="11"/>
      <c r="AI623" s="11">
        <v>71</v>
      </c>
      <c r="AJ623" s="19">
        <v>0</v>
      </c>
      <c r="AK623" s="12">
        <f>(AJ623+AI623)/30*7</f>
        <v>16.566666666666666</v>
      </c>
      <c r="AL623" s="6">
        <f>IF(AK623-C623&lt;0,0,AK623-C623)</f>
        <v>0</v>
      </c>
      <c r="AM623" s="6">
        <f>IF(AL623-R623-S623&lt;0,0,AL623-R623-S623)</f>
        <v>0</v>
      </c>
      <c r="AN623" s="5" t="str">
        <f t="shared" si="19"/>
        <v/>
      </c>
      <c r="AO623" s="5">
        <v>0</v>
      </c>
      <c r="AP623" s="9"/>
      <c r="AQ623" s="5" t="s">
        <v>1210</v>
      </c>
      <c r="AR623" s="5" t="s">
        <v>1210</v>
      </c>
      <c r="AS623" s="8"/>
      <c r="AT623" s="8"/>
      <c r="AU623" s="8"/>
      <c r="AV623" s="8"/>
      <c r="AW623" s="8"/>
      <c r="AX623" s="8"/>
      <c r="AY623" s="8"/>
      <c r="AZ623" s="8"/>
    </row>
    <row r="624" spans="1:52">
      <c r="A624" s="5" t="s">
        <v>297</v>
      </c>
      <c r="B624" s="5">
        <v>817</v>
      </c>
      <c r="C624" s="19">
        <v>683</v>
      </c>
      <c r="E624" s="14"/>
      <c r="F624" s="11"/>
      <c r="G624" s="11"/>
      <c r="H624" s="11"/>
      <c r="I624" s="11"/>
      <c r="J624" s="25"/>
      <c r="K624" s="11"/>
      <c r="L624" s="11"/>
      <c r="M624" s="19">
        <v>0</v>
      </c>
      <c r="O624" s="6"/>
      <c r="P624" s="16">
        <v>693</v>
      </c>
      <c r="Q624" s="16">
        <v>667</v>
      </c>
      <c r="R624" s="22"/>
      <c r="S624" s="22">
        <f t="shared" si="18"/>
        <v>0</v>
      </c>
      <c r="U624" s="5" t="s">
        <v>1210</v>
      </c>
      <c r="Y624" s="8"/>
      <c r="Z624" s="8"/>
      <c r="AA624" s="8"/>
      <c r="AB624" s="8"/>
      <c r="AC624" s="8"/>
      <c r="AD624" s="8"/>
      <c r="AE624" s="25"/>
      <c r="AF624" s="11"/>
      <c r="AG624" s="25"/>
      <c r="AH624" s="11"/>
      <c r="AI624" s="11">
        <v>78</v>
      </c>
      <c r="AJ624" s="19">
        <v>14</v>
      </c>
      <c r="AK624" s="12">
        <f>(AJ624+AI624)/30*7</f>
        <v>21.466666666666669</v>
      </c>
      <c r="AL624" s="6">
        <f>IF(AK624-C624&lt;0,0,AK624-C624)</f>
        <v>0</v>
      </c>
      <c r="AM624" s="6">
        <f>IF(AL624-R624-S624&lt;0,0,AL624-R624-S624)</f>
        <v>0</v>
      </c>
      <c r="AN624" s="5" t="str">
        <f t="shared" si="19"/>
        <v/>
      </c>
      <c r="AO624" s="5">
        <v>0</v>
      </c>
      <c r="AP624" s="9"/>
      <c r="AQ624" s="5" t="s">
        <v>1210</v>
      </c>
      <c r="AR624" s="5" t="s">
        <v>1210</v>
      </c>
      <c r="AS624" s="8"/>
      <c r="AT624" s="8"/>
      <c r="AU624" s="8"/>
      <c r="AV624" s="8"/>
      <c r="AW624" s="8"/>
      <c r="AX624" s="8"/>
      <c r="AY624" s="8"/>
      <c r="AZ624" s="8"/>
    </row>
    <row r="625" spans="1:52">
      <c r="A625" s="5" t="s">
        <v>467</v>
      </c>
      <c r="B625" s="5">
        <v>459</v>
      </c>
      <c r="C625" s="19">
        <v>442</v>
      </c>
      <c r="E625" s="14"/>
      <c r="F625" s="11"/>
      <c r="G625" s="11"/>
      <c r="H625" s="11"/>
      <c r="I625" s="11"/>
      <c r="J625" s="25"/>
      <c r="K625" s="11"/>
      <c r="L625" s="11"/>
      <c r="M625" s="19">
        <v>0</v>
      </c>
      <c r="O625" s="6"/>
      <c r="P625" s="16">
        <v>369</v>
      </c>
      <c r="Q625" s="16">
        <v>586</v>
      </c>
      <c r="R625" s="22"/>
      <c r="S625" s="22">
        <f t="shared" si="18"/>
        <v>0</v>
      </c>
      <c r="T625" s="5" t="s">
        <v>1210</v>
      </c>
      <c r="U625" s="5" t="s">
        <v>1210</v>
      </c>
      <c r="Y625" s="8"/>
      <c r="Z625" s="8"/>
      <c r="AA625" s="8"/>
      <c r="AB625" s="8"/>
      <c r="AC625" s="8"/>
      <c r="AD625" s="8"/>
      <c r="AE625" s="25"/>
      <c r="AF625" s="11"/>
      <c r="AG625" s="25"/>
      <c r="AH625" s="11"/>
      <c r="AI625" s="11">
        <v>97</v>
      </c>
      <c r="AJ625" s="19">
        <v>7</v>
      </c>
      <c r="AK625" s="12">
        <f>(AJ625+AI625)/30*7</f>
        <v>24.266666666666666</v>
      </c>
      <c r="AL625" s="6">
        <f>IF(AK625-C625&lt;0,0,AK625-C625)</f>
        <v>0</v>
      </c>
      <c r="AM625" s="6">
        <f>IF(AL625-R625-S625&lt;0,0,AL625-R625-S625)</f>
        <v>0</v>
      </c>
      <c r="AN625" s="5" t="str">
        <f t="shared" si="19"/>
        <v/>
      </c>
      <c r="AO625" s="5">
        <v>0</v>
      </c>
      <c r="AP625" s="9"/>
      <c r="AQ625" s="5" t="s">
        <v>1210</v>
      </c>
      <c r="AR625" s="5" t="s">
        <v>1230</v>
      </c>
      <c r="AS625" s="8"/>
      <c r="AT625" s="8"/>
      <c r="AU625" s="8"/>
      <c r="AV625" s="8"/>
      <c r="AW625" s="8"/>
      <c r="AX625" s="8"/>
      <c r="AY625" s="8"/>
      <c r="AZ625" s="8"/>
    </row>
    <row r="626" spans="1:52">
      <c r="A626" s="5" t="s">
        <v>234</v>
      </c>
      <c r="B626" s="5">
        <v>1118</v>
      </c>
      <c r="C626" s="19">
        <v>763</v>
      </c>
      <c r="E626" s="14"/>
      <c r="F626" s="11"/>
      <c r="G626" s="11"/>
      <c r="H626" s="11"/>
      <c r="I626" s="11"/>
      <c r="J626" s="25"/>
      <c r="K626" s="11"/>
      <c r="L626" s="11"/>
      <c r="M626" s="19">
        <v>10</v>
      </c>
      <c r="O626" s="6"/>
      <c r="P626" s="16">
        <v>244</v>
      </c>
      <c r="Q626" s="16">
        <v>0</v>
      </c>
      <c r="R626" s="22"/>
      <c r="S626" s="22">
        <f t="shared" si="18"/>
        <v>0</v>
      </c>
      <c r="U626" s="5" t="s">
        <v>1210</v>
      </c>
      <c r="Y626" s="8"/>
      <c r="Z626" s="8"/>
      <c r="AA626" s="8"/>
      <c r="AB626" s="8"/>
      <c r="AC626" s="8"/>
      <c r="AD626" s="8"/>
      <c r="AE626" s="25"/>
      <c r="AF626" s="11"/>
      <c r="AG626" s="25"/>
      <c r="AH626" s="11"/>
      <c r="AI626" s="11">
        <v>78</v>
      </c>
      <c r="AJ626" s="19">
        <v>42</v>
      </c>
      <c r="AK626" s="12">
        <f>(AJ626+AI626)/30*7</f>
        <v>28</v>
      </c>
      <c r="AL626" s="6">
        <f>IF(AK626-C626&lt;0,0,AK626-C626)</f>
        <v>0</v>
      </c>
      <c r="AM626" s="6">
        <f>IF(AL626-R626-S626&lt;0,0,AL626-R626-S626)</f>
        <v>0</v>
      </c>
      <c r="AN626" s="5" t="str">
        <f t="shared" si="19"/>
        <v/>
      </c>
      <c r="AO626" s="5">
        <v>0</v>
      </c>
      <c r="AP626" s="9"/>
      <c r="AQ626" s="5" t="s">
        <v>1210</v>
      </c>
      <c r="AR626" s="5" t="s">
        <v>1210</v>
      </c>
      <c r="AS626" s="8"/>
      <c r="AT626" s="8"/>
      <c r="AU626" s="8"/>
      <c r="AV626" s="8"/>
      <c r="AW626" s="8"/>
      <c r="AX626" s="8"/>
      <c r="AY626" s="8"/>
      <c r="AZ626" s="8"/>
    </row>
    <row r="627" spans="1:52">
      <c r="A627" s="5" t="s">
        <v>411</v>
      </c>
      <c r="B627" s="5">
        <v>2089</v>
      </c>
      <c r="C627" s="19">
        <v>792</v>
      </c>
      <c r="E627" s="14"/>
      <c r="F627" s="11"/>
      <c r="G627" s="11"/>
      <c r="H627" s="11"/>
      <c r="I627" s="11"/>
      <c r="J627" s="25"/>
      <c r="K627" s="11"/>
      <c r="L627" s="11"/>
      <c r="M627" s="19">
        <v>0</v>
      </c>
      <c r="O627" s="6"/>
      <c r="P627" s="16">
        <v>249</v>
      </c>
      <c r="Q627" s="16">
        <v>0</v>
      </c>
      <c r="R627" s="22"/>
      <c r="S627" s="22">
        <f t="shared" si="18"/>
        <v>0</v>
      </c>
      <c r="T627" s="5" t="s">
        <v>1210</v>
      </c>
      <c r="U627" s="5" t="s">
        <v>1210</v>
      </c>
      <c r="Y627" s="8"/>
      <c r="Z627" s="8"/>
      <c r="AA627" s="8"/>
      <c r="AB627" s="8"/>
      <c r="AC627" s="8"/>
      <c r="AD627" s="8"/>
      <c r="AE627" s="25"/>
      <c r="AF627" s="11"/>
      <c r="AG627" s="25"/>
      <c r="AH627" s="11"/>
      <c r="AI627" s="11">
        <v>23</v>
      </c>
      <c r="AJ627" s="19">
        <v>37</v>
      </c>
      <c r="AK627" s="12">
        <f>(AJ627+AI627)/30*7</f>
        <v>14</v>
      </c>
      <c r="AL627" s="6">
        <f>IF(AK627-C627&lt;0,0,AK627-C627)</f>
        <v>0</v>
      </c>
      <c r="AM627" s="6">
        <f>IF(AL627-R627-S627&lt;0,0,AL627-R627-S627)</f>
        <v>0</v>
      </c>
      <c r="AN627" s="5" t="str">
        <f t="shared" si="19"/>
        <v/>
      </c>
      <c r="AO627" s="5">
        <v>0</v>
      </c>
      <c r="AP627" s="9"/>
      <c r="AQ627" s="5" t="s">
        <v>1229</v>
      </c>
      <c r="AR627" s="5" t="s">
        <v>1210</v>
      </c>
      <c r="AS627" s="8"/>
      <c r="AT627" s="8"/>
      <c r="AU627" s="8"/>
      <c r="AV627" s="8"/>
      <c r="AW627" s="8"/>
      <c r="AX627" s="8"/>
      <c r="AY627" s="8"/>
      <c r="AZ627" s="8"/>
    </row>
    <row r="628" spans="1:52">
      <c r="A628" s="5" t="s">
        <v>91</v>
      </c>
      <c r="B628" s="5">
        <v>888</v>
      </c>
      <c r="C628" s="19">
        <v>263</v>
      </c>
      <c r="E628" s="14"/>
      <c r="F628" s="11"/>
      <c r="G628" s="11"/>
      <c r="H628" s="11"/>
      <c r="I628" s="11"/>
      <c r="J628" s="25"/>
      <c r="K628" s="11"/>
      <c r="L628" s="11"/>
      <c r="M628" s="19">
        <v>0</v>
      </c>
      <c r="O628" s="6"/>
      <c r="P628" s="16">
        <v>260</v>
      </c>
      <c r="Q628" s="16">
        <v>835</v>
      </c>
      <c r="R628" s="22"/>
      <c r="S628" s="22">
        <f t="shared" si="18"/>
        <v>0</v>
      </c>
      <c r="U628" s="5" t="s">
        <v>1210</v>
      </c>
      <c r="Y628" s="8"/>
      <c r="Z628" s="8"/>
      <c r="AA628" s="8"/>
      <c r="AB628" s="8"/>
      <c r="AC628" s="8"/>
      <c r="AD628" s="8"/>
      <c r="AE628" s="25"/>
      <c r="AF628" s="11"/>
      <c r="AG628" s="25"/>
      <c r="AH628" s="11"/>
      <c r="AI628" s="11">
        <v>100</v>
      </c>
      <c r="AJ628" s="19">
        <v>101</v>
      </c>
      <c r="AK628" s="12">
        <f>(AJ628+AI628)/30*7</f>
        <v>46.9</v>
      </c>
      <c r="AL628" s="6">
        <f>IF(AK628-C628&lt;0,0,AK628-C628)</f>
        <v>0</v>
      </c>
      <c r="AM628" s="6">
        <f>IF(AL628-R628-S628&lt;0,0,AL628-R628-S628)</f>
        <v>0</v>
      </c>
      <c r="AN628" s="5" t="str">
        <f t="shared" si="19"/>
        <v/>
      </c>
      <c r="AO628" s="5">
        <v>0</v>
      </c>
      <c r="AP628" s="9"/>
      <c r="AQ628" s="5" t="s">
        <v>1229</v>
      </c>
      <c r="AR628" s="5" t="s">
        <v>1210</v>
      </c>
      <c r="AS628" s="8"/>
      <c r="AT628" s="8"/>
      <c r="AU628" s="8"/>
      <c r="AV628" s="8"/>
      <c r="AW628" s="8"/>
      <c r="AX628" s="8"/>
      <c r="AY628" s="8"/>
      <c r="AZ628" s="8"/>
    </row>
    <row r="629" spans="1:52">
      <c r="A629" s="5" t="s">
        <v>16</v>
      </c>
      <c r="B629" s="5">
        <v>1632</v>
      </c>
      <c r="C629" s="19">
        <v>942</v>
      </c>
      <c r="E629" s="14"/>
      <c r="F629" s="11"/>
      <c r="G629" s="11"/>
      <c r="H629" s="11"/>
      <c r="I629" s="11"/>
      <c r="J629" s="25"/>
      <c r="K629" s="11"/>
      <c r="L629" s="11"/>
      <c r="M629" s="19">
        <v>0</v>
      </c>
      <c r="O629" s="6"/>
      <c r="P629" s="16">
        <v>388</v>
      </c>
      <c r="Q629" s="16">
        <v>0</v>
      </c>
      <c r="R629" s="22"/>
      <c r="S629" s="22">
        <f t="shared" si="18"/>
        <v>0</v>
      </c>
      <c r="T629" s="5" t="s">
        <v>1210</v>
      </c>
      <c r="U629" s="5" t="s">
        <v>1210</v>
      </c>
      <c r="Y629" s="8"/>
      <c r="Z629" s="8"/>
      <c r="AA629" s="8"/>
      <c r="AB629" s="8"/>
      <c r="AC629" s="8"/>
      <c r="AD629" s="8"/>
      <c r="AE629" s="25"/>
      <c r="AF629" s="11"/>
      <c r="AG629" s="25"/>
      <c r="AH629" s="11"/>
      <c r="AI629" s="11">
        <v>89</v>
      </c>
      <c r="AJ629" s="19">
        <v>133</v>
      </c>
      <c r="AK629" s="12">
        <f>(AJ629+AI629)/30*7</f>
        <v>51.800000000000004</v>
      </c>
      <c r="AL629" s="6">
        <f>IF(AK629-C629&lt;0,0,AK629-C629)</f>
        <v>0</v>
      </c>
      <c r="AM629" s="6">
        <f>IF(AL629-R629-S629&lt;0,0,AL629-R629-S629)</f>
        <v>0</v>
      </c>
      <c r="AN629" s="5" t="str">
        <f t="shared" si="19"/>
        <v/>
      </c>
      <c r="AO629" s="5">
        <v>0</v>
      </c>
      <c r="AP629" s="9"/>
      <c r="AQ629" s="5" t="s">
        <v>1229</v>
      </c>
      <c r="AR629" s="5" t="s">
        <v>1210</v>
      </c>
      <c r="AS629" s="8"/>
      <c r="AT629" s="8"/>
      <c r="AU629" s="8"/>
      <c r="AV629" s="8"/>
      <c r="AW629" s="8"/>
      <c r="AX629" s="8"/>
      <c r="AY629" s="8"/>
      <c r="AZ629" s="8"/>
    </row>
    <row r="630" spans="1:52">
      <c r="A630" s="5" t="s">
        <v>1</v>
      </c>
      <c r="B630" s="5">
        <v>1848</v>
      </c>
      <c r="C630" s="19">
        <v>542</v>
      </c>
      <c r="E630" s="14"/>
      <c r="F630" s="11"/>
      <c r="G630" s="11"/>
      <c r="H630" s="11"/>
      <c r="I630" s="11"/>
      <c r="J630" s="25"/>
      <c r="K630" s="11"/>
      <c r="L630" s="11"/>
      <c r="M630" s="19">
        <v>0</v>
      </c>
      <c r="O630" s="6"/>
      <c r="P630" s="16">
        <v>324</v>
      </c>
      <c r="Q630" s="16">
        <v>991</v>
      </c>
      <c r="R630" s="22"/>
      <c r="S630" s="22">
        <f t="shared" si="18"/>
        <v>0</v>
      </c>
      <c r="T630" s="5" t="s">
        <v>1210</v>
      </c>
      <c r="U630" s="5" t="s">
        <v>1210</v>
      </c>
      <c r="Y630" s="8"/>
      <c r="Z630" s="8"/>
      <c r="AA630" s="8"/>
      <c r="AB630" s="8"/>
      <c r="AC630" s="8"/>
      <c r="AD630" s="8"/>
      <c r="AE630" s="25"/>
      <c r="AF630" s="11"/>
      <c r="AG630" s="25"/>
      <c r="AH630" s="11"/>
      <c r="AI630" s="11">
        <v>72</v>
      </c>
      <c r="AJ630" s="19">
        <v>124</v>
      </c>
      <c r="AK630" s="12">
        <f>(AJ630+AI630)/30*7</f>
        <v>45.733333333333334</v>
      </c>
      <c r="AL630" s="6">
        <f>IF(AK630-C630&lt;0,0,AK630-C630)</f>
        <v>0</v>
      </c>
      <c r="AM630" s="6">
        <f>IF(AL630-R630-S630&lt;0,0,AL630-R630-S630)</f>
        <v>0</v>
      </c>
      <c r="AN630" s="5" t="str">
        <f t="shared" si="19"/>
        <v/>
      </c>
      <c r="AO630" s="5">
        <v>0</v>
      </c>
      <c r="AP630" s="9"/>
      <c r="AQ630" s="5" t="s">
        <v>1229</v>
      </c>
      <c r="AR630" s="5" t="s">
        <v>1210</v>
      </c>
      <c r="AS630" s="8"/>
      <c r="AT630" s="8"/>
      <c r="AU630" s="8"/>
      <c r="AV630" s="8"/>
      <c r="AW630" s="8"/>
      <c r="AX630" s="8"/>
      <c r="AY630" s="8"/>
      <c r="AZ630" s="8"/>
    </row>
    <row r="631" spans="1:52">
      <c r="A631" s="5" t="s">
        <v>103</v>
      </c>
      <c r="B631" s="5">
        <v>1156</v>
      </c>
      <c r="C631" s="19">
        <v>656</v>
      </c>
      <c r="E631" s="14"/>
      <c r="F631" s="11"/>
      <c r="G631" s="11"/>
      <c r="H631" s="11"/>
      <c r="I631" s="11"/>
      <c r="J631" s="25"/>
      <c r="K631" s="11"/>
      <c r="L631" s="11"/>
      <c r="M631" s="19">
        <v>7</v>
      </c>
      <c r="O631" s="6"/>
      <c r="P631" s="16">
        <v>428</v>
      </c>
      <c r="Q631" s="16">
        <v>0</v>
      </c>
      <c r="R631" s="22"/>
      <c r="S631" s="22">
        <f t="shared" si="18"/>
        <v>0</v>
      </c>
      <c r="T631" s="5" t="s">
        <v>1210</v>
      </c>
      <c r="U631" s="5" t="s">
        <v>1210</v>
      </c>
      <c r="Y631" s="8"/>
      <c r="Z631" s="8"/>
      <c r="AA631" s="8"/>
      <c r="AB631" s="8"/>
      <c r="AC631" s="8"/>
      <c r="AD631" s="8"/>
      <c r="AE631" s="25"/>
      <c r="AF631" s="11"/>
      <c r="AG631" s="25"/>
      <c r="AH631" s="11"/>
      <c r="AI631" s="11">
        <v>36</v>
      </c>
      <c r="AJ631" s="19">
        <v>112</v>
      </c>
      <c r="AK631" s="12">
        <f>(AJ631+AI631)/30*7</f>
        <v>34.533333333333331</v>
      </c>
      <c r="AL631" s="6">
        <f>IF(AK631-C631&lt;0,0,AK631-C631)</f>
        <v>0</v>
      </c>
      <c r="AM631" s="6">
        <f>IF(AL631-R631-S631&lt;0,0,AL631-R631-S631)</f>
        <v>0</v>
      </c>
      <c r="AN631" s="5" t="str">
        <f t="shared" si="19"/>
        <v/>
      </c>
      <c r="AO631" s="5">
        <v>0</v>
      </c>
      <c r="AP631" s="9"/>
      <c r="AQ631" s="5" t="s">
        <v>1210</v>
      </c>
      <c r="AR631" s="5" t="s">
        <v>1210</v>
      </c>
      <c r="AS631" s="8"/>
      <c r="AT631" s="8"/>
      <c r="AU631" s="8"/>
      <c r="AV631" s="8"/>
      <c r="AW631" s="8"/>
      <c r="AX631" s="8"/>
      <c r="AY631" s="8"/>
      <c r="AZ631" s="8"/>
    </row>
    <row r="632" spans="1:52">
      <c r="A632" s="5" t="s">
        <v>395</v>
      </c>
      <c r="B632" s="5">
        <v>1540</v>
      </c>
      <c r="C632" s="19">
        <v>409</v>
      </c>
      <c r="E632" s="14"/>
      <c r="F632" s="11"/>
      <c r="G632" s="11"/>
      <c r="H632" s="11"/>
      <c r="I632" s="11"/>
      <c r="J632" s="25"/>
      <c r="K632" s="11"/>
      <c r="L632" s="11"/>
      <c r="M632" s="19">
        <v>0</v>
      </c>
      <c r="O632" s="6"/>
      <c r="P632" s="16">
        <v>451</v>
      </c>
      <c r="Q632" s="16">
        <v>856</v>
      </c>
      <c r="R632" s="22"/>
      <c r="S632" s="22">
        <f t="shared" si="18"/>
        <v>0</v>
      </c>
      <c r="T632" s="5" t="s">
        <v>1210</v>
      </c>
      <c r="U632" s="5" t="s">
        <v>1210</v>
      </c>
      <c r="Y632" s="8"/>
      <c r="Z632" s="8"/>
      <c r="AA632" s="8"/>
      <c r="AB632" s="8"/>
      <c r="AC632" s="8"/>
      <c r="AD632" s="8"/>
      <c r="AE632" s="25"/>
      <c r="AF632" s="11"/>
      <c r="AG632" s="25"/>
      <c r="AH632" s="11"/>
      <c r="AI632" s="11">
        <v>96</v>
      </c>
      <c r="AJ632" s="19">
        <v>17</v>
      </c>
      <c r="AK632" s="12">
        <f>(AJ632+AI632)/30*7</f>
        <v>26.366666666666667</v>
      </c>
      <c r="AL632" s="6">
        <f>IF(AK632-C632&lt;0,0,AK632-C632)</f>
        <v>0</v>
      </c>
      <c r="AM632" s="6">
        <f>IF(AL632-R632-S632&lt;0,0,AL632-R632-S632)</f>
        <v>0</v>
      </c>
      <c r="AN632" s="5" t="str">
        <f t="shared" si="19"/>
        <v/>
      </c>
      <c r="AO632" s="5">
        <v>0</v>
      </c>
      <c r="AP632" s="9"/>
      <c r="AQ632" s="5" t="s">
        <v>1210</v>
      </c>
      <c r="AR632" s="5" t="s">
        <v>1230</v>
      </c>
      <c r="AS632" s="8"/>
      <c r="AT632" s="8"/>
      <c r="AU632" s="8"/>
      <c r="AV632" s="8"/>
      <c r="AW632" s="8"/>
      <c r="AX632" s="8"/>
      <c r="AY632" s="8"/>
      <c r="AZ632" s="8"/>
    </row>
    <row r="633" spans="1:52">
      <c r="A633" s="5" t="s">
        <v>794</v>
      </c>
      <c r="B633" s="5">
        <v>812</v>
      </c>
      <c r="C633" s="19">
        <v>251</v>
      </c>
      <c r="E633" s="14"/>
      <c r="F633" s="11"/>
      <c r="G633" s="11"/>
      <c r="H633" s="11"/>
      <c r="I633" s="11"/>
      <c r="J633" s="25"/>
      <c r="K633" s="11"/>
      <c r="L633" s="11"/>
      <c r="M633" s="19">
        <v>0</v>
      </c>
      <c r="O633" s="6"/>
      <c r="P633" s="16">
        <v>0</v>
      </c>
      <c r="Q633" s="16">
        <v>800</v>
      </c>
      <c r="R633" s="22"/>
      <c r="S633" s="22">
        <f t="shared" si="18"/>
        <v>0</v>
      </c>
      <c r="T633" s="5" t="s">
        <v>1210</v>
      </c>
      <c r="U633" s="5" t="s">
        <v>1210</v>
      </c>
      <c r="Y633" s="8"/>
      <c r="Z633" s="8"/>
      <c r="AA633" s="8"/>
      <c r="AB633" s="8"/>
      <c r="AC633" s="8"/>
      <c r="AD633" s="8"/>
      <c r="AE633" s="25"/>
      <c r="AF633" s="11"/>
      <c r="AG633" s="25"/>
      <c r="AH633" s="11"/>
      <c r="AI633" s="11">
        <v>91</v>
      </c>
      <c r="AJ633" s="19">
        <v>0</v>
      </c>
      <c r="AK633" s="12">
        <f>(AJ633+AI633)/30*7</f>
        <v>21.233333333333334</v>
      </c>
      <c r="AL633" s="6">
        <f>IF(AK633-C633&lt;0,0,AK633-C633)</f>
        <v>0</v>
      </c>
      <c r="AM633" s="6">
        <f>IF(AL633-R633-S633&lt;0,0,AL633-R633-S633)</f>
        <v>0</v>
      </c>
      <c r="AN633" s="5" t="str">
        <f t="shared" si="19"/>
        <v/>
      </c>
      <c r="AO633" s="5">
        <v>0</v>
      </c>
      <c r="AP633" s="9"/>
      <c r="AQ633" s="5" t="s">
        <v>1210</v>
      </c>
      <c r="AR633" s="5" t="s">
        <v>1210</v>
      </c>
      <c r="AS633" s="8"/>
      <c r="AT633" s="8"/>
      <c r="AU633" s="8"/>
      <c r="AV633" s="8"/>
      <c r="AW633" s="8"/>
      <c r="AX633" s="8"/>
      <c r="AY633" s="8"/>
      <c r="AZ633" s="8"/>
    </row>
    <row r="634" spans="1:52">
      <c r="A634" s="5" t="s">
        <v>940</v>
      </c>
      <c r="B634" s="5">
        <v>2174</v>
      </c>
      <c r="C634" s="19">
        <v>462</v>
      </c>
      <c r="E634" s="14"/>
      <c r="F634" s="11"/>
      <c r="G634" s="11"/>
      <c r="H634" s="11"/>
      <c r="I634" s="11"/>
      <c r="J634" s="25"/>
      <c r="K634" s="11"/>
      <c r="L634" s="11"/>
      <c r="M634" s="19">
        <v>0</v>
      </c>
      <c r="O634" s="6"/>
      <c r="P634" s="16">
        <v>893</v>
      </c>
      <c r="Q634" s="16">
        <v>0</v>
      </c>
      <c r="R634" s="22"/>
      <c r="S634" s="22">
        <f t="shared" si="18"/>
        <v>0</v>
      </c>
      <c r="T634" s="5" t="s">
        <v>1210</v>
      </c>
      <c r="U634" s="5" t="s">
        <v>1210</v>
      </c>
      <c r="Y634" s="8"/>
      <c r="Z634" s="8"/>
      <c r="AA634" s="8"/>
      <c r="AB634" s="8"/>
      <c r="AC634" s="8"/>
      <c r="AD634" s="8"/>
      <c r="AE634" s="25"/>
      <c r="AF634" s="11"/>
      <c r="AG634" s="25"/>
      <c r="AH634" s="11"/>
      <c r="AI634" s="11">
        <v>28</v>
      </c>
      <c r="AJ634" s="19">
        <v>33</v>
      </c>
      <c r="AK634" s="12">
        <f>(AJ634+AI634)/30*7</f>
        <v>14.233333333333333</v>
      </c>
      <c r="AL634" s="6">
        <f>IF(AK634-C634&lt;0,0,AK634-C634)</f>
        <v>0</v>
      </c>
      <c r="AM634" s="6">
        <f>IF(AL634-R634-S634&lt;0,0,AL634-R634-S634)</f>
        <v>0</v>
      </c>
      <c r="AN634" s="5" t="str">
        <f t="shared" si="19"/>
        <v/>
      </c>
      <c r="AO634" s="5">
        <v>0</v>
      </c>
      <c r="AP634" s="9"/>
      <c r="AQ634" s="5" t="s">
        <v>1210</v>
      </c>
      <c r="AR634" s="5" t="s">
        <v>1210</v>
      </c>
      <c r="AS634" s="8"/>
      <c r="AT634" s="8"/>
      <c r="AU634" s="8"/>
      <c r="AV634" s="8"/>
      <c r="AW634" s="8"/>
      <c r="AX634" s="8"/>
      <c r="AY634" s="8"/>
      <c r="AZ634" s="8"/>
    </row>
    <row r="635" spans="1:52">
      <c r="A635" s="5" t="s">
        <v>248</v>
      </c>
      <c r="B635" s="5">
        <v>974</v>
      </c>
      <c r="C635" s="19">
        <v>265</v>
      </c>
      <c r="E635" s="14"/>
      <c r="F635" s="11"/>
      <c r="G635" s="11"/>
      <c r="H635" s="11"/>
      <c r="I635" s="11"/>
      <c r="J635" s="25"/>
      <c r="K635" s="11"/>
      <c r="L635" s="11"/>
      <c r="M635" s="19">
        <v>6</v>
      </c>
      <c r="O635" s="6"/>
      <c r="P635" s="16">
        <v>494</v>
      </c>
      <c r="Q635" s="16">
        <v>0</v>
      </c>
      <c r="R635" s="22"/>
      <c r="S635" s="22">
        <f t="shared" si="18"/>
        <v>0</v>
      </c>
      <c r="U635" s="5" t="s">
        <v>1210</v>
      </c>
      <c r="Y635" s="8"/>
      <c r="Z635" s="8"/>
      <c r="AA635" s="8"/>
      <c r="AB635" s="8"/>
      <c r="AC635" s="8"/>
      <c r="AD635" s="8"/>
      <c r="AE635" s="25"/>
      <c r="AF635" s="11"/>
      <c r="AG635" s="25"/>
      <c r="AH635" s="11"/>
      <c r="AI635" s="11">
        <v>34</v>
      </c>
      <c r="AJ635" s="19">
        <v>22</v>
      </c>
      <c r="AK635" s="12">
        <f>(AJ635+AI635)/30*7</f>
        <v>13.066666666666666</v>
      </c>
      <c r="AL635" s="6">
        <f>IF(AK635-C635&lt;0,0,AK635-C635)</f>
        <v>0</v>
      </c>
      <c r="AM635" s="6">
        <f>IF(AL635-R635-S635&lt;0,0,AL635-R635-S635)</f>
        <v>0</v>
      </c>
      <c r="AN635" s="5" t="str">
        <f t="shared" si="19"/>
        <v/>
      </c>
      <c r="AO635" s="5">
        <v>0</v>
      </c>
      <c r="AP635" s="9"/>
      <c r="AQ635" s="5" t="s">
        <v>1229</v>
      </c>
      <c r="AR635" s="5" t="s">
        <v>1210</v>
      </c>
      <c r="AS635" s="8"/>
      <c r="AT635" s="8"/>
      <c r="AU635" s="8"/>
      <c r="AV635" s="8"/>
      <c r="AW635" s="8"/>
      <c r="AX635" s="8"/>
      <c r="AY635" s="8"/>
      <c r="AZ635" s="8"/>
    </row>
    <row r="636" spans="1:52">
      <c r="A636" s="5" t="s">
        <v>381</v>
      </c>
      <c r="B636" s="5">
        <v>1892</v>
      </c>
      <c r="C636" s="19">
        <v>543</v>
      </c>
      <c r="E636" s="14"/>
      <c r="F636" s="11"/>
      <c r="G636" s="11"/>
      <c r="H636" s="11"/>
      <c r="I636" s="11"/>
      <c r="J636" s="25"/>
      <c r="K636" s="11"/>
      <c r="L636" s="11"/>
      <c r="M636" s="19">
        <v>5</v>
      </c>
      <c r="O636" s="6"/>
      <c r="P636" s="16">
        <v>393</v>
      </c>
      <c r="Q636" s="16">
        <v>246</v>
      </c>
      <c r="R636" s="22"/>
      <c r="S636" s="22">
        <f t="shared" si="18"/>
        <v>0</v>
      </c>
      <c r="T636" s="5" t="s">
        <v>1210</v>
      </c>
      <c r="U636" s="5" t="s">
        <v>1210</v>
      </c>
      <c r="Y636" s="8"/>
      <c r="Z636" s="8"/>
      <c r="AA636" s="8"/>
      <c r="AB636" s="8"/>
      <c r="AC636" s="8"/>
      <c r="AD636" s="8"/>
      <c r="AE636" s="25"/>
      <c r="AF636" s="11"/>
      <c r="AG636" s="25"/>
      <c r="AH636" s="11"/>
      <c r="AI636" s="11">
        <v>100</v>
      </c>
      <c r="AJ636" s="19">
        <v>3</v>
      </c>
      <c r="AK636" s="12">
        <f>(AJ636+AI636)/30*7</f>
        <v>24.033333333333331</v>
      </c>
      <c r="AL636" s="6">
        <f>IF(AK636-C636&lt;0,0,AK636-C636)</f>
        <v>0</v>
      </c>
      <c r="AM636" s="6">
        <f>IF(AL636-R636-S636&lt;0,0,AL636-R636-S636)</f>
        <v>0</v>
      </c>
      <c r="AN636" s="5" t="str">
        <f t="shared" si="19"/>
        <v/>
      </c>
      <c r="AO636" s="5">
        <v>0</v>
      </c>
      <c r="AP636" s="9"/>
      <c r="AQ636" s="5" t="s">
        <v>1210</v>
      </c>
      <c r="AR636" s="5" t="s">
        <v>1210</v>
      </c>
      <c r="AS636" s="8"/>
      <c r="AT636" s="8"/>
      <c r="AU636" s="8"/>
      <c r="AV636" s="8"/>
      <c r="AW636" s="8"/>
      <c r="AX636" s="8"/>
      <c r="AY636" s="8"/>
      <c r="AZ636" s="8"/>
    </row>
    <row r="637" spans="1:52">
      <c r="A637" s="5" t="s">
        <v>285</v>
      </c>
      <c r="B637" s="5">
        <v>824</v>
      </c>
      <c r="C637" s="19">
        <v>315</v>
      </c>
      <c r="E637" s="14"/>
      <c r="F637" s="11"/>
      <c r="G637" s="11"/>
      <c r="H637" s="11"/>
      <c r="I637" s="11"/>
      <c r="J637" s="25"/>
      <c r="K637" s="11"/>
      <c r="L637" s="11"/>
      <c r="M637" s="19">
        <v>0</v>
      </c>
      <c r="O637" s="6"/>
      <c r="P637" s="16">
        <v>517</v>
      </c>
      <c r="Q637" s="16">
        <v>0</v>
      </c>
      <c r="R637" s="22"/>
      <c r="S637" s="22">
        <f t="shared" si="18"/>
        <v>0</v>
      </c>
      <c r="T637" s="5" t="s">
        <v>1210</v>
      </c>
      <c r="U637" s="5" t="s">
        <v>1210</v>
      </c>
      <c r="Y637" s="8"/>
      <c r="Z637" s="8"/>
      <c r="AA637" s="8"/>
      <c r="AB637" s="8"/>
      <c r="AC637" s="8"/>
      <c r="AD637" s="8"/>
      <c r="AE637" s="25"/>
      <c r="AF637" s="11"/>
      <c r="AG637" s="25"/>
      <c r="AH637" s="11"/>
      <c r="AI637" s="11">
        <v>64</v>
      </c>
      <c r="AJ637" s="19">
        <v>0</v>
      </c>
      <c r="AK637" s="12">
        <f>(AJ637+AI637)/30*7</f>
        <v>14.933333333333334</v>
      </c>
      <c r="AL637" s="6">
        <f>IF(AK637-C637&lt;0,0,AK637-C637)</f>
        <v>0</v>
      </c>
      <c r="AM637" s="6">
        <f>IF(AL637-R637-S637&lt;0,0,AL637-R637-S637)</f>
        <v>0</v>
      </c>
      <c r="AN637" s="5" t="str">
        <f t="shared" si="19"/>
        <v/>
      </c>
      <c r="AO637" s="5">
        <v>0</v>
      </c>
      <c r="AP637" s="9"/>
      <c r="AQ637" s="5" t="s">
        <v>1210</v>
      </c>
      <c r="AR637" s="5" t="s">
        <v>1210</v>
      </c>
      <c r="AS637" s="8"/>
      <c r="AT637" s="8"/>
      <c r="AU637" s="8"/>
      <c r="AV637" s="8"/>
      <c r="AW637" s="8"/>
      <c r="AX637" s="8"/>
      <c r="AY637" s="8"/>
      <c r="AZ637" s="8"/>
    </row>
    <row r="638" spans="1:52">
      <c r="A638" s="5" t="s">
        <v>539</v>
      </c>
      <c r="B638" s="5">
        <v>650</v>
      </c>
      <c r="C638" s="19">
        <v>618</v>
      </c>
      <c r="E638" s="14"/>
      <c r="F638" s="11"/>
      <c r="G638" s="11"/>
      <c r="H638" s="11"/>
      <c r="I638" s="11"/>
      <c r="J638" s="25"/>
      <c r="K638" s="11"/>
      <c r="L638" s="11"/>
      <c r="M638" s="19">
        <v>0</v>
      </c>
      <c r="O638" s="6"/>
      <c r="P638" s="16">
        <v>204</v>
      </c>
      <c r="Q638" s="16">
        <v>231</v>
      </c>
      <c r="R638" s="22"/>
      <c r="S638" s="22">
        <f t="shared" si="18"/>
        <v>0</v>
      </c>
      <c r="T638" s="5" t="s">
        <v>1210</v>
      </c>
      <c r="U638" s="5" t="s">
        <v>1210</v>
      </c>
      <c r="Y638" s="8"/>
      <c r="Z638" s="8"/>
      <c r="AA638" s="8"/>
      <c r="AB638" s="8"/>
      <c r="AC638" s="8"/>
      <c r="AD638" s="8"/>
      <c r="AE638" s="25"/>
      <c r="AF638" s="11"/>
      <c r="AG638" s="25"/>
      <c r="AH638" s="11"/>
      <c r="AI638" s="11">
        <v>88</v>
      </c>
      <c r="AJ638" s="19">
        <v>10</v>
      </c>
      <c r="AK638" s="12">
        <f>(AJ638+AI638)/30*7</f>
        <v>22.866666666666667</v>
      </c>
      <c r="AL638" s="6">
        <f>IF(AK638-C638&lt;0,0,AK638-C638)</f>
        <v>0</v>
      </c>
      <c r="AM638" s="6">
        <f>IF(AL638-R638-S638&lt;0,0,AL638-R638-S638)</f>
        <v>0</v>
      </c>
      <c r="AN638" s="5" t="str">
        <f t="shared" si="19"/>
        <v/>
      </c>
      <c r="AO638" s="5">
        <v>0</v>
      </c>
      <c r="AP638" s="9"/>
      <c r="AQ638" s="5" t="s">
        <v>1210</v>
      </c>
      <c r="AR638" s="5" t="s">
        <v>1230</v>
      </c>
      <c r="AS638" s="8"/>
      <c r="AT638" s="8"/>
      <c r="AU638" s="8"/>
      <c r="AV638" s="8"/>
      <c r="AW638" s="8"/>
      <c r="AX638" s="8"/>
      <c r="AY638" s="8"/>
      <c r="AZ638" s="8"/>
    </row>
    <row r="639" spans="1:52">
      <c r="A639" s="5" t="s">
        <v>155</v>
      </c>
      <c r="B639" s="5">
        <v>804</v>
      </c>
      <c r="C639" s="19">
        <v>495</v>
      </c>
      <c r="E639" s="14"/>
      <c r="F639" s="11"/>
      <c r="G639" s="11"/>
      <c r="H639" s="11"/>
      <c r="I639" s="11"/>
      <c r="J639" s="25"/>
      <c r="K639" s="11"/>
      <c r="L639" s="11"/>
      <c r="M639" s="19">
        <v>0</v>
      </c>
      <c r="O639" s="6"/>
      <c r="P639" s="16">
        <v>788</v>
      </c>
      <c r="Q639" s="16">
        <v>421</v>
      </c>
      <c r="R639" s="22"/>
      <c r="S639" s="22">
        <f t="shared" si="18"/>
        <v>0</v>
      </c>
      <c r="T639" s="5" t="s">
        <v>1210</v>
      </c>
      <c r="U639" s="5" t="s">
        <v>1210</v>
      </c>
      <c r="Y639" s="8"/>
      <c r="Z639" s="8"/>
      <c r="AA639" s="8"/>
      <c r="AB639" s="8"/>
      <c r="AC639" s="8"/>
      <c r="AD639" s="8"/>
      <c r="AE639" s="25"/>
      <c r="AF639" s="11"/>
      <c r="AG639" s="25"/>
      <c r="AH639" s="11"/>
      <c r="AI639" s="11">
        <v>96</v>
      </c>
      <c r="AJ639" s="19">
        <v>83</v>
      </c>
      <c r="AK639" s="12">
        <f>(AJ639+AI639)/30*7</f>
        <v>41.766666666666666</v>
      </c>
      <c r="AL639" s="6">
        <f>IF(AK639-C639&lt;0,0,AK639-C639)</f>
        <v>0</v>
      </c>
      <c r="AM639" s="6">
        <f>IF(AL639-R639-S639&lt;0,0,AL639-R639-S639)</f>
        <v>0</v>
      </c>
      <c r="AN639" s="5" t="str">
        <f t="shared" si="19"/>
        <v/>
      </c>
      <c r="AO639" s="5">
        <v>0</v>
      </c>
      <c r="AP639" s="9"/>
      <c r="AQ639" s="5" t="s">
        <v>1210</v>
      </c>
      <c r="AR639" s="5" t="s">
        <v>1210</v>
      </c>
      <c r="AS639" s="8"/>
      <c r="AT639" s="8"/>
      <c r="AU639" s="8"/>
      <c r="AV639" s="8"/>
      <c r="AW639" s="8"/>
      <c r="AX639" s="8"/>
      <c r="AY639" s="8"/>
      <c r="AZ639" s="8"/>
    </row>
    <row r="640" spans="1:52">
      <c r="A640" s="5" t="s">
        <v>105</v>
      </c>
      <c r="B640" s="5">
        <v>813</v>
      </c>
      <c r="C640" s="19">
        <v>714</v>
      </c>
      <c r="E640" s="14"/>
      <c r="F640" s="11"/>
      <c r="G640" s="11"/>
      <c r="H640" s="11"/>
      <c r="I640" s="11"/>
      <c r="J640" s="25"/>
      <c r="K640" s="11"/>
      <c r="L640" s="11"/>
      <c r="M640" s="19">
        <v>2</v>
      </c>
      <c r="O640" s="6"/>
      <c r="P640" s="16">
        <v>360</v>
      </c>
      <c r="Q640" s="16">
        <v>644</v>
      </c>
      <c r="R640" s="22"/>
      <c r="S640" s="22">
        <f t="shared" si="18"/>
        <v>0</v>
      </c>
      <c r="T640" s="5" t="s">
        <v>1210</v>
      </c>
      <c r="U640" s="5" t="s">
        <v>1210</v>
      </c>
      <c r="Y640" s="8"/>
      <c r="Z640" s="8"/>
      <c r="AA640" s="8"/>
      <c r="AB640" s="8"/>
      <c r="AC640" s="8"/>
      <c r="AD640" s="8"/>
      <c r="AE640" s="25"/>
      <c r="AF640" s="11"/>
      <c r="AG640" s="25"/>
      <c r="AH640" s="11"/>
      <c r="AI640" s="11">
        <v>96</v>
      </c>
      <c r="AJ640" s="19">
        <v>121</v>
      </c>
      <c r="AK640" s="12">
        <f>(AJ640+AI640)/30*7</f>
        <v>50.633333333333333</v>
      </c>
      <c r="AL640" s="6">
        <f>IF(AK640-C640&lt;0,0,AK640-C640)</f>
        <v>0</v>
      </c>
      <c r="AM640" s="6">
        <f>IF(AL640-R640-S640&lt;0,0,AL640-R640-S640)</f>
        <v>0</v>
      </c>
      <c r="AN640" s="5" t="str">
        <f t="shared" si="19"/>
        <v/>
      </c>
      <c r="AO640" s="5">
        <v>0</v>
      </c>
      <c r="AP640" s="9"/>
      <c r="AQ640" s="5" t="s">
        <v>1210</v>
      </c>
      <c r="AR640" s="5" t="s">
        <v>1210</v>
      </c>
      <c r="AS640" s="8"/>
      <c r="AT640" s="8"/>
      <c r="AU640" s="8"/>
      <c r="AV640" s="8"/>
      <c r="AW640" s="8"/>
      <c r="AX640" s="8"/>
      <c r="AY640" s="8"/>
      <c r="AZ640" s="8"/>
    </row>
    <row r="641" spans="1:52">
      <c r="A641" s="5" t="s">
        <v>371</v>
      </c>
      <c r="B641" s="5" t="s">
        <v>1148</v>
      </c>
      <c r="C641" s="19">
        <v>853</v>
      </c>
      <c r="E641" s="14"/>
      <c r="F641" s="11"/>
      <c r="G641" s="11"/>
      <c r="H641" s="11"/>
      <c r="I641" s="11"/>
      <c r="J641" s="25"/>
      <c r="K641" s="11"/>
      <c r="L641" s="11"/>
      <c r="M641" s="19">
        <v>3</v>
      </c>
      <c r="O641" s="6"/>
      <c r="P641" s="16">
        <v>486</v>
      </c>
      <c r="Q641" s="16">
        <v>0</v>
      </c>
      <c r="R641" s="22"/>
      <c r="S641" s="22">
        <f t="shared" si="18"/>
        <v>0</v>
      </c>
      <c r="U641" s="5" t="s">
        <v>1210</v>
      </c>
      <c r="Y641" s="8"/>
      <c r="Z641" s="8"/>
      <c r="AA641" s="8"/>
      <c r="AB641" s="8"/>
      <c r="AC641" s="8"/>
      <c r="AD641" s="8"/>
      <c r="AE641" s="25"/>
      <c r="AF641" s="11"/>
      <c r="AG641" s="25"/>
      <c r="AH641" s="11"/>
      <c r="AI641" s="11">
        <v>87</v>
      </c>
      <c r="AJ641" s="19">
        <v>31</v>
      </c>
      <c r="AK641" s="12">
        <f>(AJ641+AI641)/30*7</f>
        <v>27.533333333333331</v>
      </c>
      <c r="AL641" s="6">
        <f>IF(AK641-C641&lt;0,0,AK641-C641)</f>
        <v>0</v>
      </c>
      <c r="AM641" s="6">
        <f>IF(AL641-R641-S641&lt;0,0,AL641-R641-S641)</f>
        <v>0</v>
      </c>
      <c r="AN641" s="5" t="str">
        <f t="shared" si="19"/>
        <v/>
      </c>
      <c r="AO641" s="5">
        <v>0</v>
      </c>
      <c r="AP641" s="9"/>
      <c r="AQ641" s="5" t="s">
        <v>1210</v>
      </c>
      <c r="AR641" s="5" t="s">
        <v>1230</v>
      </c>
      <c r="AS641" s="8"/>
      <c r="AT641" s="8"/>
      <c r="AU641" s="8"/>
      <c r="AV641" s="8"/>
      <c r="AW641" s="8"/>
      <c r="AX641" s="8"/>
      <c r="AY641" s="8"/>
      <c r="AZ641" s="8"/>
    </row>
    <row r="642" spans="1:52">
      <c r="A642" s="5" t="s">
        <v>805</v>
      </c>
      <c r="B642" s="5">
        <v>2038</v>
      </c>
      <c r="C642" s="19">
        <v>251</v>
      </c>
      <c r="E642" s="14"/>
      <c r="F642" s="11"/>
      <c r="G642" s="11"/>
      <c r="H642" s="11"/>
      <c r="I642" s="11"/>
      <c r="J642" s="25"/>
      <c r="K642" s="11"/>
      <c r="L642" s="11"/>
      <c r="M642" s="19">
        <v>0</v>
      </c>
      <c r="O642" s="6"/>
      <c r="P642" s="16">
        <v>329</v>
      </c>
      <c r="Q642" s="16">
        <v>0</v>
      </c>
      <c r="R642" s="22"/>
      <c r="S642" s="22">
        <f t="shared" si="18"/>
        <v>0</v>
      </c>
      <c r="T642" s="5" t="s">
        <v>1210</v>
      </c>
      <c r="U642" s="5" t="s">
        <v>1210</v>
      </c>
      <c r="Y642" s="8"/>
      <c r="Z642" s="8"/>
      <c r="AA642" s="8"/>
      <c r="AB642" s="8"/>
      <c r="AC642" s="8"/>
      <c r="AD642" s="8"/>
      <c r="AE642" s="25"/>
      <c r="AF642" s="11"/>
      <c r="AG642" s="25"/>
      <c r="AH642" s="11"/>
      <c r="AI642" s="11">
        <v>53</v>
      </c>
      <c r="AJ642" s="19">
        <v>22</v>
      </c>
      <c r="AK642" s="12">
        <f>(AJ642+AI642)/30*7</f>
        <v>17.5</v>
      </c>
      <c r="AL642" s="6">
        <f>IF(AK642-C642&lt;0,0,AK642-C642)</f>
        <v>0</v>
      </c>
      <c r="AM642" s="6">
        <f>IF(AL642-R642-S642&lt;0,0,AL642-R642-S642)</f>
        <v>0</v>
      </c>
      <c r="AN642" s="5" t="str">
        <f t="shared" si="19"/>
        <v/>
      </c>
      <c r="AO642" s="5">
        <v>0</v>
      </c>
      <c r="AP642" s="9"/>
      <c r="AQ642" s="5" t="s">
        <v>1210</v>
      </c>
      <c r="AR642" s="5" t="s">
        <v>1210</v>
      </c>
      <c r="AS642" s="8"/>
      <c r="AT642" s="8"/>
      <c r="AU642" s="8"/>
      <c r="AV642" s="8"/>
      <c r="AW642" s="8"/>
      <c r="AX642" s="8"/>
      <c r="AY642" s="8"/>
      <c r="AZ642" s="8"/>
    </row>
    <row r="643" spans="1:52">
      <c r="A643" s="5" t="s">
        <v>159</v>
      </c>
      <c r="B643" s="5">
        <v>1790</v>
      </c>
      <c r="C643" s="19">
        <v>476</v>
      </c>
      <c r="E643" s="14"/>
      <c r="F643" s="11"/>
      <c r="G643" s="11"/>
      <c r="H643" s="11"/>
      <c r="I643" s="11"/>
      <c r="J643" s="25"/>
      <c r="K643" s="11"/>
      <c r="L643" s="11"/>
      <c r="M643" s="19">
        <v>9</v>
      </c>
      <c r="O643" s="6"/>
      <c r="P643" s="16">
        <v>960</v>
      </c>
      <c r="Q643" s="16">
        <v>0</v>
      </c>
      <c r="R643" s="22"/>
      <c r="S643" s="22">
        <f t="shared" si="18"/>
        <v>0</v>
      </c>
      <c r="T643" s="5" t="s">
        <v>1210</v>
      </c>
      <c r="U643" s="5" t="s">
        <v>1210</v>
      </c>
      <c r="Y643" s="8"/>
      <c r="Z643" s="8"/>
      <c r="AA643" s="8"/>
      <c r="AB643" s="8"/>
      <c r="AC643" s="8"/>
      <c r="AD643" s="8"/>
      <c r="AE643" s="25"/>
      <c r="AF643" s="11"/>
      <c r="AG643" s="25"/>
      <c r="AH643" s="11"/>
      <c r="AI643" s="11">
        <v>65</v>
      </c>
      <c r="AJ643" s="19">
        <v>138</v>
      </c>
      <c r="AK643" s="12">
        <f>(AJ643+AI643)/30*7</f>
        <v>47.366666666666667</v>
      </c>
      <c r="AL643" s="6">
        <f>IF(AK643-C643&lt;0,0,AK643-C643)</f>
        <v>0</v>
      </c>
      <c r="AM643" s="6">
        <f>IF(AL643-R643-S643&lt;0,0,AL643-R643-S643)</f>
        <v>0</v>
      </c>
      <c r="AN643" s="5" t="str">
        <f t="shared" si="19"/>
        <v/>
      </c>
      <c r="AO643" s="5">
        <v>0</v>
      </c>
      <c r="AP643" s="9"/>
      <c r="AQ643" s="5" t="s">
        <v>1210</v>
      </c>
      <c r="AR643" s="5" t="s">
        <v>1210</v>
      </c>
      <c r="AS643" s="8"/>
      <c r="AT643" s="8"/>
      <c r="AU643" s="8"/>
      <c r="AV643" s="8"/>
      <c r="AW643" s="8"/>
      <c r="AX643" s="8"/>
      <c r="AY643" s="8"/>
      <c r="AZ643" s="8"/>
    </row>
    <row r="644" spans="1:52">
      <c r="A644" s="5" t="s">
        <v>370</v>
      </c>
      <c r="B644" s="5">
        <v>1663</v>
      </c>
      <c r="C644" s="19">
        <v>748</v>
      </c>
      <c r="E644" s="14"/>
      <c r="F644" s="11"/>
      <c r="G644" s="11"/>
      <c r="H644" s="11"/>
      <c r="I644" s="11"/>
      <c r="J644" s="25"/>
      <c r="K644" s="11"/>
      <c r="L644" s="11"/>
      <c r="M644" s="19">
        <v>8</v>
      </c>
      <c r="O644" s="6"/>
      <c r="P644" s="16">
        <v>373</v>
      </c>
      <c r="Q644" s="16">
        <v>347</v>
      </c>
      <c r="R644" s="22"/>
      <c r="S644" s="22">
        <f t="shared" ref="S644:S707" si="20">IF(AL644&gt;0,IF(Q644&gt;=AL644,ROUND(AL644,0),Q644),0)</f>
        <v>0</v>
      </c>
      <c r="T644" s="5" t="s">
        <v>1210</v>
      </c>
      <c r="U644" s="5" t="s">
        <v>1210</v>
      </c>
      <c r="Y644" s="8"/>
      <c r="Z644" s="8"/>
      <c r="AA644" s="8"/>
      <c r="AB644" s="8"/>
      <c r="AC644" s="8"/>
      <c r="AD644" s="8"/>
      <c r="AE644" s="25"/>
      <c r="AF644" s="11"/>
      <c r="AG644" s="25"/>
      <c r="AH644" s="11"/>
      <c r="AI644" s="11">
        <v>22</v>
      </c>
      <c r="AJ644" s="19">
        <v>31</v>
      </c>
      <c r="AK644" s="12">
        <f>(AJ644+AI644)/30*7</f>
        <v>12.366666666666667</v>
      </c>
      <c r="AL644" s="6">
        <f>IF(AK644-C644&lt;0,0,AK644-C644)</f>
        <v>0</v>
      </c>
      <c r="AM644" s="6">
        <f>IF(AL644-R644-S644&lt;0,0,AL644-R644-S644)</f>
        <v>0</v>
      </c>
      <c r="AN644" s="5" t="str">
        <f t="shared" ref="AN644:AN707" si="21">IF(AM644&gt;0,IF(LEN(U644)=0,IF(ROUND(AM644-AO644,0)&gt;0,ROUND(AM644-AO644,0),""),IF(U644+AO644&gt;=AM644,"",ROUND(AM644-U644-AO644,0))),"")</f>
        <v/>
      </c>
      <c r="AO644" s="5">
        <v>0</v>
      </c>
      <c r="AP644" s="9"/>
      <c r="AQ644" s="5" t="s">
        <v>1210</v>
      </c>
      <c r="AR644" s="5" t="s">
        <v>1210</v>
      </c>
      <c r="AS644" s="8"/>
      <c r="AT644" s="8"/>
      <c r="AU644" s="8"/>
      <c r="AV644" s="8"/>
      <c r="AW644" s="8"/>
      <c r="AX644" s="8"/>
      <c r="AY644" s="8"/>
      <c r="AZ644" s="8"/>
    </row>
    <row r="645" spans="1:52">
      <c r="A645" s="5" t="s">
        <v>118</v>
      </c>
      <c r="B645" s="5">
        <v>1078</v>
      </c>
      <c r="C645" s="19">
        <v>684</v>
      </c>
      <c r="E645" s="14"/>
      <c r="F645" s="11"/>
      <c r="G645" s="11"/>
      <c r="H645" s="11"/>
      <c r="I645" s="11"/>
      <c r="J645" s="25"/>
      <c r="K645" s="11"/>
      <c r="L645" s="11"/>
      <c r="M645" s="19">
        <v>4</v>
      </c>
      <c r="O645" s="6"/>
      <c r="P645" s="16">
        <v>691</v>
      </c>
      <c r="Q645" s="16">
        <v>0</v>
      </c>
      <c r="R645" s="22"/>
      <c r="S645" s="22">
        <f t="shared" si="20"/>
        <v>0</v>
      </c>
      <c r="T645" s="5" t="s">
        <v>1210</v>
      </c>
      <c r="U645" s="5" t="s">
        <v>1210</v>
      </c>
      <c r="Y645" s="8"/>
      <c r="Z645" s="8"/>
      <c r="AA645" s="8"/>
      <c r="AB645" s="8"/>
      <c r="AC645" s="8"/>
      <c r="AD645" s="8"/>
      <c r="AE645" s="25"/>
      <c r="AF645" s="11"/>
      <c r="AG645" s="25"/>
      <c r="AH645" s="11"/>
      <c r="AI645" s="11">
        <v>64</v>
      </c>
      <c r="AJ645" s="19">
        <v>113</v>
      </c>
      <c r="AK645" s="12">
        <f>(AJ645+AI645)/30*7</f>
        <v>41.300000000000004</v>
      </c>
      <c r="AL645" s="6">
        <f>IF(AK645-C645&lt;0,0,AK645-C645)</f>
        <v>0</v>
      </c>
      <c r="AM645" s="6">
        <f>IF(AL645-R645-S645&lt;0,0,AL645-R645-S645)</f>
        <v>0</v>
      </c>
      <c r="AN645" s="5" t="str">
        <f t="shared" si="21"/>
        <v/>
      </c>
      <c r="AO645" s="5">
        <v>0</v>
      </c>
      <c r="AP645" s="9"/>
      <c r="AQ645" s="5" t="s">
        <v>1210</v>
      </c>
      <c r="AR645" s="5" t="s">
        <v>1210</v>
      </c>
      <c r="AS645" s="8"/>
      <c r="AT645" s="8"/>
      <c r="AU645" s="8"/>
      <c r="AV645" s="8"/>
      <c r="AW645" s="8"/>
      <c r="AX645" s="8"/>
      <c r="AY645" s="8"/>
      <c r="AZ645" s="8"/>
    </row>
    <row r="646" spans="1:52">
      <c r="A646" s="5" t="s">
        <v>410</v>
      </c>
      <c r="B646" s="5">
        <v>551</v>
      </c>
      <c r="C646" s="19">
        <v>879</v>
      </c>
      <c r="E646" s="14"/>
      <c r="F646" s="11"/>
      <c r="G646" s="11"/>
      <c r="H646" s="11"/>
      <c r="I646" s="11"/>
      <c r="J646" s="25"/>
      <c r="K646" s="11"/>
      <c r="L646" s="11"/>
      <c r="M646" s="19">
        <v>0</v>
      </c>
      <c r="O646" s="6"/>
      <c r="P646" s="16">
        <v>0</v>
      </c>
      <c r="Q646" s="16">
        <v>292</v>
      </c>
      <c r="R646" s="22"/>
      <c r="S646" s="22">
        <f t="shared" si="20"/>
        <v>0</v>
      </c>
      <c r="T646" s="5">
        <v>1038</v>
      </c>
      <c r="U646" s="5">
        <v>30</v>
      </c>
      <c r="Y646" s="8"/>
      <c r="Z646" s="8"/>
      <c r="AA646" s="8"/>
      <c r="AB646" s="8"/>
      <c r="AC646" s="8"/>
      <c r="AD646" s="8"/>
      <c r="AE646" s="25"/>
      <c r="AF646" s="11"/>
      <c r="AG646" s="25"/>
      <c r="AH646" s="11"/>
      <c r="AI646" s="11">
        <v>74</v>
      </c>
      <c r="AJ646" s="19">
        <v>0</v>
      </c>
      <c r="AK646" s="12">
        <f>(AJ646+AI646)/30*7</f>
        <v>17.266666666666666</v>
      </c>
      <c r="AL646" s="6">
        <f>IF(AK646-C646&lt;0,0,AK646-C646)</f>
        <v>0</v>
      </c>
      <c r="AM646" s="6">
        <f>IF(AL646-R646-S646&lt;0,0,AL646-R646-S646)</f>
        <v>0</v>
      </c>
      <c r="AN646" s="5" t="str">
        <f t="shared" si="21"/>
        <v/>
      </c>
      <c r="AO646" s="5">
        <v>0</v>
      </c>
      <c r="AP646" s="9"/>
      <c r="AQ646" s="5" t="s">
        <v>1210</v>
      </c>
      <c r="AR646" s="5" t="s">
        <v>1230</v>
      </c>
      <c r="AS646" s="8"/>
      <c r="AT646" s="8"/>
      <c r="AU646" s="8"/>
      <c r="AV646" s="8"/>
      <c r="AW646" s="8"/>
      <c r="AX646" s="8"/>
      <c r="AY646" s="8"/>
      <c r="AZ646" s="8"/>
    </row>
    <row r="647" spans="1:52">
      <c r="A647" s="5" t="s">
        <v>717</v>
      </c>
      <c r="B647" s="5">
        <v>2118</v>
      </c>
      <c r="C647" s="19">
        <v>680</v>
      </c>
      <c r="E647" s="14"/>
      <c r="F647" s="11"/>
      <c r="G647" s="11"/>
      <c r="H647" s="11"/>
      <c r="I647" s="11"/>
      <c r="J647" s="25"/>
      <c r="K647" s="11"/>
      <c r="L647" s="11"/>
      <c r="M647" s="19">
        <v>0</v>
      </c>
      <c r="O647" s="6"/>
      <c r="P647" s="16">
        <v>887</v>
      </c>
      <c r="Q647" s="16">
        <v>0</v>
      </c>
      <c r="R647" s="22"/>
      <c r="S647" s="22">
        <f t="shared" si="20"/>
        <v>0</v>
      </c>
      <c r="T647" s="5" t="s">
        <v>1210</v>
      </c>
      <c r="U647" s="5" t="s">
        <v>1210</v>
      </c>
      <c r="Y647" s="8"/>
      <c r="Z647" s="8"/>
      <c r="AA647" s="8"/>
      <c r="AB647" s="8"/>
      <c r="AC647" s="8"/>
      <c r="AD647" s="8"/>
      <c r="AE647" s="25"/>
      <c r="AF647" s="11"/>
      <c r="AG647" s="25"/>
      <c r="AH647" s="11"/>
      <c r="AI647" s="11">
        <v>74</v>
      </c>
      <c r="AJ647" s="19">
        <v>0</v>
      </c>
      <c r="AK647" s="12">
        <f>(AJ647+AI647)/30*7</f>
        <v>17.266666666666666</v>
      </c>
      <c r="AL647" s="6">
        <f>IF(AK647-C647&lt;0,0,AK647-C647)</f>
        <v>0</v>
      </c>
      <c r="AM647" s="6">
        <f>IF(AL647-R647-S647&lt;0,0,AL647-R647-S647)</f>
        <v>0</v>
      </c>
      <c r="AN647" s="5" t="str">
        <f t="shared" si="21"/>
        <v/>
      </c>
      <c r="AO647" s="5">
        <v>0</v>
      </c>
      <c r="AP647" s="9"/>
      <c r="AQ647" s="5" t="s">
        <v>1210</v>
      </c>
      <c r="AR647" s="5" t="s">
        <v>1210</v>
      </c>
      <c r="AS647" s="8"/>
      <c r="AT647" s="8"/>
      <c r="AU647" s="8"/>
      <c r="AV647" s="8"/>
      <c r="AW647" s="8"/>
      <c r="AX647" s="8"/>
      <c r="AY647" s="8"/>
      <c r="AZ647" s="8"/>
    </row>
    <row r="648" spans="1:52">
      <c r="A648" s="5" t="s">
        <v>64</v>
      </c>
      <c r="B648" s="5">
        <v>1734</v>
      </c>
      <c r="C648" s="19">
        <v>521</v>
      </c>
      <c r="E648" s="14"/>
      <c r="F648" s="11"/>
      <c r="G648" s="11"/>
      <c r="H648" s="11"/>
      <c r="I648" s="11"/>
      <c r="J648" s="25"/>
      <c r="K648" s="11"/>
      <c r="L648" s="11"/>
      <c r="M648" s="19">
        <v>0</v>
      </c>
      <c r="O648" s="6"/>
      <c r="P648" s="16">
        <v>0</v>
      </c>
      <c r="Q648" s="16">
        <v>0</v>
      </c>
      <c r="R648" s="22"/>
      <c r="S648" s="22">
        <f t="shared" si="20"/>
        <v>0</v>
      </c>
      <c r="T648" s="5" t="s">
        <v>1210</v>
      </c>
      <c r="U648" s="5" t="s">
        <v>1210</v>
      </c>
      <c r="Y648" s="8"/>
      <c r="Z648" s="8"/>
      <c r="AA648" s="8"/>
      <c r="AB648" s="8"/>
      <c r="AC648" s="8"/>
      <c r="AD648" s="8"/>
      <c r="AE648" s="25"/>
      <c r="AF648" s="11"/>
      <c r="AG648" s="25"/>
      <c r="AH648" s="11"/>
      <c r="AI648" s="11">
        <v>6</v>
      </c>
      <c r="AJ648" s="19">
        <v>132</v>
      </c>
      <c r="AK648" s="12">
        <f>(AJ648+AI648)/30*7</f>
        <v>32.199999999999996</v>
      </c>
      <c r="AL648" s="6">
        <f>IF(AK648-C648&lt;0,0,AK648-C648)</f>
        <v>0</v>
      </c>
      <c r="AM648" s="6">
        <f>IF(AL648-R648-S648&lt;0,0,AL648-R648-S648)</f>
        <v>0</v>
      </c>
      <c r="AN648" s="5" t="str">
        <f t="shared" si="21"/>
        <v/>
      </c>
      <c r="AO648" s="5">
        <v>0</v>
      </c>
      <c r="AP648" s="9"/>
      <c r="AQ648" s="5" t="s">
        <v>1210</v>
      </c>
      <c r="AR648" s="5" t="s">
        <v>1210</v>
      </c>
      <c r="AS648" s="8"/>
      <c r="AT648" s="8"/>
      <c r="AU648" s="8"/>
      <c r="AV648" s="8"/>
      <c r="AW648" s="8"/>
      <c r="AX648" s="8"/>
      <c r="AY648" s="8"/>
      <c r="AZ648" s="8"/>
    </row>
    <row r="649" spans="1:52">
      <c r="A649" s="5" t="s">
        <v>349</v>
      </c>
      <c r="B649" s="5" t="s">
        <v>1146</v>
      </c>
      <c r="C649" s="19">
        <v>701</v>
      </c>
      <c r="E649" s="14"/>
      <c r="F649" s="11"/>
      <c r="G649" s="11"/>
      <c r="H649" s="11"/>
      <c r="I649" s="11"/>
      <c r="J649" s="25"/>
      <c r="K649" s="11"/>
      <c r="L649" s="11"/>
      <c r="M649" s="19">
        <v>0</v>
      </c>
      <c r="O649" s="6"/>
      <c r="P649" s="16">
        <v>529</v>
      </c>
      <c r="Q649" s="16">
        <v>0</v>
      </c>
      <c r="R649" s="22"/>
      <c r="S649" s="22">
        <f t="shared" si="20"/>
        <v>0</v>
      </c>
      <c r="T649" s="5" t="s">
        <v>1210</v>
      </c>
      <c r="U649" s="5" t="s">
        <v>1210</v>
      </c>
      <c r="Y649" s="8"/>
      <c r="Z649" s="8"/>
      <c r="AA649" s="8"/>
      <c r="AB649" s="8"/>
      <c r="AC649" s="8"/>
      <c r="AD649" s="8"/>
      <c r="AE649" s="25"/>
      <c r="AF649" s="11"/>
      <c r="AG649" s="25"/>
      <c r="AH649" s="11"/>
      <c r="AI649" s="11">
        <v>62</v>
      </c>
      <c r="AJ649" s="19">
        <v>63</v>
      </c>
      <c r="AK649" s="12">
        <f>(AJ649+AI649)/30*7</f>
        <v>29.166666666666668</v>
      </c>
      <c r="AL649" s="6">
        <f>IF(AK649-C649&lt;0,0,AK649-C649)</f>
        <v>0</v>
      </c>
      <c r="AM649" s="6">
        <f>IF(AL649-R649-S649&lt;0,0,AL649-R649-S649)</f>
        <v>0</v>
      </c>
      <c r="AN649" s="5" t="str">
        <f t="shared" si="21"/>
        <v/>
      </c>
      <c r="AO649" s="5">
        <v>0</v>
      </c>
      <c r="AP649" s="9"/>
      <c r="AQ649" s="5" t="s">
        <v>1210</v>
      </c>
      <c r="AR649" s="5" t="s">
        <v>1210</v>
      </c>
      <c r="AS649" s="8"/>
      <c r="AT649" s="8"/>
      <c r="AU649" s="8"/>
      <c r="AV649" s="8"/>
      <c r="AW649" s="8"/>
      <c r="AX649" s="8"/>
      <c r="AY649" s="8"/>
      <c r="AZ649" s="8"/>
    </row>
    <row r="650" spans="1:52">
      <c r="A650" s="5" t="s">
        <v>147</v>
      </c>
      <c r="B650" s="5">
        <v>699</v>
      </c>
      <c r="C650" s="19">
        <v>268</v>
      </c>
      <c r="E650" s="14"/>
      <c r="F650" s="11"/>
      <c r="G650" s="11"/>
      <c r="H650" s="11"/>
      <c r="I650" s="11"/>
      <c r="J650" s="25"/>
      <c r="K650" s="11"/>
      <c r="L650" s="11"/>
      <c r="M650" s="19">
        <v>0</v>
      </c>
      <c r="O650" s="6"/>
      <c r="P650" s="16">
        <v>528</v>
      </c>
      <c r="Q650" s="16">
        <v>657</v>
      </c>
      <c r="R650" s="22"/>
      <c r="S650" s="22">
        <f t="shared" si="20"/>
        <v>0</v>
      </c>
      <c r="T650" s="5" t="s">
        <v>1210</v>
      </c>
      <c r="U650" s="5" t="s">
        <v>1210</v>
      </c>
      <c r="Y650" s="8"/>
      <c r="Z650" s="8"/>
      <c r="AA650" s="8"/>
      <c r="AB650" s="8"/>
      <c r="AC650" s="8"/>
      <c r="AD650" s="8"/>
      <c r="AE650" s="25"/>
      <c r="AF650" s="11"/>
      <c r="AG650" s="25"/>
      <c r="AH650" s="11"/>
      <c r="AI650" s="11">
        <v>93</v>
      </c>
      <c r="AJ650" s="19">
        <v>49</v>
      </c>
      <c r="AK650" s="12">
        <f>(AJ650+AI650)/30*7</f>
        <v>33.133333333333333</v>
      </c>
      <c r="AL650" s="6">
        <f>IF(AK650-C650&lt;0,0,AK650-C650)</f>
        <v>0</v>
      </c>
      <c r="AM650" s="6">
        <f>IF(AL650-R650-S650&lt;0,0,AL650-R650-S650)</f>
        <v>0</v>
      </c>
      <c r="AN650" s="5" t="str">
        <f t="shared" si="21"/>
        <v/>
      </c>
      <c r="AO650" s="5">
        <v>0</v>
      </c>
      <c r="AP650" s="9"/>
      <c r="AQ650" s="5" t="s">
        <v>1210</v>
      </c>
      <c r="AR650" s="5" t="s">
        <v>1210</v>
      </c>
      <c r="AS650" s="8"/>
      <c r="AT650" s="8"/>
      <c r="AU650" s="8"/>
      <c r="AV650" s="8"/>
      <c r="AW650" s="8"/>
      <c r="AX650" s="8"/>
      <c r="AY650" s="8"/>
      <c r="AZ650" s="8"/>
    </row>
    <row r="651" spans="1:52">
      <c r="A651" s="5" t="s">
        <v>333</v>
      </c>
      <c r="B651" s="5">
        <v>1279</v>
      </c>
      <c r="C651" s="19">
        <v>361</v>
      </c>
      <c r="E651" s="14"/>
      <c r="F651" s="11"/>
      <c r="G651" s="11"/>
      <c r="H651" s="11"/>
      <c r="I651" s="11"/>
      <c r="J651" s="25"/>
      <c r="K651" s="11"/>
      <c r="L651" s="11"/>
      <c r="M651" s="19">
        <v>0</v>
      </c>
      <c r="O651" s="6"/>
      <c r="P651" s="16">
        <v>396</v>
      </c>
      <c r="Q651" s="16">
        <v>222</v>
      </c>
      <c r="R651" s="22"/>
      <c r="S651" s="22">
        <f t="shared" si="20"/>
        <v>0</v>
      </c>
      <c r="T651" s="5" t="s">
        <v>1210</v>
      </c>
      <c r="U651" s="5" t="s">
        <v>1210</v>
      </c>
      <c r="Y651" s="8"/>
      <c r="Z651" s="8"/>
      <c r="AA651" s="8"/>
      <c r="AB651" s="8"/>
      <c r="AC651" s="8"/>
      <c r="AD651" s="8"/>
      <c r="AE651" s="25"/>
      <c r="AF651" s="11"/>
      <c r="AG651" s="25"/>
      <c r="AH651" s="11"/>
      <c r="AI651" s="11">
        <v>29</v>
      </c>
      <c r="AJ651" s="19">
        <v>23</v>
      </c>
      <c r="AK651" s="12">
        <f>(AJ651+AI651)/30*7</f>
        <v>12.133333333333333</v>
      </c>
      <c r="AL651" s="6">
        <f>IF(AK651-C651&lt;0,0,AK651-C651)</f>
        <v>0</v>
      </c>
      <c r="AM651" s="6">
        <f>IF(AL651-R651-S651&lt;0,0,AL651-R651-S651)</f>
        <v>0</v>
      </c>
      <c r="AN651" s="5" t="str">
        <f t="shared" si="21"/>
        <v/>
      </c>
      <c r="AO651" s="5">
        <v>0</v>
      </c>
      <c r="AP651" s="9"/>
      <c r="AQ651" s="5" t="s">
        <v>1210</v>
      </c>
      <c r="AR651" s="5" t="s">
        <v>1210</v>
      </c>
      <c r="AS651" s="8"/>
      <c r="AT651" s="8"/>
      <c r="AU651" s="8"/>
      <c r="AV651" s="8"/>
      <c r="AW651" s="8"/>
      <c r="AX651" s="8"/>
      <c r="AY651" s="8"/>
      <c r="AZ651" s="8"/>
    </row>
    <row r="652" spans="1:52">
      <c r="A652" s="5" t="s">
        <v>60</v>
      </c>
      <c r="B652" s="5">
        <v>1391</v>
      </c>
      <c r="C652" s="19">
        <v>530</v>
      </c>
      <c r="E652" s="14"/>
      <c r="F652" s="11"/>
      <c r="G652" s="11"/>
      <c r="H652" s="11"/>
      <c r="I652" s="11"/>
      <c r="J652" s="25"/>
      <c r="K652" s="11"/>
      <c r="L652" s="11"/>
      <c r="M652" s="19">
        <v>8</v>
      </c>
      <c r="O652" s="6"/>
      <c r="P652" s="16">
        <v>919</v>
      </c>
      <c r="Q652" s="16">
        <v>0</v>
      </c>
      <c r="R652" s="22"/>
      <c r="S652" s="22">
        <f t="shared" si="20"/>
        <v>0</v>
      </c>
      <c r="U652" s="5" t="s">
        <v>1210</v>
      </c>
      <c r="Y652" s="8"/>
      <c r="Z652" s="8"/>
      <c r="AA652" s="8"/>
      <c r="AB652" s="8"/>
      <c r="AC652" s="8"/>
      <c r="AD652" s="8"/>
      <c r="AE652" s="25"/>
      <c r="AF652" s="11"/>
      <c r="AG652" s="25"/>
      <c r="AH652" s="11"/>
      <c r="AI652" s="11">
        <v>59</v>
      </c>
      <c r="AJ652" s="19">
        <v>142</v>
      </c>
      <c r="AK652" s="12">
        <f>(AJ652+AI652)/30*7</f>
        <v>46.9</v>
      </c>
      <c r="AL652" s="6">
        <f>IF(AK652-C652&lt;0,0,AK652-C652)</f>
        <v>0</v>
      </c>
      <c r="AM652" s="6">
        <f>IF(AL652-R652-S652&lt;0,0,AL652-R652-S652)</f>
        <v>0</v>
      </c>
      <c r="AN652" s="5" t="str">
        <f t="shared" si="21"/>
        <v/>
      </c>
      <c r="AO652" s="5">
        <v>11</v>
      </c>
      <c r="AP652" s="9"/>
      <c r="AQ652" s="5" t="s">
        <v>1229</v>
      </c>
      <c r="AR652" s="5" t="s">
        <v>1210</v>
      </c>
      <c r="AS652" s="8"/>
      <c r="AT652" s="8"/>
      <c r="AU652" s="8"/>
      <c r="AV652" s="8"/>
      <c r="AW652" s="8"/>
      <c r="AX652" s="8"/>
      <c r="AY652" s="8"/>
      <c r="AZ652" s="8"/>
    </row>
    <row r="653" spans="1:52">
      <c r="A653" s="5" t="s">
        <v>165</v>
      </c>
      <c r="B653" s="5">
        <v>1561</v>
      </c>
      <c r="C653" s="19">
        <v>233</v>
      </c>
      <c r="E653" s="14"/>
      <c r="F653" s="11"/>
      <c r="G653" s="11"/>
      <c r="H653" s="11"/>
      <c r="I653" s="11"/>
      <c r="J653" s="25"/>
      <c r="K653" s="11"/>
      <c r="L653" s="11"/>
      <c r="M653" s="19">
        <v>0</v>
      </c>
      <c r="O653" s="6"/>
      <c r="P653" s="16">
        <v>363</v>
      </c>
      <c r="Q653" s="16">
        <v>0</v>
      </c>
      <c r="R653" s="22"/>
      <c r="S653" s="22">
        <f t="shared" si="20"/>
        <v>0</v>
      </c>
      <c r="T653" s="5" t="s">
        <v>1210</v>
      </c>
      <c r="U653" s="5" t="s">
        <v>1210</v>
      </c>
      <c r="Y653" s="8"/>
      <c r="Z653" s="8"/>
      <c r="AA653" s="8"/>
      <c r="AB653" s="8"/>
      <c r="AC653" s="8"/>
      <c r="AD653" s="8"/>
      <c r="AE653" s="25"/>
      <c r="AF653" s="11"/>
      <c r="AG653" s="25"/>
      <c r="AH653" s="11"/>
      <c r="AI653" s="11">
        <v>17</v>
      </c>
      <c r="AJ653" s="19">
        <v>68</v>
      </c>
      <c r="AK653" s="12">
        <f>(AJ653+AI653)/30*7</f>
        <v>19.833333333333336</v>
      </c>
      <c r="AL653" s="6">
        <f>IF(AK653-C653&lt;0,0,AK653-C653)</f>
        <v>0</v>
      </c>
      <c r="AM653" s="6">
        <f>IF(AL653-R653-S653&lt;0,0,AL653-R653-S653)</f>
        <v>0</v>
      </c>
      <c r="AN653" s="5" t="str">
        <f t="shared" si="21"/>
        <v/>
      </c>
      <c r="AO653" s="5">
        <v>0</v>
      </c>
      <c r="AP653" s="9"/>
      <c r="AQ653" s="5" t="s">
        <v>1229</v>
      </c>
      <c r="AR653" s="5" t="s">
        <v>1210</v>
      </c>
      <c r="AS653" s="8"/>
      <c r="AT653" s="8"/>
      <c r="AU653" s="8"/>
      <c r="AV653" s="8"/>
      <c r="AW653" s="8"/>
      <c r="AX653" s="8"/>
      <c r="AY653" s="8"/>
      <c r="AZ653" s="8"/>
    </row>
    <row r="654" spans="1:52">
      <c r="A654" s="5" t="s">
        <v>55</v>
      </c>
      <c r="B654" s="5">
        <v>785</v>
      </c>
      <c r="C654" s="19">
        <v>565</v>
      </c>
      <c r="E654" s="14"/>
      <c r="F654" s="11"/>
      <c r="G654" s="11"/>
      <c r="H654" s="11"/>
      <c r="I654" s="11"/>
      <c r="J654" s="25"/>
      <c r="K654" s="11"/>
      <c r="L654" s="11"/>
      <c r="M654" s="19">
        <v>0</v>
      </c>
      <c r="O654" s="6"/>
      <c r="P654" s="16">
        <v>242</v>
      </c>
      <c r="Q654" s="16">
        <v>813</v>
      </c>
      <c r="R654" s="22"/>
      <c r="S654" s="22">
        <f t="shared" si="20"/>
        <v>0</v>
      </c>
      <c r="T654" s="5" t="s">
        <v>1210</v>
      </c>
      <c r="U654" s="5" t="s">
        <v>1210</v>
      </c>
      <c r="Y654" s="8"/>
      <c r="Z654" s="8"/>
      <c r="AA654" s="8"/>
      <c r="AB654" s="8"/>
      <c r="AC654" s="8"/>
      <c r="AD654" s="8"/>
      <c r="AE654" s="25"/>
      <c r="AF654" s="11"/>
      <c r="AG654" s="25"/>
      <c r="AH654" s="11"/>
      <c r="AI654" s="11">
        <v>22</v>
      </c>
      <c r="AJ654" s="19">
        <v>110</v>
      </c>
      <c r="AK654" s="12">
        <f>(AJ654+AI654)/30*7</f>
        <v>30.800000000000004</v>
      </c>
      <c r="AL654" s="6">
        <f>IF(AK654-C654&lt;0,0,AK654-C654)</f>
        <v>0</v>
      </c>
      <c r="AM654" s="6">
        <f>IF(AL654-R654-S654&lt;0,0,AL654-R654-S654)</f>
        <v>0</v>
      </c>
      <c r="AN654" s="5" t="str">
        <f t="shared" si="21"/>
        <v/>
      </c>
      <c r="AO654" s="5">
        <v>0</v>
      </c>
      <c r="AP654" s="9"/>
      <c r="AQ654" s="5" t="s">
        <v>1210</v>
      </c>
      <c r="AR654" s="5" t="s">
        <v>1210</v>
      </c>
      <c r="AS654" s="8"/>
      <c r="AT654" s="8"/>
      <c r="AU654" s="8"/>
      <c r="AV654" s="8"/>
      <c r="AW654" s="8"/>
      <c r="AX654" s="8"/>
      <c r="AY654" s="8"/>
      <c r="AZ654" s="8"/>
    </row>
    <row r="655" spans="1:52">
      <c r="A655" s="5" t="s">
        <v>71</v>
      </c>
      <c r="B655" s="5">
        <v>865</v>
      </c>
      <c r="C655" s="19">
        <v>763</v>
      </c>
      <c r="E655" s="14"/>
      <c r="F655" s="11"/>
      <c r="G655" s="11"/>
      <c r="H655" s="11"/>
      <c r="I655" s="11"/>
      <c r="J655" s="25"/>
      <c r="K655" s="11"/>
      <c r="L655" s="11"/>
      <c r="M655" s="19">
        <v>1</v>
      </c>
      <c r="O655" s="6"/>
      <c r="P655" s="16">
        <v>831</v>
      </c>
      <c r="Q655" s="16">
        <v>0</v>
      </c>
      <c r="R655" s="22"/>
      <c r="S655" s="22">
        <f t="shared" si="20"/>
        <v>0</v>
      </c>
      <c r="T655" s="5" t="s">
        <v>1210</v>
      </c>
      <c r="U655" s="5" t="s">
        <v>1210</v>
      </c>
      <c r="Y655" s="8"/>
      <c r="Z655" s="8"/>
      <c r="AA655" s="8"/>
      <c r="AB655" s="8"/>
      <c r="AC655" s="8"/>
      <c r="AD655" s="8"/>
      <c r="AE655" s="25"/>
      <c r="AF655" s="11"/>
      <c r="AG655" s="25"/>
      <c r="AH655" s="11"/>
      <c r="AI655" s="11">
        <v>54</v>
      </c>
      <c r="AJ655" s="19">
        <v>78</v>
      </c>
      <c r="AK655" s="12">
        <f>(AJ655+AI655)/30*7</f>
        <v>30.800000000000004</v>
      </c>
      <c r="AL655" s="6">
        <f>IF(AK655-C655&lt;0,0,AK655-C655)</f>
        <v>0</v>
      </c>
      <c r="AM655" s="6">
        <f>IF(AL655-R655-S655&lt;0,0,AL655-R655-S655)</f>
        <v>0</v>
      </c>
      <c r="AN655" s="5" t="str">
        <f t="shared" si="21"/>
        <v/>
      </c>
      <c r="AO655" s="5">
        <v>0</v>
      </c>
      <c r="AP655" s="9"/>
      <c r="AQ655" s="5" t="s">
        <v>1229</v>
      </c>
      <c r="AR655" s="5" t="s">
        <v>1210</v>
      </c>
      <c r="AS655" s="8"/>
      <c r="AT655" s="8"/>
      <c r="AU655" s="8"/>
      <c r="AV655" s="8"/>
      <c r="AW655" s="8"/>
      <c r="AX655" s="8"/>
      <c r="AY655" s="8"/>
      <c r="AZ655" s="8"/>
    </row>
    <row r="656" spans="1:52">
      <c r="A656" s="5" t="s">
        <v>590</v>
      </c>
      <c r="B656" s="5">
        <v>612</v>
      </c>
      <c r="C656" s="19">
        <v>279</v>
      </c>
      <c r="E656" s="14"/>
      <c r="F656" s="11"/>
      <c r="G656" s="11"/>
      <c r="H656" s="11"/>
      <c r="I656" s="11"/>
      <c r="J656" s="25"/>
      <c r="K656" s="11"/>
      <c r="L656" s="11"/>
      <c r="M656" s="19">
        <v>0</v>
      </c>
      <c r="O656" s="6"/>
      <c r="P656" s="16">
        <v>0</v>
      </c>
      <c r="Q656" s="16">
        <v>0</v>
      </c>
      <c r="R656" s="22"/>
      <c r="S656" s="22">
        <f t="shared" si="20"/>
        <v>0</v>
      </c>
      <c r="T656" s="5" t="s">
        <v>1210</v>
      </c>
      <c r="U656" s="5" t="s">
        <v>1210</v>
      </c>
      <c r="Y656" s="8"/>
      <c r="Z656" s="8"/>
      <c r="AA656" s="8"/>
      <c r="AB656" s="8"/>
      <c r="AC656" s="8"/>
      <c r="AD656" s="8"/>
      <c r="AE656" s="25"/>
      <c r="AF656" s="11"/>
      <c r="AG656" s="25"/>
      <c r="AH656" s="11"/>
      <c r="AI656" s="11">
        <v>89</v>
      </c>
      <c r="AJ656" s="19">
        <v>0</v>
      </c>
      <c r="AK656" s="12">
        <f>(AJ656+AI656)/30*7</f>
        <v>20.766666666666666</v>
      </c>
      <c r="AL656" s="6">
        <f>IF(AK656-C656&lt;0,0,AK656-C656)</f>
        <v>0</v>
      </c>
      <c r="AM656" s="6">
        <f>IF(AL656-R656-S656&lt;0,0,AL656-R656-S656)</f>
        <v>0</v>
      </c>
      <c r="AN656" s="5" t="str">
        <f t="shared" si="21"/>
        <v/>
      </c>
      <c r="AO656" s="5">
        <v>0</v>
      </c>
      <c r="AP656" s="9"/>
      <c r="AQ656" s="5" t="s">
        <v>1210</v>
      </c>
      <c r="AR656" s="5" t="s">
        <v>1210</v>
      </c>
      <c r="AS656" s="8"/>
      <c r="AT656" s="8"/>
      <c r="AU656" s="8"/>
      <c r="AV656" s="8"/>
      <c r="AW656" s="8"/>
      <c r="AX656" s="8"/>
      <c r="AY656" s="8"/>
      <c r="AZ656" s="8"/>
    </row>
    <row r="657" spans="1:52">
      <c r="A657" s="5" t="s">
        <v>828</v>
      </c>
      <c r="B657" s="5">
        <v>848</v>
      </c>
      <c r="C657" s="19">
        <v>500</v>
      </c>
      <c r="E657" s="14"/>
      <c r="F657" s="11"/>
      <c r="G657" s="11"/>
      <c r="H657" s="11"/>
      <c r="I657" s="11"/>
      <c r="J657" s="25"/>
      <c r="K657" s="11"/>
      <c r="L657" s="11"/>
      <c r="M657" s="19">
        <v>0</v>
      </c>
      <c r="O657" s="6"/>
      <c r="P657" s="16">
        <v>484</v>
      </c>
      <c r="Q657" s="16">
        <v>704</v>
      </c>
      <c r="R657" s="22"/>
      <c r="S657" s="22">
        <f t="shared" si="20"/>
        <v>0</v>
      </c>
      <c r="T657" s="5" t="s">
        <v>1210</v>
      </c>
      <c r="U657" s="5" t="s">
        <v>1210</v>
      </c>
      <c r="Y657" s="8"/>
      <c r="Z657" s="8"/>
      <c r="AA657" s="8"/>
      <c r="AB657" s="8"/>
      <c r="AC657" s="8"/>
      <c r="AD657" s="8"/>
      <c r="AE657" s="25"/>
      <c r="AF657" s="11"/>
      <c r="AG657" s="25"/>
      <c r="AH657" s="11"/>
      <c r="AI657" s="11">
        <v>80</v>
      </c>
      <c r="AJ657" s="19">
        <v>0</v>
      </c>
      <c r="AK657" s="12">
        <f>(AJ657+AI657)/30*7</f>
        <v>18.666666666666664</v>
      </c>
      <c r="AL657" s="6">
        <f>IF(AK657-C657&lt;0,0,AK657-C657)</f>
        <v>0</v>
      </c>
      <c r="AM657" s="6">
        <f>IF(AL657-R657-S657&lt;0,0,AL657-R657-S657)</f>
        <v>0</v>
      </c>
      <c r="AN657" s="5" t="str">
        <f t="shared" si="21"/>
        <v/>
      </c>
      <c r="AO657" s="5">
        <v>0</v>
      </c>
      <c r="AP657" s="9"/>
      <c r="AQ657" s="5" t="s">
        <v>1210</v>
      </c>
      <c r="AR657" s="5" t="s">
        <v>1230</v>
      </c>
      <c r="AS657" s="8"/>
      <c r="AT657" s="8"/>
      <c r="AU657" s="8"/>
      <c r="AV657" s="8"/>
      <c r="AW657" s="8"/>
      <c r="AX657" s="8"/>
      <c r="AY657" s="8"/>
      <c r="AZ657" s="8"/>
    </row>
    <row r="658" spans="1:52">
      <c r="A658" s="5" t="s">
        <v>264</v>
      </c>
      <c r="B658" s="5">
        <v>1039</v>
      </c>
      <c r="C658" s="19">
        <v>286</v>
      </c>
      <c r="E658" s="14"/>
      <c r="F658" s="11"/>
      <c r="G658" s="11"/>
      <c r="H658" s="11"/>
      <c r="I658" s="11"/>
      <c r="J658" s="25"/>
      <c r="K658" s="11"/>
      <c r="L658" s="11"/>
      <c r="M658" s="19">
        <v>0</v>
      </c>
      <c r="O658" s="6"/>
      <c r="P658" s="16">
        <v>364</v>
      </c>
      <c r="Q658" s="16">
        <v>0</v>
      </c>
      <c r="R658" s="22"/>
      <c r="S658" s="22">
        <f t="shared" si="20"/>
        <v>0</v>
      </c>
      <c r="T658" s="5" t="s">
        <v>1210</v>
      </c>
      <c r="U658" s="5" t="s">
        <v>1210</v>
      </c>
      <c r="Y658" s="8"/>
      <c r="Z658" s="8"/>
      <c r="AA658" s="8"/>
      <c r="AB658" s="8"/>
      <c r="AC658" s="8"/>
      <c r="AD658" s="8"/>
      <c r="AE658" s="25"/>
      <c r="AF658" s="11"/>
      <c r="AG658" s="25"/>
      <c r="AH658" s="11"/>
      <c r="AI658" s="11">
        <v>22</v>
      </c>
      <c r="AJ658" s="19">
        <v>36</v>
      </c>
      <c r="AK658" s="12">
        <f>(AJ658+AI658)/30*7</f>
        <v>13.533333333333333</v>
      </c>
      <c r="AL658" s="6">
        <f>IF(AK658-C658&lt;0,0,AK658-C658)</f>
        <v>0</v>
      </c>
      <c r="AM658" s="6">
        <f>IF(AL658-R658-S658&lt;0,0,AL658-R658-S658)</f>
        <v>0</v>
      </c>
      <c r="AN658" s="5" t="str">
        <f t="shared" si="21"/>
        <v/>
      </c>
      <c r="AO658" s="5">
        <v>0</v>
      </c>
      <c r="AP658" s="9"/>
      <c r="AQ658" s="5" t="s">
        <v>1210</v>
      </c>
      <c r="AR658" s="5" t="s">
        <v>1210</v>
      </c>
      <c r="AS658" s="8"/>
      <c r="AT658" s="8"/>
      <c r="AU658" s="8"/>
      <c r="AV658" s="8"/>
      <c r="AW658" s="8"/>
      <c r="AX658" s="8"/>
      <c r="AY658" s="8"/>
      <c r="AZ658" s="8"/>
    </row>
    <row r="659" spans="1:52">
      <c r="A659" s="5" t="s">
        <v>151</v>
      </c>
      <c r="B659" s="5">
        <v>1339</v>
      </c>
      <c r="C659" s="19">
        <v>558</v>
      </c>
      <c r="E659" s="14"/>
      <c r="F659" s="11"/>
      <c r="G659" s="11"/>
      <c r="H659" s="11"/>
      <c r="I659" s="11"/>
      <c r="J659" s="25"/>
      <c r="K659" s="11"/>
      <c r="L659" s="11"/>
      <c r="M659" s="19">
        <v>0</v>
      </c>
      <c r="O659" s="6"/>
      <c r="P659" s="16">
        <v>309</v>
      </c>
      <c r="Q659" s="16">
        <v>0</v>
      </c>
      <c r="R659" s="22"/>
      <c r="S659" s="22">
        <f t="shared" si="20"/>
        <v>0</v>
      </c>
      <c r="T659" s="5" t="s">
        <v>1210</v>
      </c>
      <c r="U659" s="5" t="s">
        <v>1210</v>
      </c>
      <c r="Y659" s="8"/>
      <c r="Z659" s="8"/>
      <c r="AA659" s="8"/>
      <c r="AB659" s="8"/>
      <c r="AC659" s="8"/>
      <c r="AD659" s="8"/>
      <c r="AE659" s="25"/>
      <c r="AF659" s="11"/>
      <c r="AG659" s="25"/>
      <c r="AH659" s="11"/>
      <c r="AI659" s="11">
        <v>18</v>
      </c>
      <c r="AJ659" s="19">
        <v>70</v>
      </c>
      <c r="AK659" s="12">
        <f>(AJ659+AI659)/30*7</f>
        <v>20.533333333333331</v>
      </c>
      <c r="AL659" s="6">
        <f>IF(AK659-C659&lt;0,0,AK659-C659)</f>
        <v>0</v>
      </c>
      <c r="AM659" s="6">
        <f>IF(AL659-R659-S659&lt;0,0,AL659-R659-S659)</f>
        <v>0</v>
      </c>
      <c r="AN659" s="5" t="str">
        <f t="shared" si="21"/>
        <v/>
      </c>
      <c r="AO659" s="5">
        <v>0</v>
      </c>
      <c r="AP659" s="9"/>
      <c r="AQ659" s="5" t="s">
        <v>1210</v>
      </c>
      <c r="AR659" s="5" t="s">
        <v>1210</v>
      </c>
      <c r="AS659" s="8"/>
      <c r="AT659" s="8"/>
      <c r="AU659" s="8"/>
      <c r="AV659" s="8"/>
      <c r="AW659" s="8"/>
      <c r="AX659" s="8"/>
      <c r="AY659" s="8"/>
      <c r="AZ659" s="8"/>
    </row>
    <row r="660" spans="1:52">
      <c r="A660" s="5" t="s">
        <v>374</v>
      </c>
      <c r="B660" s="5">
        <v>1287</v>
      </c>
      <c r="C660" s="19">
        <v>450</v>
      </c>
      <c r="E660" s="14"/>
      <c r="F660" s="11"/>
      <c r="G660" s="11"/>
      <c r="H660" s="11"/>
      <c r="I660" s="11"/>
      <c r="J660" s="25"/>
      <c r="K660" s="11"/>
      <c r="L660" s="11"/>
      <c r="M660" s="19">
        <v>0</v>
      </c>
      <c r="O660" s="6"/>
      <c r="P660" s="16">
        <v>239</v>
      </c>
      <c r="Q660" s="16">
        <v>281</v>
      </c>
      <c r="R660" s="22"/>
      <c r="S660" s="22">
        <f t="shared" si="20"/>
        <v>0</v>
      </c>
      <c r="T660" s="5" t="s">
        <v>1210</v>
      </c>
      <c r="U660" s="5" t="s">
        <v>1210</v>
      </c>
      <c r="Y660" s="8"/>
      <c r="Z660" s="8"/>
      <c r="AA660" s="8"/>
      <c r="AB660" s="8"/>
      <c r="AC660" s="8"/>
      <c r="AD660" s="8"/>
      <c r="AE660" s="25"/>
      <c r="AF660" s="11"/>
      <c r="AG660" s="25"/>
      <c r="AH660" s="11"/>
      <c r="AI660" s="11">
        <v>79</v>
      </c>
      <c r="AJ660" s="19">
        <v>9</v>
      </c>
      <c r="AK660" s="12">
        <f>(AJ660+AI660)/30*7</f>
        <v>20.533333333333331</v>
      </c>
      <c r="AL660" s="6">
        <f>IF(AK660-C660&lt;0,0,AK660-C660)</f>
        <v>0</v>
      </c>
      <c r="AM660" s="6">
        <f>IF(AL660-R660-S660&lt;0,0,AL660-R660-S660)</f>
        <v>0</v>
      </c>
      <c r="AN660" s="5" t="str">
        <f t="shared" si="21"/>
        <v/>
      </c>
      <c r="AO660" s="5">
        <v>0</v>
      </c>
      <c r="AP660" s="9"/>
      <c r="AQ660" s="5" t="s">
        <v>1210</v>
      </c>
      <c r="AR660" s="5" t="s">
        <v>1210</v>
      </c>
      <c r="AS660" s="8"/>
      <c r="AT660" s="8"/>
      <c r="AU660" s="8"/>
      <c r="AV660" s="8"/>
      <c r="AW660" s="8"/>
      <c r="AX660" s="8"/>
      <c r="AY660" s="8"/>
      <c r="AZ660" s="8"/>
    </row>
    <row r="661" spans="1:52">
      <c r="A661" s="5" t="s">
        <v>581</v>
      </c>
      <c r="B661" s="5">
        <v>1796</v>
      </c>
      <c r="C661" s="19">
        <v>340</v>
      </c>
      <c r="E661" s="14"/>
      <c r="F661" s="11"/>
      <c r="G661" s="11"/>
      <c r="H661" s="11"/>
      <c r="I661" s="11"/>
      <c r="J661" s="25"/>
      <c r="K661" s="11"/>
      <c r="L661" s="11"/>
      <c r="M661" s="19">
        <v>0</v>
      </c>
      <c r="O661" s="6"/>
      <c r="P661" s="16">
        <v>429</v>
      </c>
      <c r="Q661" s="16">
        <v>268</v>
      </c>
      <c r="R661" s="22"/>
      <c r="S661" s="22">
        <f t="shared" si="20"/>
        <v>0</v>
      </c>
      <c r="T661" s="5">
        <v>1796</v>
      </c>
      <c r="U661" s="5">
        <v>340</v>
      </c>
      <c r="Y661" s="8"/>
      <c r="Z661" s="8"/>
      <c r="AA661" s="8"/>
      <c r="AB661" s="8"/>
      <c r="AC661" s="8"/>
      <c r="AD661" s="8"/>
      <c r="AE661" s="25"/>
      <c r="AF661" s="11"/>
      <c r="AG661" s="25"/>
      <c r="AH661" s="11"/>
      <c r="AI661" s="11">
        <v>88</v>
      </c>
      <c r="AJ661" s="19">
        <v>0</v>
      </c>
      <c r="AK661" s="12">
        <f>(AJ661+AI661)/30*7</f>
        <v>20.533333333333331</v>
      </c>
      <c r="AL661" s="6">
        <f>IF(AK661-C661&lt;0,0,AK661-C661)</f>
        <v>0</v>
      </c>
      <c r="AM661" s="6">
        <f>IF(AL661-R661-S661&lt;0,0,AL661-R661-S661)</f>
        <v>0</v>
      </c>
      <c r="AN661" s="5" t="str">
        <f t="shared" si="21"/>
        <v/>
      </c>
      <c r="AO661" s="5">
        <v>0</v>
      </c>
      <c r="AP661" s="9"/>
      <c r="AQ661" s="5" t="s">
        <v>1210</v>
      </c>
      <c r="AR661" s="5" t="s">
        <v>1210</v>
      </c>
      <c r="AS661" s="8"/>
      <c r="AT661" s="8"/>
      <c r="AU661" s="8"/>
      <c r="AV661" s="8"/>
      <c r="AW661" s="8"/>
      <c r="AX661" s="8"/>
      <c r="AY661" s="8"/>
      <c r="AZ661" s="8"/>
    </row>
    <row r="662" spans="1:52">
      <c r="A662" s="5" t="s">
        <v>126</v>
      </c>
      <c r="B662" s="5">
        <v>1779</v>
      </c>
      <c r="C662" s="19">
        <v>746</v>
      </c>
      <c r="E662" s="14"/>
      <c r="F662" s="11"/>
      <c r="G662" s="11"/>
      <c r="H662" s="11"/>
      <c r="I662" s="11"/>
      <c r="J662" s="25"/>
      <c r="K662" s="11"/>
      <c r="L662" s="11"/>
      <c r="M662" s="19">
        <v>0</v>
      </c>
      <c r="O662" s="6"/>
      <c r="P662" s="16">
        <v>321</v>
      </c>
      <c r="Q662" s="16">
        <v>0</v>
      </c>
      <c r="R662" s="22"/>
      <c r="S662" s="22">
        <f t="shared" si="20"/>
        <v>0</v>
      </c>
      <c r="U662" s="5" t="s">
        <v>1210</v>
      </c>
      <c r="Y662" s="8"/>
      <c r="Z662" s="8"/>
      <c r="AA662" s="8"/>
      <c r="AB662" s="8"/>
      <c r="AC662" s="8"/>
      <c r="AD662" s="8"/>
      <c r="AE662" s="25"/>
      <c r="AF662" s="11"/>
      <c r="AG662" s="25"/>
      <c r="AH662" s="11"/>
      <c r="AI662" s="11">
        <v>100</v>
      </c>
      <c r="AJ662" s="19">
        <v>82</v>
      </c>
      <c r="AK662" s="12">
        <f>(AJ662+AI662)/30*7</f>
        <v>42.466666666666669</v>
      </c>
      <c r="AL662" s="6">
        <f>IF(AK662-C662&lt;0,0,AK662-C662)</f>
        <v>0</v>
      </c>
      <c r="AM662" s="6">
        <f>IF(AL662-R662-S662&lt;0,0,AL662-R662-S662)</f>
        <v>0</v>
      </c>
      <c r="AN662" s="5" t="str">
        <f t="shared" si="21"/>
        <v/>
      </c>
      <c r="AO662" s="5">
        <v>0</v>
      </c>
      <c r="AP662" s="9"/>
      <c r="AQ662" s="5" t="s">
        <v>1210</v>
      </c>
      <c r="AR662" s="5" t="s">
        <v>1210</v>
      </c>
      <c r="AS662" s="8"/>
      <c r="AT662" s="8"/>
      <c r="AU662" s="8"/>
      <c r="AV662" s="8"/>
      <c r="AW662" s="8"/>
      <c r="AX662" s="8"/>
      <c r="AY662" s="8"/>
      <c r="AZ662" s="8"/>
    </row>
    <row r="663" spans="1:52">
      <c r="A663" s="5" t="s">
        <v>294</v>
      </c>
      <c r="B663" s="5">
        <v>957</v>
      </c>
      <c r="C663" s="19">
        <v>317</v>
      </c>
      <c r="E663" s="14"/>
      <c r="F663" s="11"/>
      <c r="G663" s="11"/>
      <c r="H663" s="11"/>
      <c r="I663" s="11"/>
      <c r="J663" s="25"/>
      <c r="K663" s="11"/>
      <c r="L663" s="11"/>
      <c r="M663" s="19">
        <v>0</v>
      </c>
      <c r="O663" s="6"/>
      <c r="P663" s="16">
        <v>532</v>
      </c>
      <c r="Q663" s="16">
        <v>911</v>
      </c>
      <c r="R663" s="22"/>
      <c r="S663" s="22">
        <f t="shared" si="20"/>
        <v>0</v>
      </c>
      <c r="T663" s="5" t="s">
        <v>1210</v>
      </c>
      <c r="U663" s="5" t="s">
        <v>1210</v>
      </c>
      <c r="Y663" s="8"/>
      <c r="Z663" s="8"/>
      <c r="AA663" s="8"/>
      <c r="AB663" s="8"/>
      <c r="AC663" s="8"/>
      <c r="AD663" s="8"/>
      <c r="AE663" s="25"/>
      <c r="AF663" s="11"/>
      <c r="AG663" s="25"/>
      <c r="AH663" s="11"/>
      <c r="AI663" s="11">
        <v>88</v>
      </c>
      <c r="AJ663" s="19">
        <v>4</v>
      </c>
      <c r="AK663" s="12">
        <f>(AJ663+AI663)/30*7</f>
        <v>21.466666666666669</v>
      </c>
      <c r="AL663" s="6">
        <f>IF(AK663-C663&lt;0,0,AK663-C663)</f>
        <v>0</v>
      </c>
      <c r="AM663" s="6">
        <f>IF(AL663-R663-S663&lt;0,0,AL663-R663-S663)</f>
        <v>0</v>
      </c>
      <c r="AN663" s="5" t="str">
        <f t="shared" si="21"/>
        <v/>
      </c>
      <c r="AO663" s="5">
        <v>0</v>
      </c>
      <c r="AP663" s="9"/>
      <c r="AQ663" s="5" t="s">
        <v>1210</v>
      </c>
      <c r="AR663" s="5" t="s">
        <v>1210</v>
      </c>
      <c r="AS663" s="8"/>
      <c r="AT663" s="8"/>
      <c r="AU663" s="8"/>
      <c r="AV663" s="8"/>
      <c r="AW663" s="8"/>
      <c r="AX663" s="8"/>
      <c r="AY663" s="8"/>
      <c r="AZ663" s="8"/>
    </row>
    <row r="664" spans="1:52">
      <c r="A664" s="5" t="s">
        <v>291</v>
      </c>
      <c r="B664" s="5">
        <v>862</v>
      </c>
      <c r="C664" s="19">
        <v>799</v>
      </c>
      <c r="E664" s="14"/>
      <c r="F664" s="11"/>
      <c r="G664" s="11"/>
      <c r="H664" s="11"/>
      <c r="I664" s="11"/>
      <c r="J664" s="25"/>
      <c r="K664" s="11"/>
      <c r="L664" s="11"/>
      <c r="M664" s="19">
        <v>0</v>
      </c>
      <c r="O664" s="6"/>
      <c r="P664" s="16">
        <v>0</v>
      </c>
      <c r="Q664" s="16">
        <v>0</v>
      </c>
      <c r="R664" s="22"/>
      <c r="S664" s="22">
        <f t="shared" si="20"/>
        <v>0</v>
      </c>
      <c r="T664" s="5" t="s">
        <v>1210</v>
      </c>
      <c r="U664" s="5" t="s">
        <v>1210</v>
      </c>
      <c r="Y664" s="8"/>
      <c r="Z664" s="8"/>
      <c r="AA664" s="8"/>
      <c r="AB664" s="8"/>
      <c r="AC664" s="8"/>
      <c r="AD664" s="8"/>
      <c r="AE664" s="25"/>
      <c r="AF664" s="11"/>
      <c r="AG664" s="25"/>
      <c r="AH664" s="11"/>
      <c r="AI664" s="11">
        <v>97</v>
      </c>
      <c r="AJ664" s="19">
        <v>25</v>
      </c>
      <c r="AK664" s="12">
        <f>(AJ664+AI664)/30*7</f>
        <v>28.466666666666665</v>
      </c>
      <c r="AL664" s="6">
        <f>IF(AK664-C664&lt;0,0,AK664-C664)</f>
        <v>0</v>
      </c>
      <c r="AM664" s="6">
        <f>IF(AL664-R664-S664&lt;0,0,AL664-R664-S664)</f>
        <v>0</v>
      </c>
      <c r="AN664" s="5" t="str">
        <f t="shared" si="21"/>
        <v/>
      </c>
      <c r="AO664" s="5">
        <v>0</v>
      </c>
      <c r="AP664" s="9"/>
      <c r="AQ664" s="5" t="s">
        <v>1210</v>
      </c>
      <c r="AR664" s="5" t="s">
        <v>1210</v>
      </c>
      <c r="AS664" s="8"/>
      <c r="AT664" s="8"/>
      <c r="AU664" s="8"/>
      <c r="AV664" s="8"/>
      <c r="AW664" s="8"/>
      <c r="AX664" s="8"/>
      <c r="AY664" s="8"/>
      <c r="AZ664" s="8"/>
    </row>
    <row r="665" spans="1:52">
      <c r="A665" s="5" t="s">
        <v>1001</v>
      </c>
      <c r="B665" s="5">
        <v>920</v>
      </c>
      <c r="C665" s="19">
        <v>499</v>
      </c>
      <c r="E665" s="14"/>
      <c r="F665" s="11"/>
      <c r="G665" s="11"/>
      <c r="H665" s="11"/>
      <c r="I665" s="11"/>
      <c r="J665" s="25"/>
      <c r="K665" s="11"/>
      <c r="L665" s="11"/>
      <c r="M665" s="19">
        <v>0</v>
      </c>
      <c r="O665" s="6"/>
      <c r="P665" s="16">
        <v>607</v>
      </c>
      <c r="Q665" s="16">
        <v>215</v>
      </c>
      <c r="R665" s="22"/>
      <c r="S665" s="22">
        <f t="shared" si="20"/>
        <v>0</v>
      </c>
      <c r="T665" s="5" t="s">
        <v>1210</v>
      </c>
      <c r="U665" s="5" t="s">
        <v>1210</v>
      </c>
      <c r="Y665" s="8"/>
      <c r="Z665" s="8"/>
      <c r="AA665" s="8"/>
      <c r="AB665" s="8"/>
      <c r="AC665" s="8"/>
      <c r="AD665" s="8"/>
      <c r="AE665" s="25"/>
      <c r="AF665" s="11"/>
      <c r="AG665" s="25"/>
      <c r="AH665" s="11"/>
      <c r="AI665" s="11">
        <v>79</v>
      </c>
      <c r="AJ665" s="19">
        <v>0</v>
      </c>
      <c r="AK665" s="12">
        <f>(AJ665+AI665)/30*7</f>
        <v>18.433333333333334</v>
      </c>
      <c r="AL665" s="6">
        <f>IF(AK665-C665&lt;0,0,AK665-C665)</f>
        <v>0</v>
      </c>
      <c r="AM665" s="6">
        <f>IF(AL665-R665-S665&lt;0,0,AL665-R665-S665)</f>
        <v>0</v>
      </c>
      <c r="AN665" s="5" t="str">
        <f t="shared" si="21"/>
        <v/>
      </c>
      <c r="AO665" s="5">
        <v>0</v>
      </c>
      <c r="AP665" s="9"/>
      <c r="AQ665" s="5" t="s">
        <v>1210</v>
      </c>
      <c r="AR665" s="5" t="s">
        <v>1230</v>
      </c>
      <c r="AS665" s="8"/>
      <c r="AT665" s="8"/>
      <c r="AU665" s="8"/>
      <c r="AV665" s="8"/>
      <c r="AW665" s="8"/>
      <c r="AX665" s="8"/>
      <c r="AY665" s="8"/>
      <c r="AZ665" s="8"/>
    </row>
    <row r="666" spans="1:52">
      <c r="A666" s="5" t="s">
        <v>2</v>
      </c>
      <c r="B666" s="5">
        <v>536</v>
      </c>
      <c r="C666" s="19">
        <v>894</v>
      </c>
      <c r="E666" s="14"/>
      <c r="F666" s="11"/>
      <c r="G666" s="11"/>
      <c r="H666" s="11"/>
      <c r="I666" s="11"/>
      <c r="J666" s="25"/>
      <c r="K666" s="11"/>
      <c r="L666" s="11"/>
      <c r="M666" s="19">
        <v>0</v>
      </c>
      <c r="O666" s="6"/>
      <c r="P666" s="16">
        <v>604</v>
      </c>
      <c r="Q666" s="16">
        <v>0</v>
      </c>
      <c r="R666" s="22"/>
      <c r="S666" s="22">
        <f t="shared" si="20"/>
        <v>0</v>
      </c>
      <c r="T666" s="5" t="s">
        <v>1210</v>
      </c>
      <c r="U666" s="5" t="s">
        <v>1210</v>
      </c>
      <c r="Y666" s="8"/>
      <c r="Z666" s="8"/>
      <c r="AA666" s="8"/>
      <c r="AB666" s="8"/>
      <c r="AC666" s="8"/>
      <c r="AD666" s="8"/>
      <c r="AE666" s="25"/>
      <c r="AF666" s="11"/>
      <c r="AG666" s="25"/>
      <c r="AH666" s="11"/>
      <c r="AI666" s="11">
        <v>16</v>
      </c>
      <c r="AJ666" s="19">
        <v>110</v>
      </c>
      <c r="AK666" s="12">
        <f>(AJ666+AI666)/30*7</f>
        <v>29.400000000000002</v>
      </c>
      <c r="AL666" s="6">
        <f>IF(AK666-C666&lt;0,0,AK666-C666)</f>
        <v>0</v>
      </c>
      <c r="AM666" s="6">
        <f>IF(AL666-R666-S666&lt;0,0,AL666-R666-S666)</f>
        <v>0</v>
      </c>
      <c r="AN666" s="5" t="str">
        <f t="shared" si="21"/>
        <v/>
      </c>
      <c r="AO666" s="5">
        <v>0</v>
      </c>
      <c r="AP666" s="9"/>
      <c r="AQ666" s="5" t="s">
        <v>1229</v>
      </c>
      <c r="AR666" s="5" t="s">
        <v>1210</v>
      </c>
      <c r="AS666" s="8"/>
      <c r="AT666" s="8"/>
      <c r="AU666" s="8"/>
      <c r="AV666" s="8"/>
      <c r="AW666" s="8"/>
      <c r="AX666" s="8"/>
      <c r="AY666" s="8"/>
      <c r="AZ666" s="8"/>
    </row>
    <row r="667" spans="1:52">
      <c r="A667" s="5" t="s">
        <v>402</v>
      </c>
      <c r="B667" s="5">
        <v>659</v>
      </c>
      <c r="C667" s="19">
        <v>315</v>
      </c>
      <c r="E667" s="14"/>
      <c r="F667" s="11"/>
      <c r="G667" s="11"/>
      <c r="H667" s="11"/>
      <c r="I667" s="11"/>
      <c r="J667" s="25"/>
      <c r="K667" s="11"/>
      <c r="L667" s="11"/>
      <c r="M667" s="19">
        <v>0</v>
      </c>
      <c r="O667" s="6"/>
      <c r="P667" s="16">
        <v>608</v>
      </c>
      <c r="Q667" s="16">
        <v>956</v>
      </c>
      <c r="R667" s="22"/>
      <c r="S667" s="22">
        <f t="shared" si="20"/>
        <v>0</v>
      </c>
      <c r="T667" s="5" t="s">
        <v>1210</v>
      </c>
      <c r="U667" s="5" t="s">
        <v>1210</v>
      </c>
      <c r="Y667" s="8"/>
      <c r="Z667" s="8"/>
      <c r="AA667" s="8"/>
      <c r="AB667" s="8"/>
      <c r="AC667" s="8"/>
      <c r="AD667" s="8"/>
      <c r="AE667" s="25"/>
      <c r="AF667" s="11"/>
      <c r="AG667" s="25"/>
      <c r="AH667" s="11"/>
      <c r="AI667" s="11">
        <v>65</v>
      </c>
      <c r="AJ667" s="19">
        <v>1</v>
      </c>
      <c r="AK667" s="12">
        <f>(AJ667+AI667)/30*7</f>
        <v>15.400000000000002</v>
      </c>
      <c r="AL667" s="6">
        <f>IF(AK667-C667&lt;0,0,AK667-C667)</f>
        <v>0</v>
      </c>
      <c r="AM667" s="6">
        <f>IF(AL667-R667-S667&lt;0,0,AL667-R667-S667)</f>
        <v>0</v>
      </c>
      <c r="AN667" s="5" t="str">
        <f t="shared" si="21"/>
        <v/>
      </c>
      <c r="AO667" s="5">
        <v>0</v>
      </c>
      <c r="AP667" s="9"/>
      <c r="AQ667" s="5" t="s">
        <v>1210</v>
      </c>
      <c r="AR667" s="5" t="s">
        <v>1230</v>
      </c>
      <c r="AS667" s="8"/>
      <c r="AT667" s="8"/>
      <c r="AU667" s="8"/>
      <c r="AV667" s="8"/>
      <c r="AW667" s="8"/>
      <c r="AX667" s="8"/>
      <c r="AY667" s="8"/>
      <c r="AZ667" s="8"/>
    </row>
    <row r="668" spans="1:52">
      <c r="A668" s="5" t="s">
        <v>274</v>
      </c>
      <c r="B668" s="5">
        <v>1053</v>
      </c>
      <c r="C668" s="19">
        <v>765</v>
      </c>
      <c r="E668" s="14"/>
      <c r="F668" s="11"/>
      <c r="G668" s="11"/>
      <c r="H668" s="11"/>
      <c r="I668" s="11"/>
      <c r="J668" s="25"/>
      <c r="K668" s="11"/>
      <c r="L668" s="11"/>
      <c r="M668" s="19">
        <v>0</v>
      </c>
      <c r="O668" s="6"/>
      <c r="P668" s="16">
        <v>603</v>
      </c>
      <c r="Q668" s="16">
        <v>0</v>
      </c>
      <c r="R668" s="22"/>
      <c r="S668" s="22">
        <f t="shared" si="20"/>
        <v>0</v>
      </c>
      <c r="T668" s="5" t="s">
        <v>1210</v>
      </c>
      <c r="U668" s="5" t="s">
        <v>1210</v>
      </c>
      <c r="Y668" s="8"/>
      <c r="Z668" s="8"/>
      <c r="AA668" s="8"/>
      <c r="AB668" s="8"/>
      <c r="AC668" s="8"/>
      <c r="AD668" s="8"/>
      <c r="AE668" s="25"/>
      <c r="AF668" s="11"/>
      <c r="AG668" s="25"/>
      <c r="AH668" s="11"/>
      <c r="AI668" s="11">
        <v>39</v>
      </c>
      <c r="AJ668" s="19">
        <v>35</v>
      </c>
      <c r="AK668" s="12">
        <f>(AJ668+AI668)/30*7</f>
        <v>17.266666666666666</v>
      </c>
      <c r="AL668" s="6">
        <f>IF(AK668-C668&lt;0,0,AK668-C668)</f>
        <v>0</v>
      </c>
      <c r="AM668" s="6">
        <f>IF(AL668-R668-S668&lt;0,0,AL668-R668-S668)</f>
        <v>0</v>
      </c>
      <c r="AN668" s="5" t="str">
        <f t="shared" si="21"/>
        <v/>
      </c>
      <c r="AO668" s="5">
        <v>0</v>
      </c>
      <c r="AP668" s="9"/>
      <c r="AQ668" s="5" t="s">
        <v>1210</v>
      </c>
      <c r="AR668" s="5" t="s">
        <v>1210</v>
      </c>
      <c r="AS668" s="8"/>
      <c r="AT668" s="8"/>
      <c r="AU668" s="8"/>
      <c r="AV668" s="8"/>
      <c r="AW668" s="8"/>
      <c r="AX668" s="8"/>
      <c r="AY668" s="8"/>
      <c r="AZ668" s="8"/>
    </row>
    <row r="669" spans="1:52">
      <c r="A669" s="5" t="s">
        <v>571</v>
      </c>
      <c r="B669" s="5">
        <v>798</v>
      </c>
      <c r="C669" s="19">
        <v>514</v>
      </c>
      <c r="E669" s="14"/>
      <c r="F669" s="11"/>
      <c r="G669" s="11"/>
      <c r="H669" s="11"/>
      <c r="I669" s="11"/>
      <c r="J669" s="25"/>
      <c r="K669" s="11"/>
      <c r="L669" s="11"/>
      <c r="M669" s="19">
        <v>0</v>
      </c>
      <c r="O669" s="6"/>
      <c r="P669" s="16">
        <v>757</v>
      </c>
      <c r="Q669" s="16">
        <v>400</v>
      </c>
      <c r="R669" s="22"/>
      <c r="S669" s="22">
        <f t="shared" si="20"/>
        <v>0</v>
      </c>
      <c r="T669" s="5" t="s">
        <v>1210</v>
      </c>
      <c r="U669" s="5" t="s">
        <v>1210</v>
      </c>
      <c r="Y669" s="8"/>
      <c r="Z669" s="8"/>
      <c r="AA669" s="8"/>
      <c r="AB669" s="8"/>
      <c r="AC669" s="8"/>
      <c r="AD669" s="8"/>
      <c r="AE669" s="25"/>
      <c r="AF669" s="11"/>
      <c r="AG669" s="25"/>
      <c r="AH669" s="11"/>
      <c r="AI669" s="11">
        <v>89</v>
      </c>
      <c r="AJ669" s="19">
        <v>2</v>
      </c>
      <c r="AK669" s="12">
        <f>(AJ669+AI669)/30*7</f>
        <v>21.233333333333334</v>
      </c>
      <c r="AL669" s="6">
        <f>IF(AK669-C669&lt;0,0,AK669-C669)</f>
        <v>0</v>
      </c>
      <c r="AM669" s="6">
        <f>IF(AL669-R669-S669&lt;0,0,AL669-R669-S669)</f>
        <v>0</v>
      </c>
      <c r="AN669" s="5" t="str">
        <f t="shared" si="21"/>
        <v/>
      </c>
      <c r="AO669" s="5">
        <v>0</v>
      </c>
      <c r="AP669" s="9"/>
      <c r="AQ669" s="5" t="s">
        <v>1210</v>
      </c>
      <c r="AR669" s="5" t="s">
        <v>1230</v>
      </c>
      <c r="AS669" s="8"/>
      <c r="AT669" s="8"/>
      <c r="AU669" s="8"/>
      <c r="AV669" s="8"/>
      <c r="AW669" s="8"/>
      <c r="AX669" s="8"/>
      <c r="AY669" s="8"/>
      <c r="AZ669" s="8"/>
    </row>
    <row r="670" spans="1:52">
      <c r="A670" s="5" t="s">
        <v>208</v>
      </c>
      <c r="B670" s="5">
        <v>946</v>
      </c>
      <c r="C670" s="19">
        <v>501</v>
      </c>
      <c r="E670" s="14"/>
      <c r="F670" s="11"/>
      <c r="G670" s="11"/>
      <c r="H670" s="11"/>
      <c r="I670" s="11"/>
      <c r="J670" s="25"/>
      <c r="K670" s="11"/>
      <c r="L670" s="11"/>
      <c r="M670" s="19">
        <v>0</v>
      </c>
      <c r="O670" s="6"/>
      <c r="P670" s="16">
        <v>796</v>
      </c>
      <c r="Q670" s="16">
        <v>830</v>
      </c>
      <c r="R670" s="22"/>
      <c r="S670" s="22">
        <f t="shared" si="20"/>
        <v>0</v>
      </c>
      <c r="T670" s="5" t="s">
        <v>1210</v>
      </c>
      <c r="U670" s="5" t="s">
        <v>1210</v>
      </c>
      <c r="Y670" s="8"/>
      <c r="Z670" s="8"/>
      <c r="AA670" s="8"/>
      <c r="AB670" s="8"/>
      <c r="AC670" s="8"/>
      <c r="AD670" s="8"/>
      <c r="AE670" s="25"/>
      <c r="AF670" s="11"/>
      <c r="AG670" s="25"/>
      <c r="AH670" s="11"/>
      <c r="AI670" s="11">
        <v>83</v>
      </c>
      <c r="AJ670" s="19">
        <v>72</v>
      </c>
      <c r="AK670" s="12">
        <f>(AJ670+AI670)/30*7</f>
        <v>36.166666666666671</v>
      </c>
      <c r="AL670" s="6">
        <f>IF(AK670-C670&lt;0,0,AK670-C670)</f>
        <v>0</v>
      </c>
      <c r="AM670" s="6">
        <f>IF(AL670-R670-S670&lt;0,0,AL670-R670-S670)</f>
        <v>0</v>
      </c>
      <c r="AN670" s="5" t="str">
        <f t="shared" si="21"/>
        <v/>
      </c>
      <c r="AO670" s="5">
        <v>0</v>
      </c>
      <c r="AP670" s="9"/>
      <c r="AQ670" s="5" t="s">
        <v>1210</v>
      </c>
      <c r="AR670" s="5" t="s">
        <v>1210</v>
      </c>
      <c r="AS670" s="8"/>
      <c r="AT670" s="8"/>
      <c r="AU670" s="8"/>
      <c r="AV670" s="8"/>
      <c r="AW670" s="8"/>
      <c r="AX670" s="8"/>
      <c r="AY670" s="8"/>
      <c r="AZ670" s="8"/>
    </row>
    <row r="671" spans="1:52">
      <c r="A671" s="5" t="s">
        <v>67</v>
      </c>
      <c r="B671" s="5">
        <v>1303</v>
      </c>
      <c r="C671" s="19">
        <v>226</v>
      </c>
      <c r="E671" s="14"/>
      <c r="F671" s="11"/>
      <c r="G671" s="11"/>
      <c r="H671" s="11"/>
      <c r="I671" s="11"/>
      <c r="J671" s="25"/>
      <c r="K671" s="11"/>
      <c r="L671" s="11"/>
      <c r="M671" s="19">
        <v>1</v>
      </c>
      <c r="O671" s="6"/>
      <c r="P671" s="16">
        <v>984</v>
      </c>
      <c r="Q671" s="16">
        <v>0</v>
      </c>
      <c r="R671" s="22"/>
      <c r="S671" s="22">
        <f t="shared" si="20"/>
        <v>0</v>
      </c>
      <c r="T671" s="5" t="s">
        <v>1210</v>
      </c>
      <c r="U671" s="5" t="s">
        <v>1210</v>
      </c>
      <c r="Y671" s="8"/>
      <c r="Z671" s="8"/>
      <c r="AA671" s="8"/>
      <c r="AB671" s="8"/>
      <c r="AC671" s="8"/>
      <c r="AD671" s="8"/>
      <c r="AE671" s="25"/>
      <c r="AF671" s="11"/>
      <c r="AG671" s="25"/>
      <c r="AH671" s="11"/>
      <c r="AI671" s="11">
        <v>62</v>
      </c>
      <c r="AJ671" s="19">
        <v>67</v>
      </c>
      <c r="AK671" s="12">
        <f>(AJ671+AI671)/30*7</f>
        <v>30.099999999999998</v>
      </c>
      <c r="AL671" s="6">
        <f>IF(AK671-C671&lt;0,0,AK671-C671)</f>
        <v>0</v>
      </c>
      <c r="AM671" s="6">
        <f>IF(AL671-R671-S671&lt;0,0,AL671-R671-S671)</f>
        <v>0</v>
      </c>
      <c r="AN671" s="5" t="str">
        <f t="shared" si="21"/>
        <v/>
      </c>
      <c r="AO671" s="5">
        <v>0</v>
      </c>
      <c r="AP671" s="9"/>
      <c r="AQ671" s="5" t="s">
        <v>1210</v>
      </c>
      <c r="AR671" s="5" t="s">
        <v>1210</v>
      </c>
      <c r="AS671" s="8"/>
      <c r="AT671" s="8"/>
      <c r="AU671" s="8"/>
      <c r="AV671" s="8"/>
      <c r="AW671" s="8"/>
      <c r="AX671" s="8"/>
      <c r="AY671" s="8"/>
      <c r="AZ671" s="8"/>
    </row>
    <row r="672" spans="1:52">
      <c r="A672" s="5" t="s">
        <v>535</v>
      </c>
      <c r="B672" s="5">
        <v>1610</v>
      </c>
      <c r="C672" s="19">
        <v>601</v>
      </c>
      <c r="E672" s="14"/>
      <c r="F672" s="11"/>
      <c r="G672" s="11"/>
      <c r="H672" s="11"/>
      <c r="I672" s="11"/>
      <c r="J672" s="25"/>
      <c r="K672" s="11"/>
      <c r="L672" s="11"/>
      <c r="M672" s="19">
        <v>0</v>
      </c>
      <c r="O672" s="6"/>
      <c r="P672" s="16">
        <v>541</v>
      </c>
      <c r="Q672" s="16">
        <v>740</v>
      </c>
      <c r="R672" s="22"/>
      <c r="S672" s="22">
        <f t="shared" si="20"/>
        <v>0</v>
      </c>
      <c r="T672" s="5" t="s">
        <v>1210</v>
      </c>
      <c r="U672" s="5" t="s">
        <v>1210</v>
      </c>
      <c r="Y672" s="8"/>
      <c r="Z672" s="8"/>
      <c r="AA672" s="8"/>
      <c r="AB672" s="8"/>
      <c r="AC672" s="8"/>
      <c r="AD672" s="8"/>
      <c r="AE672" s="25"/>
      <c r="AF672" s="11"/>
      <c r="AG672" s="25"/>
      <c r="AH672" s="11"/>
      <c r="AI672" s="11">
        <v>48</v>
      </c>
      <c r="AJ672" s="19">
        <v>8</v>
      </c>
      <c r="AK672" s="12">
        <f>(AJ672+AI672)/30*7</f>
        <v>13.066666666666666</v>
      </c>
      <c r="AL672" s="6">
        <f>IF(AK672-C672&lt;0,0,AK672-C672)</f>
        <v>0</v>
      </c>
      <c r="AM672" s="6">
        <f>IF(AL672-R672-S672&lt;0,0,AL672-R672-S672)</f>
        <v>0</v>
      </c>
      <c r="AN672" s="5" t="str">
        <f t="shared" si="21"/>
        <v/>
      </c>
      <c r="AO672" s="5">
        <v>0</v>
      </c>
      <c r="AP672" s="9"/>
      <c r="AQ672" s="5" t="s">
        <v>1210</v>
      </c>
      <c r="AR672" s="5" t="s">
        <v>1210</v>
      </c>
      <c r="AS672" s="8"/>
      <c r="AT672" s="8"/>
      <c r="AU672" s="8"/>
      <c r="AV672" s="8"/>
      <c r="AW672" s="8"/>
      <c r="AX672" s="8"/>
      <c r="AY672" s="8"/>
      <c r="AZ672" s="8"/>
    </row>
    <row r="673" spans="1:52">
      <c r="A673" s="5" t="s">
        <v>448</v>
      </c>
      <c r="B673" s="5">
        <v>870</v>
      </c>
      <c r="C673" s="19">
        <v>357</v>
      </c>
      <c r="E673" s="14"/>
      <c r="F673" s="11"/>
      <c r="G673" s="11"/>
      <c r="H673" s="11"/>
      <c r="I673" s="11"/>
      <c r="J673" s="25"/>
      <c r="K673" s="11"/>
      <c r="L673" s="11"/>
      <c r="M673" s="19">
        <v>0</v>
      </c>
      <c r="O673" s="6"/>
      <c r="P673" s="16">
        <v>934</v>
      </c>
      <c r="Q673" s="16">
        <v>534</v>
      </c>
      <c r="R673" s="22"/>
      <c r="S673" s="22">
        <f t="shared" si="20"/>
        <v>0</v>
      </c>
      <c r="T673" s="5" t="s">
        <v>1210</v>
      </c>
      <c r="U673" s="5" t="s">
        <v>1210</v>
      </c>
      <c r="Y673" s="8"/>
      <c r="Z673" s="8"/>
      <c r="AA673" s="8"/>
      <c r="AB673" s="8"/>
      <c r="AC673" s="8"/>
      <c r="AD673" s="8"/>
      <c r="AE673" s="25"/>
      <c r="AF673" s="11"/>
      <c r="AG673" s="25"/>
      <c r="AH673" s="11"/>
      <c r="AI673" s="11">
        <v>77</v>
      </c>
      <c r="AJ673" s="19">
        <v>0</v>
      </c>
      <c r="AK673" s="12">
        <f>(AJ673+AI673)/30*7</f>
        <v>17.966666666666669</v>
      </c>
      <c r="AL673" s="6">
        <f>IF(AK673-C673&lt;0,0,AK673-C673)</f>
        <v>0</v>
      </c>
      <c r="AM673" s="6">
        <f>IF(AL673-R673-S673&lt;0,0,AL673-R673-S673)</f>
        <v>0</v>
      </c>
      <c r="AN673" s="5" t="str">
        <f t="shared" si="21"/>
        <v/>
      </c>
      <c r="AO673" s="5">
        <v>0</v>
      </c>
      <c r="AP673" s="9"/>
      <c r="AQ673" s="5" t="s">
        <v>1210</v>
      </c>
      <c r="AR673" s="5" t="s">
        <v>1230</v>
      </c>
      <c r="AS673" s="8"/>
      <c r="AT673" s="8"/>
      <c r="AU673" s="8"/>
      <c r="AV673" s="8"/>
      <c r="AW673" s="8"/>
      <c r="AX673" s="8"/>
      <c r="AY673" s="8"/>
      <c r="AZ673" s="8"/>
    </row>
    <row r="674" spans="1:52">
      <c r="A674" s="5" t="s">
        <v>489</v>
      </c>
      <c r="B674" s="5">
        <v>750</v>
      </c>
      <c r="C674" s="19">
        <v>473</v>
      </c>
      <c r="E674" s="14"/>
      <c r="F674" s="11"/>
      <c r="G674" s="11"/>
      <c r="H674" s="11"/>
      <c r="I674" s="11"/>
      <c r="J674" s="25"/>
      <c r="K674" s="11"/>
      <c r="L674" s="11"/>
      <c r="M674" s="19">
        <v>0</v>
      </c>
      <c r="O674" s="6"/>
      <c r="P674" s="16">
        <v>666</v>
      </c>
      <c r="Q674" s="16">
        <v>433</v>
      </c>
      <c r="R674" s="22"/>
      <c r="S674" s="22">
        <f t="shared" si="20"/>
        <v>0</v>
      </c>
      <c r="T674" s="5" t="s">
        <v>1210</v>
      </c>
      <c r="U674" s="5" t="s">
        <v>1210</v>
      </c>
      <c r="Y674" s="8"/>
      <c r="Z674" s="8"/>
      <c r="AA674" s="8"/>
      <c r="AB674" s="8"/>
      <c r="AC674" s="8"/>
      <c r="AD674" s="8"/>
      <c r="AE674" s="25"/>
      <c r="AF674" s="11"/>
      <c r="AG674" s="25"/>
      <c r="AH674" s="11"/>
      <c r="AI674" s="11">
        <v>18</v>
      </c>
      <c r="AJ674" s="19">
        <v>29</v>
      </c>
      <c r="AK674" s="12">
        <f>(AJ674+AI674)/30*7</f>
        <v>10.966666666666667</v>
      </c>
      <c r="AL674" s="6">
        <f>IF(AK674-C674&lt;0,0,AK674-C674)</f>
        <v>0</v>
      </c>
      <c r="AM674" s="6">
        <f>IF(AL674-R674-S674&lt;0,0,AL674-R674-S674)</f>
        <v>0</v>
      </c>
      <c r="AN674" s="5" t="str">
        <f t="shared" si="21"/>
        <v/>
      </c>
      <c r="AO674" s="5">
        <v>0</v>
      </c>
      <c r="AP674" s="9"/>
      <c r="AQ674" s="5" t="s">
        <v>1210</v>
      </c>
      <c r="AR674" s="5" t="s">
        <v>1230</v>
      </c>
      <c r="AS674" s="8"/>
      <c r="AT674" s="8"/>
      <c r="AU674" s="8"/>
      <c r="AV674" s="8"/>
      <c r="AW674" s="8"/>
      <c r="AX674" s="8"/>
      <c r="AY674" s="8"/>
      <c r="AZ674" s="8"/>
    </row>
    <row r="675" spans="1:52">
      <c r="A675" s="5" t="s">
        <v>382</v>
      </c>
      <c r="B675" s="5">
        <v>904</v>
      </c>
      <c r="C675" s="19">
        <v>757</v>
      </c>
      <c r="E675" s="14"/>
      <c r="F675" s="11"/>
      <c r="G675" s="11"/>
      <c r="H675" s="11"/>
      <c r="I675" s="11"/>
      <c r="J675" s="25"/>
      <c r="K675" s="11"/>
      <c r="L675" s="11"/>
      <c r="M675" s="19">
        <v>0</v>
      </c>
      <c r="O675" s="6"/>
      <c r="P675" s="16">
        <v>909</v>
      </c>
      <c r="Q675" s="16">
        <v>456</v>
      </c>
      <c r="R675" s="22"/>
      <c r="S675" s="22">
        <f t="shared" si="20"/>
        <v>0</v>
      </c>
      <c r="T675" s="5" t="s">
        <v>1210</v>
      </c>
      <c r="U675" s="5" t="s">
        <v>1210</v>
      </c>
      <c r="Y675" s="8"/>
      <c r="Z675" s="8"/>
      <c r="AA675" s="8"/>
      <c r="AB675" s="8"/>
      <c r="AC675" s="8"/>
      <c r="AD675" s="8"/>
      <c r="AE675" s="25"/>
      <c r="AF675" s="11"/>
      <c r="AG675" s="25"/>
      <c r="AH675" s="11"/>
      <c r="AI675" s="11">
        <v>56</v>
      </c>
      <c r="AJ675" s="19">
        <v>16</v>
      </c>
      <c r="AK675" s="12">
        <f>(AJ675+AI675)/30*7</f>
        <v>16.8</v>
      </c>
      <c r="AL675" s="6">
        <f>IF(AK675-C675&lt;0,0,AK675-C675)</f>
        <v>0</v>
      </c>
      <c r="AM675" s="6">
        <f>IF(AL675-R675-S675&lt;0,0,AL675-R675-S675)</f>
        <v>0</v>
      </c>
      <c r="AN675" s="5" t="str">
        <f t="shared" si="21"/>
        <v/>
      </c>
      <c r="AO675" s="5">
        <v>0</v>
      </c>
      <c r="AP675" s="9"/>
      <c r="AQ675" s="5" t="s">
        <v>1210</v>
      </c>
      <c r="AR675" s="5" t="s">
        <v>1210</v>
      </c>
      <c r="AS675" s="8"/>
      <c r="AT675" s="8"/>
      <c r="AU675" s="8"/>
      <c r="AV675" s="8"/>
      <c r="AW675" s="8"/>
      <c r="AX675" s="8"/>
      <c r="AY675" s="8"/>
      <c r="AZ675" s="8"/>
    </row>
    <row r="676" spans="1:52">
      <c r="A676" s="5" t="s">
        <v>849</v>
      </c>
      <c r="B676" s="5">
        <v>1408</v>
      </c>
      <c r="C676" s="19">
        <v>835</v>
      </c>
      <c r="E676" s="14"/>
      <c r="F676" s="11"/>
      <c r="G676" s="11"/>
      <c r="H676" s="11"/>
      <c r="I676" s="11"/>
      <c r="J676" s="25"/>
      <c r="K676" s="11"/>
      <c r="L676" s="11"/>
      <c r="M676" s="19">
        <v>0</v>
      </c>
      <c r="O676" s="6"/>
      <c r="P676" s="16">
        <v>935</v>
      </c>
      <c r="Q676" s="16">
        <v>365</v>
      </c>
      <c r="R676" s="22"/>
      <c r="S676" s="22">
        <f t="shared" si="20"/>
        <v>0</v>
      </c>
      <c r="T676" s="5">
        <v>1104</v>
      </c>
      <c r="U676" s="5">
        <v>906</v>
      </c>
      <c r="Y676" s="8"/>
      <c r="Z676" s="8"/>
      <c r="AA676" s="8"/>
      <c r="AB676" s="8"/>
      <c r="AC676" s="8"/>
      <c r="AD676" s="8"/>
      <c r="AE676" s="25"/>
      <c r="AF676" s="11"/>
      <c r="AG676" s="25"/>
      <c r="AH676" s="11"/>
      <c r="AI676" s="11">
        <v>67</v>
      </c>
      <c r="AJ676" s="19">
        <v>0</v>
      </c>
      <c r="AK676" s="12">
        <f>(AJ676+AI676)/30*7</f>
        <v>15.633333333333333</v>
      </c>
      <c r="AL676" s="6">
        <f>IF(AK676-C676&lt;0,0,AK676-C676)</f>
        <v>0</v>
      </c>
      <c r="AM676" s="6">
        <f>IF(AL676-R676-S676&lt;0,0,AL676-R676-S676)</f>
        <v>0</v>
      </c>
      <c r="AN676" s="5" t="str">
        <f t="shared" si="21"/>
        <v/>
      </c>
      <c r="AO676" s="5">
        <v>0</v>
      </c>
      <c r="AP676" s="9"/>
      <c r="AQ676" s="5" t="s">
        <v>1210</v>
      </c>
      <c r="AR676" s="5" t="s">
        <v>1230</v>
      </c>
      <c r="AS676" s="8"/>
      <c r="AT676" s="8"/>
      <c r="AU676" s="8"/>
      <c r="AV676" s="8"/>
      <c r="AW676" s="8"/>
      <c r="AX676" s="8"/>
      <c r="AY676" s="8"/>
      <c r="AZ676" s="8"/>
    </row>
    <row r="677" spans="1:52">
      <c r="A677" s="5" t="s">
        <v>745</v>
      </c>
      <c r="B677" s="5">
        <v>1276</v>
      </c>
      <c r="C677" s="19">
        <v>544</v>
      </c>
      <c r="E677" s="14"/>
      <c r="F677" s="11"/>
      <c r="G677" s="11"/>
      <c r="H677" s="11"/>
      <c r="I677" s="11"/>
      <c r="J677" s="25"/>
      <c r="K677" s="11"/>
      <c r="L677" s="11"/>
      <c r="M677" s="19">
        <v>0</v>
      </c>
      <c r="O677" s="6"/>
      <c r="P677" s="16">
        <v>0</v>
      </c>
      <c r="Q677" s="16">
        <v>0</v>
      </c>
      <c r="R677" s="22"/>
      <c r="S677" s="22">
        <f t="shared" si="20"/>
        <v>0</v>
      </c>
      <c r="T677" s="5">
        <v>1506</v>
      </c>
      <c r="U677" s="5">
        <v>442</v>
      </c>
      <c r="Y677" s="8"/>
      <c r="Z677" s="8"/>
      <c r="AA677" s="8"/>
      <c r="AB677" s="8"/>
      <c r="AC677" s="8"/>
      <c r="AD677" s="8"/>
      <c r="AE677" s="25"/>
      <c r="AF677" s="11"/>
      <c r="AG677" s="25"/>
      <c r="AH677" s="11"/>
      <c r="AI677" s="11">
        <v>41</v>
      </c>
      <c r="AJ677" s="19">
        <v>0</v>
      </c>
      <c r="AK677" s="12">
        <f>(AJ677+AI677)/30*7</f>
        <v>9.5666666666666664</v>
      </c>
      <c r="AL677" s="6">
        <f>IF(AK677-C677&lt;0,0,AK677-C677)</f>
        <v>0</v>
      </c>
      <c r="AM677" s="6">
        <f>IF(AL677-R677-S677&lt;0,0,AL677-R677-S677)</f>
        <v>0</v>
      </c>
      <c r="AN677" s="5" t="str">
        <f t="shared" si="21"/>
        <v/>
      </c>
      <c r="AO677" s="5">
        <v>0</v>
      </c>
      <c r="AP677" s="9"/>
      <c r="AQ677" s="5" t="s">
        <v>1210</v>
      </c>
      <c r="AR677" s="5" t="s">
        <v>1210</v>
      </c>
      <c r="AS677" s="8"/>
      <c r="AT677" s="8"/>
      <c r="AU677" s="8"/>
      <c r="AV677" s="8"/>
      <c r="AW677" s="8"/>
      <c r="AX677" s="8"/>
      <c r="AY677" s="8"/>
      <c r="AZ677" s="8"/>
    </row>
    <row r="678" spans="1:52">
      <c r="A678" s="5" t="s">
        <v>54</v>
      </c>
      <c r="B678" s="5">
        <v>768</v>
      </c>
      <c r="C678" s="19">
        <v>397</v>
      </c>
      <c r="E678" s="14"/>
      <c r="F678" s="11"/>
      <c r="G678" s="11"/>
      <c r="H678" s="11"/>
      <c r="I678" s="11"/>
      <c r="J678" s="25"/>
      <c r="K678" s="11"/>
      <c r="L678" s="11"/>
      <c r="M678" s="19">
        <v>4</v>
      </c>
      <c r="O678" s="6"/>
      <c r="P678" s="16">
        <v>702</v>
      </c>
      <c r="Q678" s="16">
        <v>0</v>
      </c>
      <c r="R678" s="22"/>
      <c r="S678" s="22">
        <f t="shared" si="20"/>
        <v>0</v>
      </c>
      <c r="T678" s="5" t="s">
        <v>1210</v>
      </c>
      <c r="U678" s="5" t="s">
        <v>1210</v>
      </c>
      <c r="Y678" s="8"/>
      <c r="Z678" s="8"/>
      <c r="AA678" s="8"/>
      <c r="AB678" s="8"/>
      <c r="AC678" s="8"/>
      <c r="AD678" s="8"/>
      <c r="AE678" s="25"/>
      <c r="AF678" s="11"/>
      <c r="AG678" s="25"/>
      <c r="AH678" s="11"/>
      <c r="AI678" s="11">
        <v>65</v>
      </c>
      <c r="AJ678" s="19">
        <v>116</v>
      </c>
      <c r="AK678" s="12">
        <f>(AJ678+AI678)/30*7</f>
        <v>42.233333333333334</v>
      </c>
      <c r="AL678" s="6">
        <f>IF(AK678-C678&lt;0,0,AK678-C678)</f>
        <v>0</v>
      </c>
      <c r="AM678" s="6">
        <f>IF(AL678-R678-S678&lt;0,0,AL678-R678-S678)</f>
        <v>0</v>
      </c>
      <c r="AN678" s="5" t="str">
        <f t="shared" si="21"/>
        <v/>
      </c>
      <c r="AO678" s="5">
        <v>0</v>
      </c>
      <c r="AP678" s="9"/>
      <c r="AQ678" s="5" t="s">
        <v>1229</v>
      </c>
      <c r="AR678" s="5" t="s">
        <v>1210</v>
      </c>
      <c r="AS678" s="8"/>
      <c r="AT678" s="8"/>
      <c r="AU678" s="8"/>
      <c r="AV678" s="8"/>
      <c r="AW678" s="8"/>
      <c r="AX678" s="8"/>
      <c r="AY678" s="8"/>
      <c r="AZ678" s="8"/>
    </row>
    <row r="679" spans="1:52">
      <c r="A679" s="5" t="s">
        <v>166</v>
      </c>
      <c r="B679" s="5">
        <v>1399</v>
      </c>
      <c r="C679" s="19">
        <v>467</v>
      </c>
      <c r="E679" s="14"/>
      <c r="F679" s="11"/>
      <c r="G679" s="11"/>
      <c r="H679" s="11"/>
      <c r="I679" s="11"/>
      <c r="J679" s="25"/>
      <c r="K679" s="11"/>
      <c r="L679" s="11"/>
      <c r="M679" s="19">
        <v>0</v>
      </c>
      <c r="O679" s="6"/>
      <c r="P679" s="16">
        <v>845</v>
      </c>
      <c r="Q679" s="16">
        <v>0</v>
      </c>
      <c r="R679" s="22"/>
      <c r="S679" s="22">
        <f t="shared" si="20"/>
        <v>0</v>
      </c>
      <c r="U679" s="5" t="s">
        <v>1210</v>
      </c>
      <c r="Y679" s="8"/>
      <c r="Z679" s="8"/>
      <c r="AA679" s="8"/>
      <c r="AB679" s="8"/>
      <c r="AC679" s="8"/>
      <c r="AD679" s="8"/>
      <c r="AE679" s="25"/>
      <c r="AF679" s="11"/>
      <c r="AG679" s="25"/>
      <c r="AH679" s="11"/>
      <c r="AI679" s="11">
        <v>40</v>
      </c>
      <c r="AJ679" s="19">
        <v>51</v>
      </c>
      <c r="AK679" s="12">
        <f>(AJ679+AI679)/30*7</f>
        <v>21.233333333333334</v>
      </c>
      <c r="AL679" s="6">
        <f>IF(AK679-C679&lt;0,0,AK679-C679)</f>
        <v>0</v>
      </c>
      <c r="AM679" s="6">
        <f>IF(AL679-R679-S679&lt;0,0,AL679-R679-S679)</f>
        <v>0</v>
      </c>
      <c r="AN679" s="5" t="str">
        <f t="shared" si="21"/>
        <v/>
      </c>
      <c r="AO679" s="5">
        <v>0</v>
      </c>
      <c r="AP679" s="9"/>
      <c r="AQ679" s="5" t="s">
        <v>1210</v>
      </c>
      <c r="AR679" s="5" t="s">
        <v>1210</v>
      </c>
      <c r="AS679" s="8"/>
      <c r="AT679" s="8"/>
      <c r="AU679" s="8"/>
      <c r="AV679" s="8"/>
      <c r="AW679" s="8"/>
      <c r="AX679" s="8"/>
      <c r="AY679" s="8"/>
      <c r="AZ679" s="8"/>
    </row>
    <row r="680" spans="1:52">
      <c r="A680" s="5" t="s">
        <v>478</v>
      </c>
      <c r="B680" s="5">
        <v>816</v>
      </c>
      <c r="C680" s="19">
        <v>639</v>
      </c>
      <c r="E680" s="14"/>
      <c r="F680" s="11"/>
      <c r="G680" s="11"/>
      <c r="H680" s="11"/>
      <c r="I680" s="11"/>
      <c r="J680" s="25"/>
      <c r="K680" s="11"/>
      <c r="L680" s="11"/>
      <c r="M680" s="19">
        <v>0</v>
      </c>
      <c r="O680" s="6"/>
      <c r="P680" s="16">
        <v>588</v>
      </c>
      <c r="Q680" s="16">
        <v>836</v>
      </c>
      <c r="R680" s="22"/>
      <c r="S680" s="22">
        <f t="shared" si="20"/>
        <v>0</v>
      </c>
      <c r="T680" s="5" t="s">
        <v>1210</v>
      </c>
      <c r="U680" s="5" t="s">
        <v>1210</v>
      </c>
      <c r="Y680" s="8"/>
      <c r="Z680" s="8"/>
      <c r="AA680" s="8"/>
      <c r="AB680" s="8"/>
      <c r="AC680" s="8"/>
      <c r="AD680" s="8"/>
      <c r="AE680" s="25"/>
      <c r="AF680" s="11"/>
      <c r="AG680" s="25"/>
      <c r="AH680" s="11"/>
      <c r="AI680" s="11">
        <v>78</v>
      </c>
      <c r="AJ680" s="19">
        <v>0</v>
      </c>
      <c r="AK680" s="12">
        <f>(AJ680+AI680)/30*7</f>
        <v>18.2</v>
      </c>
      <c r="AL680" s="6">
        <f>IF(AK680-C680&lt;0,0,AK680-C680)</f>
        <v>0</v>
      </c>
      <c r="AM680" s="6">
        <f>IF(AL680-R680-S680&lt;0,0,AL680-R680-S680)</f>
        <v>0</v>
      </c>
      <c r="AN680" s="5" t="str">
        <f t="shared" si="21"/>
        <v/>
      </c>
      <c r="AO680" s="5">
        <v>0</v>
      </c>
      <c r="AP680" s="9"/>
      <c r="AQ680" s="5" t="s">
        <v>1210</v>
      </c>
      <c r="AR680" s="5" t="s">
        <v>1230</v>
      </c>
      <c r="AS680" s="8"/>
      <c r="AT680" s="8"/>
      <c r="AU680" s="8"/>
      <c r="AV680" s="8"/>
      <c r="AW680" s="8"/>
      <c r="AX680" s="8"/>
      <c r="AY680" s="8"/>
      <c r="AZ680" s="8"/>
    </row>
    <row r="681" spans="1:52">
      <c r="A681" s="5" t="s">
        <v>375</v>
      </c>
      <c r="B681" s="5">
        <v>1396</v>
      </c>
      <c r="C681" s="19">
        <v>275</v>
      </c>
      <c r="E681" s="14"/>
      <c r="F681" s="11"/>
      <c r="G681" s="11"/>
      <c r="H681" s="11"/>
      <c r="I681" s="11"/>
      <c r="J681" s="25"/>
      <c r="K681" s="11"/>
      <c r="L681" s="11"/>
      <c r="M681" s="19">
        <v>0</v>
      </c>
      <c r="O681" s="6"/>
      <c r="P681" s="16">
        <v>328</v>
      </c>
      <c r="Q681" s="16">
        <v>0</v>
      </c>
      <c r="R681" s="22"/>
      <c r="S681" s="22">
        <f t="shared" si="20"/>
        <v>0</v>
      </c>
      <c r="T681" s="5" t="s">
        <v>1210</v>
      </c>
      <c r="U681" s="5" t="s">
        <v>1210</v>
      </c>
      <c r="Y681" s="8"/>
      <c r="Z681" s="8"/>
      <c r="AA681" s="8"/>
      <c r="AB681" s="8"/>
      <c r="AC681" s="8"/>
      <c r="AD681" s="8"/>
      <c r="AE681" s="25"/>
      <c r="AF681" s="11"/>
      <c r="AG681" s="25"/>
      <c r="AH681" s="11"/>
      <c r="AI681" s="11">
        <v>88</v>
      </c>
      <c r="AJ681" s="19">
        <v>7</v>
      </c>
      <c r="AK681" s="12">
        <f>(AJ681+AI681)/30*7</f>
        <v>22.166666666666664</v>
      </c>
      <c r="AL681" s="6">
        <f>IF(AK681-C681&lt;0,0,AK681-C681)</f>
        <v>0</v>
      </c>
      <c r="AM681" s="6">
        <f>IF(AL681-R681-S681&lt;0,0,AL681-R681-S681)</f>
        <v>0</v>
      </c>
      <c r="AN681" s="5" t="str">
        <f t="shared" si="21"/>
        <v/>
      </c>
      <c r="AO681" s="5">
        <v>0</v>
      </c>
      <c r="AP681" s="9"/>
      <c r="AQ681" s="5" t="s">
        <v>1210</v>
      </c>
      <c r="AR681" s="5" t="s">
        <v>1210</v>
      </c>
      <c r="AS681" s="8"/>
      <c r="AT681" s="8"/>
      <c r="AU681" s="8"/>
      <c r="AV681" s="8"/>
      <c r="AW681" s="8"/>
      <c r="AX681" s="8"/>
      <c r="AY681" s="8"/>
      <c r="AZ681" s="8"/>
    </row>
    <row r="682" spans="1:52">
      <c r="A682" s="5" t="s">
        <v>504</v>
      </c>
      <c r="B682" s="5">
        <v>2169</v>
      </c>
      <c r="C682" s="19">
        <v>487</v>
      </c>
      <c r="E682" s="14"/>
      <c r="F682" s="11"/>
      <c r="G682" s="11"/>
      <c r="H682" s="11"/>
      <c r="I682" s="11"/>
      <c r="J682" s="25"/>
      <c r="K682" s="11"/>
      <c r="L682" s="11"/>
      <c r="M682" s="19">
        <v>0</v>
      </c>
      <c r="O682" s="6"/>
      <c r="P682" s="16">
        <v>222</v>
      </c>
      <c r="Q682" s="16">
        <v>0</v>
      </c>
      <c r="R682" s="22"/>
      <c r="S682" s="22">
        <f t="shared" si="20"/>
        <v>0</v>
      </c>
      <c r="T682" s="5" t="s">
        <v>1210</v>
      </c>
      <c r="U682" s="5" t="s">
        <v>1210</v>
      </c>
      <c r="Y682" s="8"/>
      <c r="Z682" s="8"/>
      <c r="AA682" s="8"/>
      <c r="AB682" s="8"/>
      <c r="AC682" s="8"/>
      <c r="AD682" s="8"/>
      <c r="AE682" s="25"/>
      <c r="AF682" s="11"/>
      <c r="AG682" s="25"/>
      <c r="AH682" s="11"/>
      <c r="AI682" s="11">
        <v>20</v>
      </c>
      <c r="AJ682" s="19">
        <v>27</v>
      </c>
      <c r="AK682" s="12">
        <f>(AJ682+AI682)/30*7</f>
        <v>10.966666666666667</v>
      </c>
      <c r="AL682" s="6">
        <f>IF(AK682-C682&lt;0,0,AK682-C682)</f>
        <v>0</v>
      </c>
      <c r="AM682" s="6">
        <f>IF(AL682-R682-S682&lt;0,0,AL682-R682-S682)</f>
        <v>0</v>
      </c>
      <c r="AN682" s="5" t="str">
        <f t="shared" si="21"/>
        <v/>
      </c>
      <c r="AO682" s="5">
        <v>0</v>
      </c>
      <c r="AP682" s="9"/>
      <c r="AQ682" s="5" t="s">
        <v>1210</v>
      </c>
      <c r="AR682" s="5" t="s">
        <v>1210</v>
      </c>
      <c r="AS682" s="8"/>
      <c r="AT682" s="8"/>
      <c r="AU682" s="8"/>
      <c r="AV682" s="8"/>
      <c r="AW682" s="8"/>
      <c r="AX682" s="8"/>
      <c r="AY682" s="8"/>
      <c r="AZ682" s="8"/>
    </row>
    <row r="683" spans="1:52">
      <c r="A683" s="5" t="s">
        <v>292</v>
      </c>
      <c r="B683" s="5">
        <v>1345</v>
      </c>
      <c r="C683" s="19">
        <v>468</v>
      </c>
      <c r="E683" s="14"/>
      <c r="F683" s="11"/>
      <c r="G683" s="11"/>
      <c r="H683" s="11"/>
      <c r="I683" s="11"/>
      <c r="J683" s="25"/>
      <c r="K683" s="11"/>
      <c r="L683" s="11"/>
      <c r="M683" s="19">
        <v>10</v>
      </c>
      <c r="O683" s="6"/>
      <c r="P683" s="16">
        <v>691</v>
      </c>
      <c r="Q683" s="16">
        <v>495</v>
      </c>
      <c r="R683" s="22"/>
      <c r="S683" s="22">
        <f t="shared" si="20"/>
        <v>0</v>
      </c>
      <c r="T683" s="5" t="s">
        <v>1210</v>
      </c>
      <c r="U683" s="5" t="s">
        <v>1210</v>
      </c>
      <c r="Y683" s="8"/>
      <c r="Z683" s="8"/>
      <c r="AA683" s="8"/>
      <c r="AB683" s="8"/>
      <c r="AC683" s="8"/>
      <c r="AD683" s="8"/>
      <c r="AE683" s="25"/>
      <c r="AF683" s="11"/>
      <c r="AG683" s="25"/>
      <c r="AH683" s="11"/>
      <c r="AI683" s="11">
        <v>85</v>
      </c>
      <c r="AJ683" s="19">
        <v>26</v>
      </c>
      <c r="AK683" s="12">
        <f>(AJ683+AI683)/30*7</f>
        <v>25.900000000000002</v>
      </c>
      <c r="AL683" s="6">
        <f>IF(AK683-C683&lt;0,0,AK683-C683)</f>
        <v>0</v>
      </c>
      <c r="AM683" s="6">
        <f>IF(AL683-R683-S683&lt;0,0,AL683-R683-S683)</f>
        <v>0</v>
      </c>
      <c r="AN683" s="5" t="str">
        <f t="shared" si="21"/>
        <v/>
      </c>
      <c r="AO683" s="5">
        <v>4</v>
      </c>
      <c r="AP683" s="9"/>
      <c r="AQ683" s="5" t="s">
        <v>1210</v>
      </c>
      <c r="AR683" s="5" t="s">
        <v>1210</v>
      </c>
      <c r="AS683" s="8"/>
      <c r="AT683" s="8"/>
      <c r="AU683" s="8"/>
      <c r="AV683" s="8"/>
      <c r="AW683" s="8"/>
      <c r="AX683" s="8"/>
      <c r="AY683" s="8"/>
      <c r="AZ683" s="8"/>
    </row>
    <row r="684" spans="1:52">
      <c r="A684" s="5" t="s">
        <v>190</v>
      </c>
      <c r="B684" s="5">
        <v>1913</v>
      </c>
      <c r="C684" s="19">
        <v>779</v>
      </c>
      <c r="E684" s="14"/>
      <c r="F684" s="11"/>
      <c r="G684" s="11"/>
      <c r="H684" s="11"/>
      <c r="I684" s="11"/>
      <c r="J684" s="25"/>
      <c r="K684" s="11"/>
      <c r="L684" s="11"/>
      <c r="M684" s="19">
        <v>3</v>
      </c>
      <c r="O684" s="6"/>
      <c r="P684" s="16">
        <v>929</v>
      </c>
      <c r="Q684" s="16">
        <v>0</v>
      </c>
      <c r="R684" s="22"/>
      <c r="S684" s="22">
        <f t="shared" si="20"/>
        <v>0</v>
      </c>
      <c r="U684" s="5" t="s">
        <v>1210</v>
      </c>
      <c r="Y684" s="8"/>
      <c r="Z684" s="8"/>
      <c r="AA684" s="8"/>
      <c r="AB684" s="8"/>
      <c r="AC684" s="8"/>
      <c r="AD684" s="8"/>
      <c r="AE684" s="25"/>
      <c r="AF684" s="11"/>
      <c r="AG684" s="25"/>
      <c r="AH684" s="11"/>
      <c r="AI684" s="11">
        <v>8</v>
      </c>
      <c r="AJ684" s="19">
        <v>141</v>
      </c>
      <c r="AK684" s="12">
        <f>(AJ684+AI684)/30*7</f>
        <v>34.766666666666666</v>
      </c>
      <c r="AL684" s="6">
        <f>IF(AK684-C684&lt;0,0,AK684-C684)</f>
        <v>0</v>
      </c>
      <c r="AM684" s="6">
        <f>IF(AL684-R684-S684&lt;0,0,AL684-R684-S684)</f>
        <v>0</v>
      </c>
      <c r="AN684" s="5" t="str">
        <f t="shared" si="21"/>
        <v/>
      </c>
      <c r="AO684" s="5">
        <v>0</v>
      </c>
      <c r="AP684" s="9"/>
      <c r="AQ684" s="5" t="s">
        <v>1210</v>
      </c>
      <c r="AR684" s="5" t="s">
        <v>1210</v>
      </c>
      <c r="AS684" s="8"/>
      <c r="AT684" s="8"/>
      <c r="AU684" s="8"/>
      <c r="AV684" s="8"/>
      <c r="AW684" s="8"/>
      <c r="AX684" s="8"/>
      <c r="AY684" s="8"/>
      <c r="AZ684" s="8"/>
    </row>
    <row r="685" spans="1:52">
      <c r="A685" s="5" t="s">
        <v>133</v>
      </c>
      <c r="B685" s="5">
        <v>995</v>
      </c>
      <c r="C685" s="19">
        <v>220</v>
      </c>
      <c r="E685" s="14"/>
      <c r="F685" s="11"/>
      <c r="G685" s="11"/>
      <c r="H685" s="11"/>
      <c r="I685" s="11"/>
      <c r="J685" s="25"/>
      <c r="K685" s="11"/>
      <c r="L685" s="11"/>
      <c r="M685" s="19">
        <v>5</v>
      </c>
      <c r="O685" s="6"/>
      <c r="P685" s="16">
        <v>258</v>
      </c>
      <c r="Q685" s="16">
        <v>0</v>
      </c>
      <c r="R685" s="22"/>
      <c r="S685" s="22">
        <f t="shared" si="20"/>
        <v>0</v>
      </c>
      <c r="T685" s="5" t="s">
        <v>1210</v>
      </c>
      <c r="U685" s="5" t="s">
        <v>1210</v>
      </c>
      <c r="Y685" s="8"/>
      <c r="Z685" s="8"/>
      <c r="AA685" s="8"/>
      <c r="AB685" s="8"/>
      <c r="AC685" s="8"/>
      <c r="AD685" s="8"/>
      <c r="AE685" s="25"/>
      <c r="AF685" s="11"/>
      <c r="AG685" s="25"/>
      <c r="AH685" s="11"/>
      <c r="AI685" s="11">
        <v>85</v>
      </c>
      <c r="AJ685" s="19">
        <v>94</v>
      </c>
      <c r="AK685" s="12">
        <f>(AJ685+AI685)/30*7</f>
        <v>41.766666666666666</v>
      </c>
      <c r="AL685" s="6">
        <f>IF(AK685-C685&lt;0,0,AK685-C685)</f>
        <v>0</v>
      </c>
      <c r="AM685" s="6">
        <f>IF(AL685-R685-S685&lt;0,0,AL685-R685-S685)</f>
        <v>0</v>
      </c>
      <c r="AN685" s="5" t="str">
        <f t="shared" si="21"/>
        <v/>
      </c>
      <c r="AO685" s="5">
        <v>0</v>
      </c>
      <c r="AP685" s="9"/>
      <c r="AQ685" s="5" t="s">
        <v>1229</v>
      </c>
      <c r="AR685" s="5" t="s">
        <v>1210</v>
      </c>
      <c r="AS685" s="8"/>
      <c r="AT685" s="8"/>
      <c r="AU685" s="8"/>
      <c r="AV685" s="8"/>
      <c r="AW685" s="8"/>
      <c r="AX685" s="8"/>
      <c r="AY685" s="8"/>
      <c r="AZ685" s="8"/>
    </row>
    <row r="686" spans="1:52">
      <c r="A686" s="5" t="s">
        <v>169</v>
      </c>
      <c r="B686" s="5">
        <v>969</v>
      </c>
      <c r="C686" s="19">
        <v>905</v>
      </c>
      <c r="E686" s="14"/>
      <c r="F686" s="11"/>
      <c r="G686" s="11"/>
      <c r="H686" s="11"/>
      <c r="I686" s="11"/>
      <c r="J686" s="25"/>
      <c r="K686" s="11"/>
      <c r="L686" s="11"/>
      <c r="M686" s="19">
        <v>9</v>
      </c>
      <c r="O686" s="6"/>
      <c r="P686" s="16">
        <v>255</v>
      </c>
      <c r="Q686" s="16">
        <v>954</v>
      </c>
      <c r="R686" s="22"/>
      <c r="S686" s="22">
        <f t="shared" si="20"/>
        <v>0</v>
      </c>
      <c r="T686" s="5" t="s">
        <v>1210</v>
      </c>
      <c r="U686" s="5" t="s">
        <v>1210</v>
      </c>
      <c r="Y686" s="8"/>
      <c r="Z686" s="8"/>
      <c r="AA686" s="8"/>
      <c r="AB686" s="8"/>
      <c r="AC686" s="8"/>
      <c r="AD686" s="8"/>
      <c r="AE686" s="25"/>
      <c r="AF686" s="11"/>
      <c r="AG686" s="25"/>
      <c r="AH686" s="11"/>
      <c r="AI686" s="11">
        <v>70</v>
      </c>
      <c r="AJ686" s="19">
        <v>36</v>
      </c>
      <c r="AK686" s="12">
        <f>(AJ686+AI686)/30*7</f>
        <v>24.733333333333334</v>
      </c>
      <c r="AL686" s="6">
        <f>IF(AK686-C686&lt;0,0,AK686-C686)</f>
        <v>0</v>
      </c>
      <c r="AM686" s="6">
        <f>IF(AL686-R686-S686&lt;0,0,AL686-R686-S686)</f>
        <v>0</v>
      </c>
      <c r="AN686" s="5" t="str">
        <f t="shared" si="21"/>
        <v/>
      </c>
      <c r="AO686" s="5">
        <v>0</v>
      </c>
      <c r="AP686" s="9"/>
      <c r="AQ686" s="5" t="s">
        <v>1210</v>
      </c>
      <c r="AR686" s="5" t="s">
        <v>1210</v>
      </c>
      <c r="AS686" s="8"/>
      <c r="AT686" s="8"/>
      <c r="AU686" s="8"/>
      <c r="AV686" s="8"/>
      <c r="AW686" s="8"/>
      <c r="AX686" s="8"/>
      <c r="AY686" s="8"/>
      <c r="AZ686" s="8"/>
    </row>
    <row r="687" spans="1:52">
      <c r="A687" s="5" t="s">
        <v>156</v>
      </c>
      <c r="B687" s="5">
        <v>1264</v>
      </c>
      <c r="C687" s="19">
        <v>399</v>
      </c>
      <c r="E687" s="14"/>
      <c r="F687" s="11"/>
      <c r="G687" s="11"/>
      <c r="H687" s="11"/>
      <c r="I687" s="11"/>
      <c r="J687" s="25"/>
      <c r="K687" s="11"/>
      <c r="L687" s="11"/>
      <c r="M687" s="19">
        <v>2</v>
      </c>
      <c r="O687" s="6"/>
      <c r="P687" s="16">
        <v>227</v>
      </c>
      <c r="Q687" s="16">
        <v>0</v>
      </c>
      <c r="R687" s="22"/>
      <c r="S687" s="22">
        <f t="shared" si="20"/>
        <v>0</v>
      </c>
      <c r="U687" s="5" t="s">
        <v>1210</v>
      </c>
      <c r="Y687" s="8"/>
      <c r="Z687" s="8"/>
      <c r="AA687" s="8"/>
      <c r="AB687" s="8"/>
      <c r="AC687" s="8"/>
      <c r="AD687" s="8"/>
      <c r="AE687" s="25"/>
      <c r="AF687" s="11"/>
      <c r="AG687" s="25"/>
      <c r="AH687" s="11"/>
      <c r="AI687" s="11">
        <v>67</v>
      </c>
      <c r="AJ687" s="19">
        <v>56</v>
      </c>
      <c r="AK687" s="12">
        <f>(AJ687+AI687)/30*7</f>
        <v>28.699999999999996</v>
      </c>
      <c r="AL687" s="6">
        <f>IF(AK687-C687&lt;0,0,AK687-C687)</f>
        <v>0</v>
      </c>
      <c r="AM687" s="6">
        <f>IF(AL687-R687-S687&lt;0,0,AL687-R687-S687)</f>
        <v>0</v>
      </c>
      <c r="AN687" s="5" t="str">
        <f t="shared" si="21"/>
        <v/>
      </c>
      <c r="AO687" s="5">
        <v>0</v>
      </c>
      <c r="AP687" s="9"/>
      <c r="AQ687" s="5" t="s">
        <v>1210</v>
      </c>
      <c r="AR687" s="5" t="s">
        <v>1210</v>
      </c>
      <c r="AS687" s="8"/>
      <c r="AT687" s="8"/>
      <c r="AU687" s="8"/>
      <c r="AV687" s="8"/>
      <c r="AW687" s="8"/>
      <c r="AX687" s="8"/>
      <c r="AY687" s="8"/>
      <c r="AZ687" s="8"/>
    </row>
    <row r="688" spans="1:52">
      <c r="A688" s="5" t="s">
        <v>541</v>
      </c>
      <c r="B688" s="5">
        <v>752</v>
      </c>
      <c r="C688" s="19">
        <v>853</v>
      </c>
      <c r="E688" s="14"/>
      <c r="F688" s="11"/>
      <c r="G688" s="11"/>
      <c r="H688" s="11"/>
      <c r="I688" s="11"/>
      <c r="J688" s="25"/>
      <c r="K688" s="11"/>
      <c r="L688" s="11"/>
      <c r="M688" s="19">
        <v>0</v>
      </c>
      <c r="O688" s="6"/>
      <c r="P688" s="16">
        <v>0</v>
      </c>
      <c r="Q688" s="16">
        <v>0</v>
      </c>
      <c r="R688" s="22"/>
      <c r="S688" s="22">
        <f t="shared" si="20"/>
        <v>0</v>
      </c>
      <c r="T688" s="5" t="s">
        <v>1226</v>
      </c>
      <c r="U688" s="5">
        <v>16</v>
      </c>
      <c r="Y688" s="8"/>
      <c r="Z688" s="8"/>
      <c r="AA688" s="8"/>
      <c r="AB688" s="8"/>
      <c r="AC688" s="8"/>
      <c r="AD688" s="8"/>
      <c r="AE688" s="25"/>
      <c r="AF688" s="11"/>
      <c r="AG688" s="25"/>
      <c r="AH688" s="11"/>
      <c r="AI688" s="11">
        <v>57</v>
      </c>
      <c r="AJ688" s="19">
        <v>14</v>
      </c>
      <c r="AK688" s="12">
        <f>(AJ688+AI688)/30*7</f>
        <v>16.566666666666666</v>
      </c>
      <c r="AL688" s="6">
        <f>IF(AK688-C688&lt;0,0,AK688-C688)</f>
        <v>0</v>
      </c>
      <c r="AM688" s="6">
        <f>IF(AL688-R688-S688&lt;0,0,AL688-R688-S688)</f>
        <v>0</v>
      </c>
      <c r="AN688" s="5" t="str">
        <f t="shared" si="21"/>
        <v/>
      </c>
      <c r="AO688" s="5">
        <v>0</v>
      </c>
      <c r="AP688" s="9"/>
      <c r="AQ688" s="5" t="s">
        <v>1210</v>
      </c>
      <c r="AR688" s="5" t="s">
        <v>1210</v>
      </c>
      <c r="AS688" s="8"/>
      <c r="AT688" s="8"/>
      <c r="AU688" s="8"/>
      <c r="AV688" s="8"/>
      <c r="AW688" s="8"/>
      <c r="AX688" s="8"/>
      <c r="AY688" s="8"/>
      <c r="AZ688" s="8"/>
    </row>
    <row r="689" spans="1:52">
      <c r="A689" s="5" t="s">
        <v>435</v>
      </c>
      <c r="B689" s="5">
        <v>919</v>
      </c>
      <c r="C689" s="19">
        <v>250</v>
      </c>
      <c r="E689" s="14"/>
      <c r="F689" s="11"/>
      <c r="G689" s="11"/>
      <c r="H689" s="11"/>
      <c r="I689" s="11"/>
      <c r="J689" s="25"/>
      <c r="K689" s="11"/>
      <c r="L689" s="11"/>
      <c r="M689" s="19">
        <v>7</v>
      </c>
      <c r="O689" s="6"/>
      <c r="P689" s="16">
        <v>345</v>
      </c>
      <c r="Q689" s="16">
        <v>0</v>
      </c>
      <c r="R689" s="22"/>
      <c r="S689" s="22">
        <f t="shared" si="20"/>
        <v>0</v>
      </c>
      <c r="T689" s="5" t="s">
        <v>1210</v>
      </c>
      <c r="U689" s="5" t="s">
        <v>1210</v>
      </c>
      <c r="Y689" s="8"/>
      <c r="Z689" s="8"/>
      <c r="AA689" s="8"/>
      <c r="AB689" s="8"/>
      <c r="AC689" s="8"/>
      <c r="AD689" s="8"/>
      <c r="AE689" s="25"/>
      <c r="AF689" s="11"/>
      <c r="AG689" s="25"/>
      <c r="AH689" s="11"/>
      <c r="AI689" s="11">
        <v>71</v>
      </c>
      <c r="AJ689" s="19">
        <v>0</v>
      </c>
      <c r="AK689" s="12">
        <f>(AJ689+AI689)/30*7</f>
        <v>16.566666666666666</v>
      </c>
      <c r="AL689" s="6">
        <f>IF(AK689-C689&lt;0,0,AK689-C689)</f>
        <v>0</v>
      </c>
      <c r="AM689" s="6">
        <f>IF(AL689-R689-S689&lt;0,0,AL689-R689-S689)</f>
        <v>0</v>
      </c>
      <c r="AN689" s="5" t="str">
        <f t="shared" si="21"/>
        <v/>
      </c>
      <c r="AO689" s="5">
        <v>0</v>
      </c>
      <c r="AP689" s="9"/>
      <c r="AQ689" s="5" t="s">
        <v>1210</v>
      </c>
      <c r="AR689" s="5" t="s">
        <v>1210</v>
      </c>
      <c r="AS689" s="8"/>
      <c r="AT689" s="8"/>
      <c r="AU689" s="8"/>
      <c r="AV689" s="8"/>
      <c r="AW689" s="8"/>
      <c r="AX689" s="8"/>
      <c r="AY689" s="8"/>
      <c r="AZ689" s="8"/>
    </row>
    <row r="690" spans="1:52">
      <c r="A690" s="5" t="s">
        <v>136</v>
      </c>
      <c r="B690" s="5">
        <v>792</v>
      </c>
      <c r="C690" s="19">
        <v>754</v>
      </c>
      <c r="E690" s="14"/>
      <c r="F690" s="11"/>
      <c r="G690" s="11"/>
      <c r="H690" s="11"/>
      <c r="I690" s="11"/>
      <c r="J690" s="25"/>
      <c r="K690" s="11"/>
      <c r="L690" s="11"/>
      <c r="M690" s="19">
        <v>0</v>
      </c>
      <c r="O690" s="6"/>
      <c r="P690" s="16">
        <v>854</v>
      </c>
      <c r="Q690" s="16">
        <v>261</v>
      </c>
      <c r="R690" s="22"/>
      <c r="S690" s="22">
        <f t="shared" si="20"/>
        <v>0</v>
      </c>
      <c r="T690" s="5" t="s">
        <v>1210</v>
      </c>
      <c r="U690" s="5" t="s">
        <v>1210</v>
      </c>
      <c r="Y690" s="8"/>
      <c r="Z690" s="8"/>
      <c r="AA690" s="8"/>
      <c r="AB690" s="8"/>
      <c r="AC690" s="8"/>
      <c r="AD690" s="8"/>
      <c r="AE690" s="25"/>
      <c r="AF690" s="11"/>
      <c r="AG690" s="25"/>
      <c r="AH690" s="11"/>
      <c r="AI690" s="11">
        <v>5</v>
      </c>
      <c r="AJ690" s="19">
        <v>83</v>
      </c>
      <c r="AK690" s="12">
        <f>(AJ690+AI690)/30*7</f>
        <v>20.533333333333331</v>
      </c>
      <c r="AL690" s="6">
        <f>IF(AK690-C690&lt;0,0,AK690-C690)</f>
        <v>0</v>
      </c>
      <c r="AM690" s="6">
        <f>IF(AL690-R690-S690&lt;0,0,AL690-R690-S690)</f>
        <v>0</v>
      </c>
      <c r="AN690" s="5" t="str">
        <f t="shared" si="21"/>
        <v/>
      </c>
      <c r="AO690" s="5">
        <v>0</v>
      </c>
      <c r="AP690" s="9"/>
      <c r="AQ690" s="5" t="s">
        <v>1210</v>
      </c>
      <c r="AR690" s="5" t="s">
        <v>1210</v>
      </c>
      <c r="AS690" s="8"/>
      <c r="AT690" s="8"/>
      <c r="AU690" s="8"/>
      <c r="AV690" s="8"/>
      <c r="AW690" s="8"/>
      <c r="AX690" s="8"/>
      <c r="AY690" s="8"/>
      <c r="AZ690" s="8"/>
    </row>
    <row r="691" spans="1:52">
      <c r="A691" s="5" t="s">
        <v>142</v>
      </c>
      <c r="B691" s="5">
        <v>1124</v>
      </c>
      <c r="C691" s="19">
        <v>476</v>
      </c>
      <c r="E691" s="14"/>
      <c r="F691" s="11"/>
      <c r="G691" s="11"/>
      <c r="H691" s="11"/>
      <c r="I691" s="11"/>
      <c r="J691" s="25"/>
      <c r="K691" s="11"/>
      <c r="L691" s="11"/>
      <c r="M691" s="19">
        <v>6</v>
      </c>
      <c r="O691" s="6"/>
      <c r="P691" s="16">
        <v>406</v>
      </c>
      <c r="Q691" s="16">
        <v>0</v>
      </c>
      <c r="R691" s="22"/>
      <c r="S691" s="22">
        <f t="shared" si="20"/>
        <v>0</v>
      </c>
      <c r="T691" s="5" t="s">
        <v>1210</v>
      </c>
      <c r="U691" s="5" t="s">
        <v>1210</v>
      </c>
      <c r="Y691" s="8"/>
      <c r="Z691" s="8"/>
      <c r="AA691" s="8"/>
      <c r="AB691" s="8"/>
      <c r="AC691" s="8"/>
      <c r="AD691" s="8"/>
      <c r="AE691" s="25"/>
      <c r="AF691" s="11"/>
      <c r="AG691" s="25"/>
      <c r="AH691" s="11"/>
      <c r="AI691" s="11">
        <v>94</v>
      </c>
      <c r="AJ691" s="19">
        <v>71</v>
      </c>
      <c r="AK691" s="12">
        <f>(AJ691+AI691)/30*7</f>
        <v>38.5</v>
      </c>
      <c r="AL691" s="6">
        <f>IF(AK691-C691&lt;0,0,AK691-C691)</f>
        <v>0</v>
      </c>
      <c r="AM691" s="6">
        <f>IF(AL691-R691-S691&lt;0,0,AL691-R691-S691)</f>
        <v>0</v>
      </c>
      <c r="AN691" s="5" t="str">
        <f t="shared" si="21"/>
        <v/>
      </c>
      <c r="AO691" s="5">
        <v>0</v>
      </c>
      <c r="AP691" s="9"/>
      <c r="AQ691" s="5" t="s">
        <v>1210</v>
      </c>
      <c r="AR691" s="5" t="s">
        <v>1210</v>
      </c>
      <c r="AS691" s="8"/>
      <c r="AT691" s="8"/>
      <c r="AU691" s="8"/>
      <c r="AV691" s="8"/>
      <c r="AW691" s="8"/>
      <c r="AX691" s="8"/>
      <c r="AY691" s="8"/>
      <c r="AZ691" s="8"/>
    </row>
    <row r="692" spans="1:52">
      <c r="A692" s="5" t="s">
        <v>506</v>
      </c>
      <c r="B692" s="5">
        <v>921</v>
      </c>
      <c r="C692" s="19">
        <v>632</v>
      </c>
      <c r="E692" s="14"/>
      <c r="F692" s="11"/>
      <c r="G692" s="11"/>
      <c r="H692" s="11"/>
      <c r="I692" s="11"/>
      <c r="J692" s="25"/>
      <c r="K692" s="11"/>
      <c r="L692" s="11"/>
      <c r="M692" s="19">
        <v>0</v>
      </c>
      <c r="O692" s="6"/>
      <c r="P692" s="16">
        <v>877</v>
      </c>
      <c r="Q692" s="16">
        <v>685</v>
      </c>
      <c r="R692" s="22"/>
      <c r="S692" s="22">
        <f t="shared" si="20"/>
        <v>0</v>
      </c>
      <c r="T692" s="5" t="s">
        <v>1210</v>
      </c>
      <c r="U692" s="5" t="s">
        <v>1210</v>
      </c>
      <c r="Y692" s="8"/>
      <c r="Z692" s="8"/>
      <c r="AA692" s="8"/>
      <c r="AB692" s="8"/>
      <c r="AC692" s="8"/>
      <c r="AD692" s="8"/>
      <c r="AE692" s="25"/>
      <c r="AF692" s="11"/>
      <c r="AG692" s="25"/>
      <c r="AH692" s="11"/>
      <c r="AI692" s="11">
        <v>94</v>
      </c>
      <c r="AJ692" s="19">
        <v>11</v>
      </c>
      <c r="AK692" s="12">
        <f>(AJ692+AI692)/30*7</f>
        <v>24.5</v>
      </c>
      <c r="AL692" s="6">
        <f>IF(AK692-C692&lt;0,0,AK692-C692)</f>
        <v>0</v>
      </c>
      <c r="AM692" s="6">
        <f>IF(AL692-R692-S692&lt;0,0,AL692-R692-S692)</f>
        <v>0</v>
      </c>
      <c r="AN692" s="5" t="str">
        <f t="shared" si="21"/>
        <v/>
      </c>
      <c r="AO692" s="5">
        <v>0</v>
      </c>
      <c r="AP692" s="9"/>
      <c r="AQ692" s="5" t="s">
        <v>1210</v>
      </c>
      <c r="AR692" s="5" t="s">
        <v>1210</v>
      </c>
      <c r="AS692" s="8"/>
      <c r="AT692" s="8"/>
      <c r="AU692" s="8"/>
      <c r="AV692" s="8"/>
      <c r="AW692" s="8"/>
      <c r="AX692" s="8"/>
      <c r="AY692" s="8"/>
      <c r="AZ692" s="8"/>
    </row>
    <row r="693" spans="1:52">
      <c r="A693" s="5" t="s">
        <v>300</v>
      </c>
      <c r="B693" s="5">
        <v>1447</v>
      </c>
      <c r="C693" s="19">
        <v>421</v>
      </c>
      <c r="E693" s="14"/>
      <c r="F693" s="11"/>
      <c r="G693" s="11"/>
      <c r="H693" s="11"/>
      <c r="I693" s="11"/>
      <c r="J693" s="25"/>
      <c r="K693" s="11"/>
      <c r="L693" s="11"/>
      <c r="M693" s="19">
        <v>0</v>
      </c>
      <c r="O693" s="6"/>
      <c r="P693" s="16">
        <v>911</v>
      </c>
      <c r="Q693" s="16">
        <v>601</v>
      </c>
      <c r="R693" s="22"/>
      <c r="S693" s="22">
        <f t="shared" si="20"/>
        <v>0</v>
      </c>
      <c r="T693" s="5" t="s">
        <v>1210</v>
      </c>
      <c r="U693" s="5" t="s">
        <v>1210</v>
      </c>
      <c r="Y693" s="8"/>
      <c r="Z693" s="8"/>
      <c r="AA693" s="8"/>
      <c r="AB693" s="8"/>
      <c r="AC693" s="8"/>
      <c r="AD693" s="8"/>
      <c r="AE693" s="25"/>
      <c r="AF693" s="11"/>
      <c r="AG693" s="25"/>
      <c r="AH693" s="11"/>
      <c r="AI693" s="11">
        <v>44</v>
      </c>
      <c r="AJ693" s="19">
        <v>35</v>
      </c>
      <c r="AK693" s="12">
        <f>(AJ693+AI693)/30*7</f>
        <v>18.433333333333334</v>
      </c>
      <c r="AL693" s="6">
        <f>IF(AK693-C693&lt;0,0,AK693-C693)</f>
        <v>0</v>
      </c>
      <c r="AM693" s="6">
        <f>IF(AL693-R693-S693&lt;0,0,AL693-R693-S693)</f>
        <v>0</v>
      </c>
      <c r="AN693" s="5" t="str">
        <f t="shared" si="21"/>
        <v/>
      </c>
      <c r="AO693" s="5">
        <v>0</v>
      </c>
      <c r="AP693" s="9"/>
      <c r="AQ693" s="5" t="s">
        <v>1210</v>
      </c>
      <c r="AR693" s="5" t="s">
        <v>1210</v>
      </c>
      <c r="AS693" s="8"/>
      <c r="AT693" s="8"/>
      <c r="AU693" s="8"/>
      <c r="AV693" s="8"/>
      <c r="AW693" s="8"/>
      <c r="AX693" s="8"/>
      <c r="AY693" s="8"/>
      <c r="AZ693" s="8"/>
    </row>
    <row r="694" spans="1:52">
      <c r="A694" s="5" t="s">
        <v>246</v>
      </c>
      <c r="B694" s="5">
        <v>323</v>
      </c>
      <c r="C694" s="19">
        <v>936</v>
      </c>
      <c r="E694" s="14"/>
      <c r="F694" s="11"/>
      <c r="G694" s="11"/>
      <c r="H694" s="11"/>
      <c r="I694" s="11"/>
      <c r="J694" s="25"/>
      <c r="K694" s="11"/>
      <c r="L694" s="11"/>
      <c r="M694" s="19">
        <v>0</v>
      </c>
      <c r="O694" s="6"/>
      <c r="P694" s="16">
        <v>0</v>
      </c>
      <c r="Q694" s="16">
        <v>252</v>
      </c>
      <c r="R694" s="22"/>
      <c r="S694" s="22">
        <f t="shared" si="20"/>
        <v>0</v>
      </c>
      <c r="T694" s="5" t="s">
        <v>1210</v>
      </c>
      <c r="U694" s="5" t="s">
        <v>1210</v>
      </c>
      <c r="Y694" s="8"/>
      <c r="Z694" s="8"/>
      <c r="AA694" s="8"/>
      <c r="AB694" s="8"/>
      <c r="AC694" s="8"/>
      <c r="AD694" s="8"/>
      <c r="AE694" s="25"/>
      <c r="AF694" s="11"/>
      <c r="AG694" s="25"/>
      <c r="AH694" s="11"/>
      <c r="AI694" s="11">
        <v>9</v>
      </c>
      <c r="AJ694" s="19">
        <v>57</v>
      </c>
      <c r="AK694" s="12">
        <f>(AJ694+AI694)/30*7</f>
        <v>15.400000000000002</v>
      </c>
      <c r="AL694" s="6">
        <f>IF(AK694-C694&lt;0,0,AK694-C694)</f>
        <v>0</v>
      </c>
      <c r="AM694" s="6">
        <f>IF(AL694-R694-S694&lt;0,0,AL694-R694-S694)</f>
        <v>0</v>
      </c>
      <c r="AN694" s="5" t="str">
        <f t="shared" si="21"/>
        <v/>
      </c>
      <c r="AO694" s="5">
        <v>0</v>
      </c>
      <c r="AP694" s="9"/>
      <c r="AQ694" s="5" t="s">
        <v>1210</v>
      </c>
      <c r="AR694" s="5" t="s">
        <v>1210</v>
      </c>
      <c r="AS694" s="8"/>
      <c r="AT694" s="8"/>
      <c r="AU694" s="8"/>
      <c r="AV694" s="8"/>
      <c r="AW694" s="8"/>
      <c r="AX694" s="8"/>
      <c r="AY694" s="8"/>
      <c r="AZ694" s="8"/>
    </row>
    <row r="695" spans="1:52">
      <c r="A695" s="5" t="s">
        <v>529</v>
      </c>
      <c r="B695" s="5">
        <v>1733</v>
      </c>
      <c r="C695" s="19">
        <v>465</v>
      </c>
      <c r="E695" s="14"/>
      <c r="F695" s="11"/>
      <c r="G695" s="11"/>
      <c r="H695" s="11"/>
      <c r="I695" s="11"/>
      <c r="J695" s="25"/>
      <c r="K695" s="11"/>
      <c r="L695" s="11"/>
      <c r="M695" s="19">
        <v>0</v>
      </c>
      <c r="O695" s="6"/>
      <c r="P695" s="16">
        <v>476</v>
      </c>
      <c r="Q695" s="16">
        <v>383</v>
      </c>
      <c r="R695" s="22"/>
      <c r="S695" s="22">
        <f t="shared" si="20"/>
        <v>0</v>
      </c>
      <c r="T695" s="5" t="s">
        <v>1210</v>
      </c>
      <c r="U695" s="5" t="s">
        <v>1210</v>
      </c>
      <c r="Y695" s="8"/>
      <c r="Z695" s="8"/>
      <c r="AA695" s="8"/>
      <c r="AB695" s="8"/>
      <c r="AC695" s="8"/>
      <c r="AD695" s="8"/>
      <c r="AE695" s="25"/>
      <c r="AF695" s="11"/>
      <c r="AG695" s="25"/>
      <c r="AH695" s="11"/>
      <c r="AI695" s="11">
        <v>87</v>
      </c>
      <c r="AJ695" s="19">
        <v>26</v>
      </c>
      <c r="AK695" s="12">
        <f>(AJ695+AI695)/30*7</f>
        <v>26.366666666666667</v>
      </c>
      <c r="AL695" s="6">
        <f>IF(AK695-C695&lt;0,0,AK695-C695)</f>
        <v>0</v>
      </c>
      <c r="AM695" s="6">
        <f>IF(AL695-R695-S695&lt;0,0,AL695-R695-S695)</f>
        <v>0</v>
      </c>
      <c r="AN695" s="5" t="str">
        <f t="shared" si="21"/>
        <v/>
      </c>
      <c r="AO695" s="5">
        <v>0</v>
      </c>
      <c r="AP695" s="9"/>
      <c r="AQ695" s="5" t="s">
        <v>1210</v>
      </c>
      <c r="AR695" s="5" t="s">
        <v>1210</v>
      </c>
      <c r="AS695" s="8"/>
      <c r="AT695" s="8"/>
      <c r="AU695" s="8"/>
      <c r="AV695" s="8"/>
      <c r="AW695" s="8"/>
      <c r="AX695" s="8"/>
      <c r="AY695" s="8"/>
      <c r="AZ695" s="8"/>
    </row>
    <row r="696" spans="1:52">
      <c r="A696" s="5" t="s">
        <v>459</v>
      </c>
      <c r="B696" s="5">
        <v>1404</v>
      </c>
      <c r="C696" s="19">
        <v>684</v>
      </c>
      <c r="E696" s="14"/>
      <c r="F696" s="11"/>
      <c r="G696" s="11"/>
      <c r="H696" s="11"/>
      <c r="I696" s="11"/>
      <c r="J696" s="25"/>
      <c r="K696" s="11"/>
      <c r="L696" s="11"/>
      <c r="M696" s="19">
        <v>0</v>
      </c>
      <c r="O696" s="6"/>
      <c r="P696" s="16">
        <v>925</v>
      </c>
      <c r="Q696" s="16">
        <v>957</v>
      </c>
      <c r="R696" s="22"/>
      <c r="S696" s="22">
        <f t="shared" si="20"/>
        <v>0</v>
      </c>
      <c r="T696" s="5" t="s">
        <v>1210</v>
      </c>
      <c r="U696" s="5" t="s">
        <v>1210</v>
      </c>
      <c r="Y696" s="8"/>
      <c r="Z696" s="8"/>
      <c r="AA696" s="8"/>
      <c r="AB696" s="8"/>
      <c r="AC696" s="8"/>
      <c r="AD696" s="8"/>
      <c r="AE696" s="25"/>
      <c r="AF696" s="11"/>
      <c r="AG696" s="25"/>
      <c r="AH696" s="11"/>
      <c r="AI696" s="11">
        <v>59</v>
      </c>
      <c r="AJ696" s="19">
        <v>32</v>
      </c>
      <c r="AK696" s="12">
        <f>(AJ696+AI696)/30*7</f>
        <v>21.233333333333334</v>
      </c>
      <c r="AL696" s="6">
        <f>IF(AK696-C696&lt;0,0,AK696-C696)</f>
        <v>0</v>
      </c>
      <c r="AM696" s="6">
        <f>IF(AL696-R696-S696&lt;0,0,AL696-R696-S696)</f>
        <v>0</v>
      </c>
      <c r="AN696" s="5" t="str">
        <f t="shared" si="21"/>
        <v/>
      </c>
      <c r="AO696" s="5">
        <v>0</v>
      </c>
      <c r="AP696" s="9"/>
      <c r="AQ696" s="5" t="s">
        <v>1210</v>
      </c>
      <c r="AR696" s="5" t="s">
        <v>1210</v>
      </c>
      <c r="AS696" s="8"/>
      <c r="AT696" s="8"/>
      <c r="AU696" s="8"/>
      <c r="AV696" s="8"/>
      <c r="AW696" s="8"/>
      <c r="AX696" s="8"/>
      <c r="AY696" s="8"/>
      <c r="AZ696" s="8"/>
    </row>
    <row r="697" spans="1:52">
      <c r="A697" s="5" t="s">
        <v>205</v>
      </c>
      <c r="B697" s="5">
        <v>770</v>
      </c>
      <c r="C697" s="19">
        <v>587</v>
      </c>
      <c r="E697" s="14"/>
      <c r="F697" s="11"/>
      <c r="G697" s="11"/>
      <c r="H697" s="11"/>
      <c r="I697" s="11"/>
      <c r="J697" s="25"/>
      <c r="K697" s="11"/>
      <c r="L697" s="11"/>
      <c r="M697" s="19">
        <v>0</v>
      </c>
      <c r="O697" s="6"/>
      <c r="P697" s="16">
        <v>962</v>
      </c>
      <c r="Q697" s="16">
        <v>0</v>
      </c>
      <c r="R697" s="22"/>
      <c r="S697" s="22">
        <f t="shared" si="20"/>
        <v>0</v>
      </c>
      <c r="T697" s="5" t="s">
        <v>1210</v>
      </c>
      <c r="U697" s="5" t="s">
        <v>1210</v>
      </c>
      <c r="Y697" s="8"/>
      <c r="Z697" s="8"/>
      <c r="AA697" s="8"/>
      <c r="AB697" s="8"/>
      <c r="AC697" s="8"/>
      <c r="AD697" s="8"/>
      <c r="AE697" s="25"/>
      <c r="AF697" s="11"/>
      <c r="AG697" s="25"/>
      <c r="AH697" s="11"/>
      <c r="AI697" s="11">
        <v>75</v>
      </c>
      <c r="AJ697" s="19">
        <v>41</v>
      </c>
      <c r="AK697" s="12">
        <f>(AJ697+AI697)/30*7</f>
        <v>27.066666666666666</v>
      </c>
      <c r="AL697" s="6">
        <f>IF(AK697-C697&lt;0,0,AK697-C697)</f>
        <v>0</v>
      </c>
      <c r="AM697" s="6">
        <f>IF(AL697-R697-S697&lt;0,0,AL697-R697-S697)</f>
        <v>0</v>
      </c>
      <c r="AN697" s="5" t="str">
        <f t="shared" si="21"/>
        <v/>
      </c>
      <c r="AO697" s="5">
        <v>0</v>
      </c>
      <c r="AP697" s="9"/>
      <c r="AQ697" s="5" t="s">
        <v>1210</v>
      </c>
      <c r="AR697" s="5" t="s">
        <v>1210</v>
      </c>
      <c r="AS697" s="8"/>
      <c r="AT697" s="8"/>
      <c r="AU697" s="8"/>
      <c r="AV697" s="8"/>
      <c r="AW697" s="8"/>
      <c r="AX697" s="8"/>
      <c r="AY697" s="8"/>
      <c r="AZ697" s="8"/>
    </row>
    <row r="698" spans="1:52">
      <c r="A698" s="5" t="s">
        <v>223</v>
      </c>
      <c r="B698" s="5">
        <v>882</v>
      </c>
      <c r="C698" s="19">
        <v>916</v>
      </c>
      <c r="E698" s="14"/>
      <c r="F698" s="11"/>
      <c r="G698" s="11"/>
      <c r="H698" s="11"/>
      <c r="I698" s="11"/>
      <c r="J698" s="25"/>
      <c r="K698" s="11"/>
      <c r="L698" s="11"/>
      <c r="M698" s="19">
        <v>0</v>
      </c>
      <c r="O698" s="6"/>
      <c r="P698" s="16">
        <v>737</v>
      </c>
      <c r="Q698" s="16">
        <v>217</v>
      </c>
      <c r="R698" s="22"/>
      <c r="S698" s="22">
        <f t="shared" si="20"/>
        <v>0</v>
      </c>
      <c r="T698" s="5" t="s">
        <v>1210</v>
      </c>
      <c r="U698" s="5" t="s">
        <v>1210</v>
      </c>
      <c r="Y698" s="8"/>
      <c r="Z698" s="8"/>
      <c r="AA698" s="8"/>
      <c r="AB698" s="8"/>
      <c r="AC698" s="8"/>
      <c r="AD698" s="8"/>
      <c r="AE698" s="25"/>
      <c r="AF698" s="11"/>
      <c r="AG698" s="25"/>
      <c r="AH698" s="11"/>
      <c r="AI698" s="11">
        <v>63</v>
      </c>
      <c r="AJ698" s="19">
        <v>83</v>
      </c>
      <c r="AK698" s="12">
        <f>(AJ698+AI698)/30*7</f>
        <v>34.066666666666663</v>
      </c>
      <c r="AL698" s="6">
        <f>IF(AK698-C698&lt;0,0,AK698-C698)</f>
        <v>0</v>
      </c>
      <c r="AM698" s="6">
        <f>IF(AL698-R698-S698&lt;0,0,AL698-R698-S698)</f>
        <v>0</v>
      </c>
      <c r="AN698" s="5" t="str">
        <f t="shared" si="21"/>
        <v/>
      </c>
      <c r="AO698" s="5">
        <v>0</v>
      </c>
      <c r="AP698" s="9"/>
      <c r="AQ698" s="5" t="s">
        <v>1210</v>
      </c>
      <c r="AR698" s="5" t="s">
        <v>1210</v>
      </c>
      <c r="AS698" s="8"/>
      <c r="AT698" s="8"/>
      <c r="AU698" s="8"/>
      <c r="AV698" s="8"/>
      <c r="AW698" s="8"/>
      <c r="AX698" s="8"/>
      <c r="AY698" s="8"/>
      <c r="AZ698" s="8"/>
    </row>
    <row r="699" spans="1:52">
      <c r="A699" s="5" t="s">
        <v>143</v>
      </c>
      <c r="B699" s="5">
        <v>1322</v>
      </c>
      <c r="C699" s="19">
        <v>993</v>
      </c>
      <c r="E699" s="14"/>
      <c r="F699" s="11"/>
      <c r="G699" s="11"/>
      <c r="H699" s="11"/>
      <c r="I699" s="11"/>
      <c r="J699" s="25"/>
      <c r="K699" s="11"/>
      <c r="L699" s="11"/>
      <c r="M699" s="19">
        <v>0</v>
      </c>
      <c r="O699" s="6"/>
      <c r="P699" s="16">
        <v>890</v>
      </c>
      <c r="Q699" s="16">
        <v>0</v>
      </c>
      <c r="R699" s="22"/>
      <c r="S699" s="22">
        <f t="shared" si="20"/>
        <v>0</v>
      </c>
      <c r="T699" s="5" t="s">
        <v>1210</v>
      </c>
      <c r="U699" s="5" t="s">
        <v>1210</v>
      </c>
      <c r="Y699" s="8"/>
      <c r="Z699" s="8"/>
      <c r="AA699" s="8"/>
      <c r="AB699" s="8"/>
      <c r="AC699" s="8"/>
      <c r="AD699" s="8"/>
      <c r="AE699" s="25"/>
      <c r="AF699" s="11"/>
      <c r="AG699" s="25"/>
      <c r="AH699" s="11"/>
      <c r="AI699" s="11">
        <v>7</v>
      </c>
      <c r="AJ699" s="19">
        <v>66</v>
      </c>
      <c r="AK699" s="12">
        <f>(AJ699+AI699)/30*7</f>
        <v>17.033333333333331</v>
      </c>
      <c r="AL699" s="6">
        <f>IF(AK699-C699&lt;0,0,AK699-C699)</f>
        <v>0</v>
      </c>
      <c r="AM699" s="6">
        <f>IF(AL699-R699-S699&lt;0,0,AL699-R699-S699)</f>
        <v>0</v>
      </c>
      <c r="AN699" s="5" t="str">
        <f t="shared" si="21"/>
        <v/>
      </c>
      <c r="AO699" s="5">
        <v>0</v>
      </c>
      <c r="AP699" s="9"/>
      <c r="AQ699" s="5" t="s">
        <v>1210</v>
      </c>
      <c r="AR699" s="5" t="s">
        <v>1210</v>
      </c>
      <c r="AS699" s="8"/>
      <c r="AT699" s="8"/>
      <c r="AU699" s="8"/>
      <c r="AV699" s="8"/>
      <c r="AW699" s="8"/>
      <c r="AX699" s="8"/>
      <c r="AY699" s="8"/>
      <c r="AZ699" s="8"/>
    </row>
    <row r="700" spans="1:52">
      <c r="A700" s="5" t="s">
        <v>443</v>
      </c>
      <c r="B700" s="5">
        <v>1731</v>
      </c>
      <c r="C700" s="19">
        <v>699</v>
      </c>
      <c r="E700" s="14"/>
      <c r="F700" s="11"/>
      <c r="G700" s="11"/>
      <c r="H700" s="11"/>
      <c r="I700" s="11"/>
      <c r="J700" s="25"/>
      <c r="K700" s="11"/>
      <c r="L700" s="11"/>
      <c r="M700" s="19">
        <v>0</v>
      </c>
      <c r="O700" s="6"/>
      <c r="P700" s="16">
        <v>564</v>
      </c>
      <c r="Q700" s="16">
        <v>289</v>
      </c>
      <c r="R700" s="22"/>
      <c r="S700" s="22">
        <f t="shared" si="20"/>
        <v>0</v>
      </c>
      <c r="T700" s="5" t="s">
        <v>1210</v>
      </c>
      <c r="U700" s="5" t="s">
        <v>1210</v>
      </c>
      <c r="Y700" s="8"/>
      <c r="Z700" s="8"/>
      <c r="AA700" s="8"/>
      <c r="AB700" s="8"/>
      <c r="AC700" s="8"/>
      <c r="AD700" s="8"/>
      <c r="AE700" s="25"/>
      <c r="AF700" s="11"/>
      <c r="AG700" s="25"/>
      <c r="AH700" s="11"/>
      <c r="AI700" s="11">
        <v>13</v>
      </c>
      <c r="AJ700" s="19">
        <v>60</v>
      </c>
      <c r="AK700" s="12">
        <f>(AJ700+AI700)/30*7</f>
        <v>17.033333333333331</v>
      </c>
      <c r="AL700" s="6">
        <f>IF(AK700-C700&lt;0,0,AK700-C700)</f>
        <v>0</v>
      </c>
      <c r="AM700" s="6">
        <f>IF(AL700-R700-S700&lt;0,0,AL700-R700-S700)</f>
        <v>0</v>
      </c>
      <c r="AN700" s="5" t="str">
        <f t="shared" si="21"/>
        <v/>
      </c>
      <c r="AO700" s="5">
        <v>0</v>
      </c>
      <c r="AP700" s="9"/>
      <c r="AQ700" s="5" t="s">
        <v>1210</v>
      </c>
      <c r="AR700" s="5" t="s">
        <v>1210</v>
      </c>
      <c r="AS700" s="8"/>
      <c r="AT700" s="8"/>
      <c r="AU700" s="8"/>
      <c r="AV700" s="8"/>
      <c r="AW700" s="8"/>
      <c r="AX700" s="8"/>
      <c r="AY700" s="8"/>
      <c r="AZ700" s="8"/>
    </row>
    <row r="701" spans="1:52">
      <c r="A701" s="5" t="s">
        <v>203</v>
      </c>
      <c r="B701" s="5">
        <v>1337</v>
      </c>
      <c r="C701" s="19">
        <v>722</v>
      </c>
      <c r="E701" s="14"/>
      <c r="F701" s="11"/>
      <c r="G701" s="11"/>
      <c r="H701" s="11"/>
      <c r="I701" s="11"/>
      <c r="J701" s="25"/>
      <c r="K701" s="11"/>
      <c r="L701" s="11"/>
      <c r="M701" s="19">
        <v>0</v>
      </c>
      <c r="O701" s="6"/>
      <c r="P701" s="16">
        <v>538</v>
      </c>
      <c r="Q701" s="16">
        <v>910</v>
      </c>
      <c r="R701" s="22"/>
      <c r="S701" s="22">
        <f t="shared" si="20"/>
        <v>0</v>
      </c>
      <c r="U701" s="5" t="s">
        <v>1210</v>
      </c>
      <c r="Y701" s="8"/>
      <c r="Z701" s="8"/>
      <c r="AA701" s="8"/>
      <c r="AB701" s="8"/>
      <c r="AC701" s="8"/>
      <c r="AD701" s="8"/>
      <c r="AE701" s="25"/>
      <c r="AF701" s="11"/>
      <c r="AG701" s="25"/>
      <c r="AH701" s="11"/>
      <c r="AI701" s="11">
        <v>67</v>
      </c>
      <c r="AJ701" s="19">
        <v>83</v>
      </c>
      <c r="AK701" s="12">
        <f>(AJ701+AI701)/30*7</f>
        <v>35</v>
      </c>
      <c r="AL701" s="6">
        <f>IF(AK701-C701&lt;0,0,AK701-C701)</f>
        <v>0</v>
      </c>
      <c r="AM701" s="6">
        <f>IF(AL701-R701-S701&lt;0,0,AL701-R701-S701)</f>
        <v>0</v>
      </c>
      <c r="AN701" s="5" t="str">
        <f t="shared" si="21"/>
        <v/>
      </c>
      <c r="AO701" s="5">
        <v>8</v>
      </c>
      <c r="AP701" s="9"/>
      <c r="AQ701" s="5" t="s">
        <v>1210</v>
      </c>
      <c r="AR701" s="5" t="s">
        <v>1210</v>
      </c>
      <c r="AS701" s="8"/>
      <c r="AT701" s="8"/>
      <c r="AU701" s="8"/>
      <c r="AV701" s="8"/>
      <c r="AW701" s="8"/>
      <c r="AX701" s="8"/>
      <c r="AY701" s="8"/>
      <c r="AZ701" s="8"/>
    </row>
    <row r="702" spans="1:52">
      <c r="A702" s="5" t="s">
        <v>646</v>
      </c>
      <c r="B702" s="5">
        <v>802</v>
      </c>
      <c r="C702" s="19">
        <v>836</v>
      </c>
      <c r="E702" s="14"/>
      <c r="F702" s="11"/>
      <c r="G702" s="11"/>
      <c r="H702" s="11"/>
      <c r="I702" s="11"/>
      <c r="J702" s="25"/>
      <c r="K702" s="11"/>
      <c r="L702" s="11"/>
      <c r="M702" s="19">
        <v>0</v>
      </c>
      <c r="O702" s="6"/>
      <c r="P702" s="16">
        <v>0</v>
      </c>
      <c r="Q702" s="16">
        <v>0</v>
      </c>
      <c r="R702" s="22"/>
      <c r="S702" s="22">
        <f t="shared" si="20"/>
        <v>0</v>
      </c>
      <c r="T702" s="5" t="s">
        <v>1210</v>
      </c>
      <c r="U702" s="5" t="s">
        <v>1210</v>
      </c>
      <c r="Y702" s="8"/>
      <c r="Z702" s="8"/>
      <c r="AA702" s="8"/>
      <c r="AB702" s="8"/>
      <c r="AC702" s="8"/>
      <c r="AD702" s="8"/>
      <c r="AE702" s="25"/>
      <c r="AF702" s="11"/>
      <c r="AG702" s="25"/>
      <c r="AH702" s="11"/>
      <c r="AI702" s="11">
        <v>51</v>
      </c>
      <c r="AJ702" s="19">
        <v>0</v>
      </c>
      <c r="AK702" s="12">
        <f>(AJ702+AI702)/30*7</f>
        <v>11.9</v>
      </c>
      <c r="AL702" s="6">
        <f>IF(AK702-C702&lt;0,0,AK702-C702)</f>
        <v>0</v>
      </c>
      <c r="AM702" s="6">
        <f>IF(AL702-R702-S702&lt;0,0,AL702-R702-S702)</f>
        <v>0</v>
      </c>
      <c r="AN702" s="5" t="str">
        <f t="shared" si="21"/>
        <v/>
      </c>
      <c r="AO702" s="5">
        <v>0</v>
      </c>
      <c r="AP702" s="9"/>
      <c r="AQ702" s="5" t="s">
        <v>1210</v>
      </c>
      <c r="AR702" s="5" t="s">
        <v>1210</v>
      </c>
      <c r="AS702" s="8"/>
      <c r="AT702" s="8"/>
      <c r="AU702" s="8"/>
      <c r="AV702" s="8"/>
      <c r="AW702" s="8"/>
      <c r="AX702" s="8"/>
      <c r="AY702" s="8"/>
      <c r="AZ702" s="8"/>
    </row>
    <row r="703" spans="1:52">
      <c r="A703" s="5" t="s">
        <v>1065</v>
      </c>
      <c r="B703" s="5">
        <v>2173</v>
      </c>
      <c r="C703" s="19">
        <v>209</v>
      </c>
      <c r="E703" s="14"/>
      <c r="F703" s="11"/>
      <c r="G703" s="11"/>
      <c r="H703" s="11"/>
      <c r="I703" s="11"/>
      <c r="J703" s="25"/>
      <c r="K703" s="11"/>
      <c r="L703" s="11"/>
      <c r="M703" s="19">
        <v>6</v>
      </c>
      <c r="O703" s="6"/>
      <c r="P703" s="16">
        <v>437</v>
      </c>
      <c r="Q703" s="16">
        <v>0</v>
      </c>
      <c r="R703" s="22"/>
      <c r="S703" s="22">
        <f t="shared" si="20"/>
        <v>0</v>
      </c>
      <c r="T703" s="5" t="s">
        <v>1210</v>
      </c>
      <c r="U703" s="5" t="s">
        <v>1210</v>
      </c>
      <c r="Y703" s="8"/>
      <c r="Z703" s="8"/>
      <c r="AA703" s="8"/>
      <c r="AB703" s="8"/>
      <c r="AC703" s="8"/>
      <c r="AD703" s="8"/>
      <c r="AE703" s="25"/>
      <c r="AF703" s="11"/>
      <c r="AG703" s="25"/>
      <c r="AH703" s="11"/>
      <c r="AI703" s="11">
        <v>63</v>
      </c>
      <c r="AJ703" s="19">
        <v>26</v>
      </c>
      <c r="AK703" s="12">
        <f>(AJ703+AI703)/30*7</f>
        <v>20.766666666666666</v>
      </c>
      <c r="AL703" s="6">
        <f>IF(AK703-C703&lt;0,0,AK703-C703)</f>
        <v>0</v>
      </c>
      <c r="AM703" s="6">
        <f>IF(AL703-R703-S703&lt;0,0,AL703-R703-S703)</f>
        <v>0</v>
      </c>
      <c r="AN703" s="5" t="str">
        <f t="shared" si="21"/>
        <v/>
      </c>
      <c r="AO703" s="5">
        <v>0</v>
      </c>
      <c r="AP703" s="9"/>
      <c r="AQ703" s="5" t="s">
        <v>1210</v>
      </c>
      <c r="AR703" s="5" t="s">
        <v>1210</v>
      </c>
      <c r="AS703" s="8"/>
      <c r="AT703" s="8"/>
      <c r="AU703" s="8"/>
      <c r="AV703" s="8"/>
      <c r="AW703" s="8"/>
      <c r="AX703" s="8"/>
      <c r="AY703" s="8"/>
      <c r="AZ703" s="8"/>
    </row>
    <row r="704" spans="1:52">
      <c r="A704" s="5" t="s">
        <v>677</v>
      </c>
      <c r="B704" s="5">
        <v>1428</v>
      </c>
      <c r="C704" s="19">
        <v>549</v>
      </c>
      <c r="E704" s="14"/>
      <c r="F704" s="11"/>
      <c r="G704" s="11"/>
      <c r="H704" s="11"/>
      <c r="I704" s="11"/>
      <c r="J704" s="25"/>
      <c r="K704" s="11"/>
      <c r="L704" s="11"/>
      <c r="M704" s="19">
        <v>0</v>
      </c>
      <c r="O704" s="6"/>
      <c r="P704" s="16">
        <v>0</v>
      </c>
      <c r="Q704" s="16">
        <v>0</v>
      </c>
      <c r="R704" s="22"/>
      <c r="S704" s="22">
        <f t="shared" si="20"/>
        <v>0</v>
      </c>
      <c r="T704" s="5">
        <v>1053</v>
      </c>
      <c r="U704" s="5">
        <v>765</v>
      </c>
      <c r="Y704" s="8"/>
      <c r="Z704" s="8"/>
      <c r="AA704" s="8"/>
      <c r="AB704" s="8"/>
      <c r="AC704" s="8"/>
      <c r="AD704" s="8"/>
      <c r="AE704" s="25"/>
      <c r="AF704" s="11"/>
      <c r="AG704" s="25"/>
      <c r="AH704" s="11"/>
      <c r="AI704" s="11">
        <v>50</v>
      </c>
      <c r="AJ704" s="19">
        <v>0</v>
      </c>
      <c r="AK704" s="12">
        <f>(AJ704+AI704)/30*7</f>
        <v>11.666666666666668</v>
      </c>
      <c r="AL704" s="6">
        <f>IF(AK704-C704&lt;0,0,AK704-C704)</f>
        <v>0</v>
      </c>
      <c r="AM704" s="6">
        <f>IF(AL704-R704-S704&lt;0,0,AL704-R704-S704)</f>
        <v>0</v>
      </c>
      <c r="AN704" s="5" t="str">
        <f t="shared" si="21"/>
        <v/>
      </c>
      <c r="AO704" s="5">
        <v>0</v>
      </c>
      <c r="AP704" s="9"/>
      <c r="AQ704" s="5" t="s">
        <v>1210</v>
      </c>
      <c r="AR704" s="5" t="s">
        <v>1210</v>
      </c>
      <c r="AS704" s="8"/>
      <c r="AT704" s="8"/>
      <c r="AU704" s="8"/>
      <c r="AV704" s="8"/>
      <c r="AW704" s="8"/>
      <c r="AX704" s="8"/>
      <c r="AY704" s="8"/>
      <c r="AZ704" s="8"/>
    </row>
    <row r="705" spans="1:52">
      <c r="A705" s="5" t="s">
        <v>966</v>
      </c>
      <c r="B705" s="5">
        <v>2190</v>
      </c>
      <c r="C705" s="19">
        <v>225</v>
      </c>
      <c r="E705" s="14"/>
      <c r="F705" s="11"/>
      <c r="G705" s="11"/>
      <c r="H705" s="11"/>
      <c r="I705" s="11"/>
      <c r="J705" s="25"/>
      <c r="K705" s="11"/>
      <c r="L705" s="11"/>
      <c r="M705" s="19">
        <v>1</v>
      </c>
      <c r="O705" s="6"/>
      <c r="P705" s="16">
        <v>559</v>
      </c>
      <c r="Q705" s="16">
        <v>0</v>
      </c>
      <c r="R705" s="22"/>
      <c r="S705" s="22">
        <f t="shared" si="20"/>
        <v>0</v>
      </c>
      <c r="T705" s="5" t="s">
        <v>1210</v>
      </c>
      <c r="U705" s="5" t="s">
        <v>1210</v>
      </c>
      <c r="Y705" s="8"/>
      <c r="Z705" s="8"/>
      <c r="AA705" s="8"/>
      <c r="AB705" s="8"/>
      <c r="AC705" s="8"/>
      <c r="AD705" s="8"/>
      <c r="AE705" s="25"/>
      <c r="AF705" s="11"/>
      <c r="AG705" s="25"/>
      <c r="AH705" s="11"/>
      <c r="AI705" s="11">
        <v>62</v>
      </c>
      <c r="AJ705" s="19">
        <v>35</v>
      </c>
      <c r="AK705" s="12">
        <f>(AJ705+AI705)/30*7</f>
        <v>22.633333333333333</v>
      </c>
      <c r="AL705" s="6">
        <f>IF(AK705-C705&lt;0,0,AK705-C705)</f>
        <v>0</v>
      </c>
      <c r="AM705" s="6">
        <f>IF(AL705-R705-S705&lt;0,0,AL705-R705-S705)</f>
        <v>0</v>
      </c>
      <c r="AN705" s="5" t="str">
        <f t="shared" si="21"/>
        <v/>
      </c>
      <c r="AO705" s="5">
        <v>0</v>
      </c>
      <c r="AP705" s="9"/>
      <c r="AQ705" s="5" t="s">
        <v>1210</v>
      </c>
      <c r="AR705" s="5" t="s">
        <v>1210</v>
      </c>
      <c r="AS705" s="8"/>
      <c r="AT705" s="8"/>
      <c r="AU705" s="8"/>
      <c r="AV705" s="8"/>
      <c r="AW705" s="8"/>
      <c r="AX705" s="8"/>
      <c r="AY705" s="8"/>
      <c r="AZ705" s="8"/>
    </row>
    <row r="706" spans="1:52">
      <c r="A706" s="5" t="s">
        <v>371</v>
      </c>
      <c r="B706" s="5" t="s">
        <v>1148</v>
      </c>
      <c r="C706" s="19">
        <v>853</v>
      </c>
      <c r="E706" s="14"/>
      <c r="F706" s="11"/>
      <c r="G706" s="11"/>
      <c r="H706" s="11"/>
      <c r="I706" s="11"/>
      <c r="J706" s="25"/>
      <c r="K706" s="11"/>
      <c r="L706" s="11"/>
      <c r="M706" s="19">
        <v>3</v>
      </c>
      <c r="O706" s="6"/>
      <c r="P706" s="16">
        <v>486</v>
      </c>
      <c r="Q706" s="16">
        <v>0</v>
      </c>
      <c r="R706" s="22"/>
      <c r="S706" s="22">
        <f t="shared" si="20"/>
        <v>0</v>
      </c>
      <c r="T706" s="5" t="s">
        <v>1210</v>
      </c>
      <c r="U706" s="5" t="s">
        <v>1210</v>
      </c>
      <c r="Y706" s="8"/>
      <c r="Z706" s="8"/>
      <c r="AA706" s="8"/>
      <c r="AB706" s="8"/>
      <c r="AC706" s="8"/>
      <c r="AD706" s="8"/>
      <c r="AE706" s="25"/>
      <c r="AF706" s="11"/>
      <c r="AG706" s="25"/>
      <c r="AH706" s="11"/>
      <c r="AI706" s="11">
        <v>70</v>
      </c>
      <c r="AJ706" s="19">
        <v>31</v>
      </c>
      <c r="AK706" s="12">
        <f>(AJ706+AI706)/30*7</f>
        <v>23.566666666666666</v>
      </c>
      <c r="AL706" s="6">
        <f>IF(AK706-C706&lt;0,0,AK706-C706)</f>
        <v>0</v>
      </c>
      <c r="AM706" s="6">
        <f>IF(AL706-R706-S706&lt;0,0,AL706-R706-S706)</f>
        <v>0</v>
      </c>
      <c r="AN706" s="5" t="str">
        <f t="shared" si="21"/>
        <v/>
      </c>
      <c r="AO706" s="5">
        <v>0</v>
      </c>
      <c r="AP706" s="9"/>
      <c r="AQ706" s="5" t="s">
        <v>1210</v>
      </c>
      <c r="AR706" s="5" t="s">
        <v>1210</v>
      </c>
      <c r="AS706" s="8"/>
      <c r="AT706" s="8"/>
      <c r="AU706" s="8"/>
      <c r="AV706" s="8"/>
      <c r="AW706" s="8"/>
      <c r="AX706" s="8"/>
      <c r="AY706" s="8"/>
      <c r="AZ706" s="8"/>
    </row>
    <row r="707" spans="1:52">
      <c r="A707" s="5" t="s">
        <v>276</v>
      </c>
      <c r="B707" s="5">
        <v>892</v>
      </c>
      <c r="C707" s="19">
        <v>908</v>
      </c>
      <c r="E707" s="14"/>
      <c r="F707" s="11"/>
      <c r="G707" s="11"/>
      <c r="H707" s="11"/>
      <c r="I707" s="11"/>
      <c r="J707" s="25"/>
      <c r="K707" s="11"/>
      <c r="L707" s="11"/>
      <c r="M707" s="19">
        <v>0</v>
      </c>
      <c r="O707" s="6"/>
      <c r="P707" s="16">
        <v>536</v>
      </c>
      <c r="Q707" s="16">
        <v>469</v>
      </c>
      <c r="R707" s="22"/>
      <c r="S707" s="22">
        <f t="shared" si="20"/>
        <v>0</v>
      </c>
      <c r="T707" s="5" t="s">
        <v>1210</v>
      </c>
      <c r="U707" s="5" t="s">
        <v>1210</v>
      </c>
      <c r="Y707" s="8"/>
      <c r="Z707" s="8"/>
      <c r="AA707" s="8"/>
      <c r="AB707" s="8"/>
      <c r="AC707" s="8"/>
      <c r="AD707" s="8"/>
      <c r="AE707" s="25"/>
      <c r="AF707" s="11"/>
      <c r="AG707" s="25"/>
      <c r="AH707" s="11"/>
      <c r="AI707" s="11">
        <v>89</v>
      </c>
      <c r="AJ707" s="19">
        <v>16</v>
      </c>
      <c r="AK707" s="12">
        <f>(AJ707+AI707)/30*7</f>
        <v>24.5</v>
      </c>
      <c r="AL707" s="6">
        <f>IF(AK707-C707&lt;0,0,AK707-C707)</f>
        <v>0</v>
      </c>
      <c r="AM707" s="6">
        <f>IF(AL707-R707-S707&lt;0,0,AL707-R707-S707)</f>
        <v>0</v>
      </c>
      <c r="AN707" s="5" t="str">
        <f t="shared" si="21"/>
        <v/>
      </c>
      <c r="AO707" s="5">
        <v>0</v>
      </c>
      <c r="AP707" s="9"/>
      <c r="AQ707" s="5" t="s">
        <v>1210</v>
      </c>
      <c r="AR707" s="5" t="s">
        <v>1230</v>
      </c>
      <c r="AS707" s="8"/>
      <c r="AT707" s="8"/>
      <c r="AU707" s="8"/>
      <c r="AV707" s="8"/>
      <c r="AW707" s="8"/>
      <c r="AX707" s="8"/>
      <c r="AY707" s="8"/>
      <c r="AZ707" s="8"/>
    </row>
    <row r="708" spans="1:52">
      <c r="A708" s="5" t="s">
        <v>49</v>
      </c>
      <c r="B708" s="5">
        <v>1650</v>
      </c>
      <c r="C708" s="19">
        <v>941</v>
      </c>
      <c r="E708" s="14"/>
      <c r="F708" s="11"/>
      <c r="G708" s="11"/>
      <c r="H708" s="11"/>
      <c r="I708" s="11"/>
      <c r="J708" s="25"/>
      <c r="K708" s="11"/>
      <c r="L708" s="11"/>
      <c r="M708" s="19">
        <v>0</v>
      </c>
      <c r="O708" s="6"/>
      <c r="P708" s="16">
        <v>963</v>
      </c>
      <c r="Q708" s="16">
        <v>0</v>
      </c>
      <c r="R708" s="22"/>
      <c r="S708" s="22">
        <f t="shared" ref="S708:S771" si="22">IF(AL708&gt;0,IF(Q708&gt;=AL708,ROUND(AL708,0),Q708),0)</f>
        <v>0</v>
      </c>
      <c r="T708" s="5" t="s">
        <v>1210</v>
      </c>
      <c r="U708" s="5" t="s">
        <v>1210</v>
      </c>
      <c r="Y708" s="8"/>
      <c r="Z708" s="8"/>
      <c r="AA708" s="8"/>
      <c r="AB708" s="8"/>
      <c r="AC708" s="8"/>
      <c r="AD708" s="8"/>
      <c r="AE708" s="25"/>
      <c r="AF708" s="11"/>
      <c r="AG708" s="25"/>
      <c r="AH708" s="11"/>
      <c r="AI708" s="11">
        <v>40</v>
      </c>
      <c r="AJ708" s="19">
        <v>112</v>
      </c>
      <c r="AK708" s="12">
        <f>(AJ708+AI708)/30*7</f>
        <v>35.466666666666669</v>
      </c>
      <c r="AL708" s="6">
        <f>IF(AK708-C708&lt;0,0,AK708-C708)</f>
        <v>0</v>
      </c>
      <c r="AM708" s="6">
        <f>IF(AL708-R708-S708&lt;0,0,AL708-R708-S708)</f>
        <v>0</v>
      </c>
      <c r="AN708" s="5" t="str">
        <f t="shared" ref="AN708:AN771" si="23">IF(AM708&gt;0,IF(LEN(U708)=0,IF(ROUND(AM708-AO708,0)&gt;0,ROUND(AM708-AO708,0),""),IF(U708+AO708&gt;=AM708,"",ROUND(AM708-U708-AO708,0))),"")</f>
        <v/>
      </c>
      <c r="AO708" s="5">
        <v>0</v>
      </c>
      <c r="AP708" s="9"/>
      <c r="AQ708" s="5" t="s">
        <v>1210</v>
      </c>
      <c r="AR708" s="5" t="s">
        <v>1210</v>
      </c>
      <c r="AS708" s="8"/>
      <c r="AT708" s="8"/>
      <c r="AU708" s="8"/>
      <c r="AV708" s="8"/>
      <c r="AW708" s="8"/>
      <c r="AX708" s="8"/>
      <c r="AY708" s="8"/>
      <c r="AZ708" s="8"/>
    </row>
    <row r="709" spans="1:52">
      <c r="A709" s="5" t="s">
        <v>426</v>
      </c>
      <c r="B709" s="5">
        <v>875</v>
      </c>
      <c r="C709" s="19">
        <v>233</v>
      </c>
      <c r="E709" s="14"/>
      <c r="F709" s="11"/>
      <c r="G709" s="11"/>
      <c r="H709" s="11"/>
      <c r="I709" s="11"/>
      <c r="J709" s="25"/>
      <c r="K709" s="11"/>
      <c r="L709" s="11"/>
      <c r="M709" s="19">
        <v>0</v>
      </c>
      <c r="O709" s="6"/>
      <c r="P709" s="16">
        <v>776</v>
      </c>
      <c r="Q709" s="16">
        <v>556</v>
      </c>
      <c r="R709" s="22"/>
      <c r="S709" s="22">
        <f t="shared" si="22"/>
        <v>0</v>
      </c>
      <c r="T709" s="5" t="s">
        <v>1210</v>
      </c>
      <c r="U709" s="5" t="s">
        <v>1210</v>
      </c>
      <c r="Y709" s="8"/>
      <c r="Z709" s="8"/>
      <c r="AA709" s="8"/>
      <c r="AB709" s="8"/>
      <c r="AC709" s="8"/>
      <c r="AD709" s="8"/>
      <c r="AE709" s="25"/>
      <c r="AF709" s="11"/>
      <c r="AG709" s="25"/>
      <c r="AH709" s="11"/>
      <c r="AI709" s="11">
        <v>30</v>
      </c>
      <c r="AJ709" s="19">
        <v>2</v>
      </c>
      <c r="AK709" s="12">
        <f>(AJ709+AI709)/30*7</f>
        <v>7.4666666666666668</v>
      </c>
      <c r="AL709" s="6">
        <f>IF(AK709-C709&lt;0,0,AK709-C709)</f>
        <v>0</v>
      </c>
      <c r="AM709" s="6">
        <f>IF(AL709-R709-S709&lt;0,0,AL709-R709-S709)</f>
        <v>0</v>
      </c>
      <c r="AN709" s="5" t="str">
        <f t="shared" si="23"/>
        <v/>
      </c>
      <c r="AO709" s="5">
        <v>0</v>
      </c>
      <c r="AP709" s="9"/>
      <c r="AQ709" s="5" t="s">
        <v>1210</v>
      </c>
      <c r="AR709" s="5" t="s">
        <v>1230</v>
      </c>
      <c r="AS709" s="8"/>
      <c r="AT709" s="8"/>
      <c r="AU709" s="8"/>
      <c r="AV709" s="8"/>
      <c r="AW709" s="8"/>
      <c r="AX709" s="8"/>
      <c r="AY709" s="8"/>
      <c r="AZ709" s="8"/>
    </row>
    <row r="710" spans="1:52">
      <c r="A710" s="5" t="s">
        <v>321</v>
      </c>
      <c r="B710" s="5">
        <v>1554</v>
      </c>
      <c r="C710" s="19">
        <v>628</v>
      </c>
      <c r="E710" s="14"/>
      <c r="F710" s="11"/>
      <c r="G710" s="11"/>
      <c r="H710" s="11"/>
      <c r="I710" s="11"/>
      <c r="J710" s="25"/>
      <c r="K710" s="11"/>
      <c r="L710" s="11"/>
      <c r="M710" s="19">
        <v>1</v>
      </c>
      <c r="O710" s="6"/>
      <c r="P710" s="16">
        <v>851</v>
      </c>
      <c r="Q710" s="16">
        <v>467</v>
      </c>
      <c r="R710" s="22"/>
      <c r="S710" s="22">
        <f t="shared" si="22"/>
        <v>0</v>
      </c>
      <c r="T710" s="5" t="s">
        <v>1210</v>
      </c>
      <c r="U710" s="5" t="s">
        <v>1210</v>
      </c>
      <c r="Y710" s="8"/>
      <c r="Z710" s="8"/>
      <c r="AA710" s="8"/>
      <c r="AB710" s="8"/>
      <c r="AC710" s="8"/>
      <c r="AD710" s="8"/>
      <c r="AE710" s="25"/>
      <c r="AF710" s="11"/>
      <c r="AG710" s="25"/>
      <c r="AH710" s="11"/>
      <c r="AI710" s="11">
        <v>38</v>
      </c>
      <c r="AJ710" s="19">
        <v>41</v>
      </c>
      <c r="AK710" s="12">
        <f>(AJ710+AI710)/30*7</f>
        <v>18.433333333333334</v>
      </c>
      <c r="AL710" s="6">
        <f>IF(AK710-C710&lt;0,0,AK710-C710)</f>
        <v>0</v>
      </c>
      <c r="AM710" s="6">
        <f>IF(AL710-R710-S710&lt;0,0,AL710-R710-S710)</f>
        <v>0</v>
      </c>
      <c r="AN710" s="5" t="str">
        <f t="shared" si="23"/>
        <v/>
      </c>
      <c r="AO710" s="5">
        <v>0</v>
      </c>
      <c r="AP710" s="9"/>
      <c r="AQ710" s="5" t="s">
        <v>1210</v>
      </c>
      <c r="AR710" s="5" t="s">
        <v>1210</v>
      </c>
      <c r="AS710" s="8"/>
      <c r="AT710" s="8"/>
      <c r="AU710" s="8"/>
      <c r="AV710" s="8"/>
      <c r="AW710" s="8"/>
      <c r="AX710" s="8"/>
      <c r="AY710" s="8"/>
      <c r="AZ710" s="8"/>
    </row>
    <row r="711" spans="1:52">
      <c r="A711" s="5" t="s">
        <v>511</v>
      </c>
      <c r="B711" s="5">
        <v>1019</v>
      </c>
      <c r="C711" s="19">
        <v>273</v>
      </c>
      <c r="E711" s="14"/>
      <c r="F711" s="11"/>
      <c r="G711" s="11"/>
      <c r="H711" s="11"/>
      <c r="I711" s="11"/>
      <c r="J711" s="25"/>
      <c r="K711" s="11"/>
      <c r="L711" s="11"/>
      <c r="M711" s="19">
        <v>0</v>
      </c>
      <c r="O711" s="6"/>
      <c r="P711" s="16">
        <v>507</v>
      </c>
      <c r="Q711" s="16">
        <v>547</v>
      </c>
      <c r="R711" s="22"/>
      <c r="S711" s="22">
        <f t="shared" si="22"/>
        <v>0</v>
      </c>
      <c r="U711" s="5" t="s">
        <v>1210</v>
      </c>
      <c r="Y711" s="8"/>
      <c r="Z711" s="8"/>
      <c r="AA711" s="8"/>
      <c r="AB711" s="8"/>
      <c r="AC711" s="8"/>
      <c r="AD711" s="8"/>
      <c r="AE711" s="25"/>
      <c r="AF711" s="11"/>
      <c r="AG711" s="25"/>
      <c r="AH711" s="11"/>
      <c r="AI711" s="11">
        <v>70</v>
      </c>
      <c r="AJ711" s="19">
        <v>0</v>
      </c>
      <c r="AK711" s="12">
        <f>(AJ711+AI711)/30*7</f>
        <v>16.333333333333336</v>
      </c>
      <c r="AL711" s="6">
        <f>IF(AK711-C711&lt;0,0,AK711-C711)</f>
        <v>0</v>
      </c>
      <c r="AM711" s="6">
        <f>IF(AL711-R711-S711&lt;0,0,AL711-R711-S711)</f>
        <v>0</v>
      </c>
      <c r="AN711" s="5" t="str">
        <f t="shared" si="23"/>
        <v/>
      </c>
      <c r="AO711" s="5">
        <v>0</v>
      </c>
      <c r="AP711" s="9"/>
      <c r="AQ711" s="5" t="s">
        <v>1210</v>
      </c>
      <c r="AR711" s="5" t="s">
        <v>1210</v>
      </c>
      <c r="AS711" s="8"/>
      <c r="AT711" s="8"/>
      <c r="AU711" s="8"/>
      <c r="AV711" s="8"/>
      <c r="AW711" s="8"/>
      <c r="AX711" s="8"/>
      <c r="AY711" s="8"/>
      <c r="AZ711" s="8"/>
    </row>
    <row r="712" spans="1:52">
      <c r="A712" s="5" t="s">
        <v>329</v>
      </c>
      <c r="B712" s="5">
        <v>886</v>
      </c>
      <c r="C712" s="19">
        <v>670</v>
      </c>
      <c r="E712" s="14"/>
      <c r="F712" s="11"/>
      <c r="G712" s="11"/>
      <c r="H712" s="11"/>
      <c r="I712" s="11"/>
      <c r="J712" s="25"/>
      <c r="K712" s="11"/>
      <c r="L712" s="11"/>
      <c r="M712" s="19">
        <v>0</v>
      </c>
      <c r="O712" s="6"/>
      <c r="P712" s="16">
        <v>430</v>
      </c>
      <c r="Q712" s="16">
        <v>563</v>
      </c>
      <c r="R712" s="22"/>
      <c r="S712" s="22">
        <f t="shared" si="22"/>
        <v>0</v>
      </c>
      <c r="T712" s="5" t="s">
        <v>1210</v>
      </c>
      <c r="U712" s="5" t="s">
        <v>1210</v>
      </c>
      <c r="Y712" s="8"/>
      <c r="Z712" s="8"/>
      <c r="AA712" s="8"/>
      <c r="AB712" s="8"/>
      <c r="AC712" s="8"/>
      <c r="AD712" s="8"/>
      <c r="AE712" s="25"/>
      <c r="AF712" s="11"/>
      <c r="AG712" s="25"/>
      <c r="AH712" s="11"/>
      <c r="AI712" s="11">
        <v>55</v>
      </c>
      <c r="AJ712" s="19">
        <v>36</v>
      </c>
      <c r="AK712" s="12">
        <f>(AJ712+AI712)/30*7</f>
        <v>21.233333333333334</v>
      </c>
      <c r="AL712" s="6">
        <f>IF(AK712-C712&lt;0,0,AK712-C712)</f>
        <v>0</v>
      </c>
      <c r="AM712" s="6">
        <f>IF(AL712-R712-S712&lt;0,0,AL712-R712-S712)</f>
        <v>0</v>
      </c>
      <c r="AN712" s="5" t="str">
        <f t="shared" si="23"/>
        <v/>
      </c>
      <c r="AO712" s="5">
        <v>0</v>
      </c>
      <c r="AP712" s="9"/>
      <c r="AQ712" s="5" t="s">
        <v>1210</v>
      </c>
      <c r="AR712" s="5" t="s">
        <v>1210</v>
      </c>
      <c r="AS712" s="8"/>
      <c r="AT712" s="8"/>
      <c r="AU712" s="8"/>
      <c r="AV712" s="8"/>
      <c r="AW712" s="8"/>
      <c r="AX712" s="8"/>
      <c r="AY712" s="8"/>
      <c r="AZ712" s="8"/>
    </row>
    <row r="713" spans="1:52">
      <c r="A713" s="5" t="s">
        <v>330</v>
      </c>
      <c r="B713" s="5">
        <v>681</v>
      </c>
      <c r="C713" s="19">
        <v>508</v>
      </c>
      <c r="E713" s="14"/>
      <c r="F713" s="11"/>
      <c r="G713" s="11"/>
      <c r="H713" s="11"/>
      <c r="I713" s="11"/>
      <c r="J713" s="25"/>
      <c r="K713" s="11"/>
      <c r="L713" s="11"/>
      <c r="M713" s="19">
        <v>0</v>
      </c>
      <c r="O713" s="6"/>
      <c r="P713" s="16">
        <v>738</v>
      </c>
      <c r="Q713" s="16">
        <v>0</v>
      </c>
      <c r="R713" s="22"/>
      <c r="S713" s="22">
        <f t="shared" si="22"/>
        <v>0</v>
      </c>
      <c r="T713" s="5" t="s">
        <v>1210</v>
      </c>
      <c r="U713" s="5" t="s">
        <v>1210</v>
      </c>
      <c r="Y713" s="8"/>
      <c r="Z713" s="8"/>
      <c r="AA713" s="8"/>
      <c r="AB713" s="8"/>
      <c r="AC713" s="8"/>
      <c r="AD713" s="8"/>
      <c r="AE713" s="25"/>
      <c r="AF713" s="11"/>
      <c r="AG713" s="25"/>
      <c r="AH713" s="11"/>
      <c r="AI713" s="11">
        <v>7</v>
      </c>
      <c r="AJ713" s="19">
        <v>24</v>
      </c>
      <c r="AK713" s="12">
        <f>(AJ713+AI713)/30*7</f>
        <v>7.2333333333333343</v>
      </c>
      <c r="AL713" s="6">
        <f>IF(AK713-C713&lt;0,0,AK713-C713)</f>
        <v>0</v>
      </c>
      <c r="AM713" s="6">
        <f>IF(AL713-R713-S713&lt;0,0,AL713-R713-S713)</f>
        <v>0</v>
      </c>
      <c r="AN713" s="5" t="str">
        <f t="shared" si="23"/>
        <v/>
      </c>
      <c r="AO713" s="5">
        <v>0</v>
      </c>
      <c r="AP713" s="9"/>
      <c r="AQ713" s="5" t="s">
        <v>1210</v>
      </c>
      <c r="AR713" s="5" t="s">
        <v>1210</v>
      </c>
      <c r="AS713" s="8"/>
      <c r="AT713" s="8"/>
      <c r="AU713" s="8"/>
      <c r="AV713" s="8"/>
      <c r="AW713" s="8"/>
      <c r="AX713" s="8"/>
      <c r="AY713" s="8"/>
      <c r="AZ713" s="8"/>
    </row>
    <row r="714" spans="1:52">
      <c r="A714" s="5" t="s">
        <v>650</v>
      </c>
      <c r="B714" s="5">
        <v>634</v>
      </c>
      <c r="C714" s="19">
        <v>712</v>
      </c>
      <c r="E714" s="14"/>
      <c r="F714" s="11"/>
      <c r="G714" s="11"/>
      <c r="H714" s="11"/>
      <c r="I714" s="11"/>
      <c r="J714" s="25"/>
      <c r="K714" s="11"/>
      <c r="L714" s="11"/>
      <c r="M714" s="19">
        <v>0</v>
      </c>
      <c r="O714" s="6"/>
      <c r="P714" s="16">
        <v>0</v>
      </c>
      <c r="Q714" s="16">
        <v>0</v>
      </c>
      <c r="R714" s="22"/>
      <c r="S714" s="22">
        <f t="shared" si="22"/>
        <v>0</v>
      </c>
      <c r="T714" s="5" t="s">
        <v>1210</v>
      </c>
      <c r="U714" s="5" t="s">
        <v>1210</v>
      </c>
      <c r="Y714" s="8"/>
      <c r="Z714" s="8"/>
      <c r="AA714" s="8"/>
      <c r="AB714" s="8"/>
      <c r="AC714" s="8"/>
      <c r="AD714" s="8"/>
      <c r="AE714" s="25"/>
      <c r="AF714" s="11"/>
      <c r="AG714" s="25"/>
      <c r="AH714" s="11"/>
      <c r="AI714" s="11">
        <v>56</v>
      </c>
      <c r="AJ714" s="19">
        <v>0</v>
      </c>
      <c r="AK714" s="12">
        <f>(AJ714+AI714)/30*7</f>
        <v>13.066666666666666</v>
      </c>
      <c r="AL714" s="6">
        <f>IF(AK714-C714&lt;0,0,AK714-C714)</f>
        <v>0</v>
      </c>
      <c r="AM714" s="6">
        <f>IF(AL714-R714-S714&lt;0,0,AL714-R714-S714)</f>
        <v>0</v>
      </c>
      <c r="AN714" s="5" t="str">
        <f t="shared" si="23"/>
        <v/>
      </c>
      <c r="AO714" s="5">
        <v>0</v>
      </c>
      <c r="AP714" s="9"/>
      <c r="AQ714" s="5" t="s">
        <v>1210</v>
      </c>
      <c r="AR714" s="5" t="s">
        <v>1210</v>
      </c>
      <c r="AS714" s="8"/>
      <c r="AT714" s="8"/>
      <c r="AU714" s="8"/>
      <c r="AV714" s="8"/>
      <c r="AW714" s="8"/>
      <c r="AX714" s="8"/>
      <c r="AY714" s="8"/>
      <c r="AZ714" s="8"/>
    </row>
    <row r="715" spans="1:52">
      <c r="A715" s="5" t="s">
        <v>37</v>
      </c>
      <c r="B715" s="5">
        <v>1602</v>
      </c>
      <c r="C715" s="19">
        <v>618</v>
      </c>
      <c r="E715" s="14"/>
      <c r="F715" s="11"/>
      <c r="G715" s="11"/>
      <c r="H715" s="11"/>
      <c r="I715" s="11"/>
      <c r="J715" s="25"/>
      <c r="K715" s="11"/>
      <c r="L715" s="11"/>
      <c r="M715" s="19">
        <v>9</v>
      </c>
      <c r="O715" s="6"/>
      <c r="P715" s="16">
        <v>673</v>
      </c>
      <c r="Q715" s="16">
        <v>774</v>
      </c>
      <c r="R715" s="22"/>
      <c r="S715" s="22">
        <f t="shared" si="22"/>
        <v>0</v>
      </c>
      <c r="T715" s="5" t="s">
        <v>1210</v>
      </c>
      <c r="U715" s="5" t="s">
        <v>1210</v>
      </c>
      <c r="Y715" s="8"/>
      <c r="Z715" s="8"/>
      <c r="AA715" s="8"/>
      <c r="AB715" s="8"/>
      <c r="AC715" s="8"/>
      <c r="AD715" s="8"/>
      <c r="AE715" s="25"/>
      <c r="AF715" s="11"/>
      <c r="AG715" s="25"/>
      <c r="AH715" s="11"/>
      <c r="AI715" s="11">
        <v>7</v>
      </c>
      <c r="AJ715" s="19">
        <v>130</v>
      </c>
      <c r="AK715" s="12">
        <f>(AJ715+AI715)/30*7</f>
        <v>31.966666666666665</v>
      </c>
      <c r="AL715" s="6">
        <f>IF(AK715-C715&lt;0,0,AK715-C715)</f>
        <v>0</v>
      </c>
      <c r="AM715" s="6">
        <f>IF(AL715-R715-S715&lt;0,0,AL715-R715-S715)</f>
        <v>0</v>
      </c>
      <c r="AN715" s="5" t="str">
        <f t="shared" si="23"/>
        <v/>
      </c>
      <c r="AO715" s="5">
        <v>0</v>
      </c>
      <c r="AP715" s="9"/>
      <c r="AQ715" s="5" t="s">
        <v>1210</v>
      </c>
      <c r="AR715" s="5" t="s">
        <v>1210</v>
      </c>
      <c r="AS715" s="8"/>
      <c r="AT715" s="8"/>
      <c r="AU715" s="8"/>
      <c r="AV715" s="8"/>
      <c r="AW715" s="8"/>
      <c r="AX715" s="8"/>
      <c r="AY715" s="8"/>
      <c r="AZ715" s="8"/>
    </row>
    <row r="716" spans="1:52">
      <c r="A716" s="5" t="s">
        <v>451</v>
      </c>
      <c r="B716" s="5">
        <v>1277</v>
      </c>
      <c r="C716" s="19">
        <v>231</v>
      </c>
      <c r="E716" s="14"/>
      <c r="F716" s="11"/>
      <c r="G716" s="11"/>
      <c r="H716" s="11"/>
      <c r="I716" s="11"/>
      <c r="J716" s="25"/>
      <c r="K716" s="11"/>
      <c r="L716" s="11"/>
      <c r="M716" s="19">
        <v>0</v>
      </c>
      <c r="O716" s="6"/>
      <c r="P716" s="16">
        <v>328</v>
      </c>
      <c r="Q716" s="16">
        <v>323</v>
      </c>
      <c r="R716" s="22"/>
      <c r="S716" s="22">
        <f t="shared" si="22"/>
        <v>0</v>
      </c>
      <c r="T716" s="5" t="s">
        <v>1210</v>
      </c>
      <c r="U716" s="5" t="s">
        <v>1210</v>
      </c>
      <c r="Y716" s="8"/>
      <c r="Z716" s="8"/>
      <c r="AA716" s="8"/>
      <c r="AB716" s="8"/>
      <c r="AC716" s="8"/>
      <c r="AD716" s="8"/>
      <c r="AE716" s="25"/>
      <c r="AF716" s="11"/>
      <c r="AG716" s="25"/>
      <c r="AH716" s="11"/>
      <c r="AI716" s="11">
        <v>71</v>
      </c>
      <c r="AJ716" s="19">
        <v>10</v>
      </c>
      <c r="AK716" s="12">
        <f>(AJ716+AI716)/30*7</f>
        <v>18.900000000000002</v>
      </c>
      <c r="AL716" s="6">
        <f>IF(AK716-C716&lt;0,0,AK716-C716)</f>
        <v>0</v>
      </c>
      <c r="AM716" s="6">
        <f>IF(AL716-R716-S716&lt;0,0,AL716-R716-S716)</f>
        <v>0</v>
      </c>
      <c r="AN716" s="5" t="str">
        <f t="shared" si="23"/>
        <v/>
      </c>
      <c r="AO716" s="5">
        <v>0</v>
      </c>
      <c r="AP716" s="9"/>
      <c r="AQ716" s="5" t="s">
        <v>1210</v>
      </c>
      <c r="AR716" s="5" t="s">
        <v>1210</v>
      </c>
      <c r="AS716" s="8"/>
      <c r="AT716" s="8"/>
      <c r="AU716" s="8"/>
      <c r="AV716" s="8"/>
      <c r="AW716" s="8"/>
      <c r="AX716" s="8"/>
      <c r="AY716" s="8"/>
      <c r="AZ716" s="8"/>
    </row>
    <row r="717" spans="1:52">
      <c r="A717" s="5" t="s">
        <v>100</v>
      </c>
      <c r="B717" s="5">
        <v>1467</v>
      </c>
      <c r="C717" s="19">
        <v>587</v>
      </c>
      <c r="E717" s="14"/>
      <c r="F717" s="11"/>
      <c r="G717" s="11"/>
      <c r="H717" s="11"/>
      <c r="I717" s="11"/>
      <c r="J717" s="25"/>
      <c r="K717" s="11"/>
      <c r="L717" s="11"/>
      <c r="M717" s="19">
        <v>0</v>
      </c>
      <c r="O717" s="6"/>
      <c r="P717" s="16">
        <v>398</v>
      </c>
      <c r="Q717" s="16">
        <v>0</v>
      </c>
      <c r="R717" s="22"/>
      <c r="S717" s="22">
        <f t="shared" si="22"/>
        <v>0</v>
      </c>
      <c r="T717" s="5" t="s">
        <v>1210</v>
      </c>
      <c r="U717" s="5" t="s">
        <v>1210</v>
      </c>
      <c r="Y717" s="8"/>
      <c r="Z717" s="8"/>
      <c r="AA717" s="8"/>
      <c r="AB717" s="8"/>
      <c r="AC717" s="8"/>
      <c r="AD717" s="8"/>
      <c r="AE717" s="25"/>
      <c r="AF717" s="11"/>
      <c r="AG717" s="25"/>
      <c r="AH717" s="11"/>
      <c r="AI717" s="11">
        <v>32</v>
      </c>
      <c r="AJ717" s="19">
        <v>126</v>
      </c>
      <c r="AK717" s="12">
        <f>(AJ717+AI717)/30*7</f>
        <v>36.866666666666667</v>
      </c>
      <c r="AL717" s="6">
        <f>IF(AK717-C717&lt;0,0,AK717-C717)</f>
        <v>0</v>
      </c>
      <c r="AM717" s="6">
        <f>IF(AL717-R717-S717&lt;0,0,AL717-R717-S717)</f>
        <v>0</v>
      </c>
      <c r="AN717" s="5" t="str">
        <f t="shared" si="23"/>
        <v/>
      </c>
      <c r="AO717" s="5">
        <v>0</v>
      </c>
      <c r="AP717" s="9"/>
      <c r="AQ717" s="5" t="s">
        <v>1210</v>
      </c>
      <c r="AR717" s="5" t="s">
        <v>1210</v>
      </c>
      <c r="AS717" s="8"/>
      <c r="AT717" s="8"/>
      <c r="AU717" s="8"/>
      <c r="AV717" s="8"/>
      <c r="AW717" s="8"/>
      <c r="AX717" s="8"/>
      <c r="AY717" s="8"/>
      <c r="AZ717" s="8"/>
    </row>
    <row r="718" spans="1:52">
      <c r="A718" s="5" t="s">
        <v>406</v>
      </c>
      <c r="B718" s="5">
        <v>1091</v>
      </c>
      <c r="C718" s="19">
        <v>563</v>
      </c>
      <c r="E718" s="14"/>
      <c r="F718" s="11"/>
      <c r="G718" s="11"/>
      <c r="H718" s="11"/>
      <c r="I718" s="11"/>
      <c r="J718" s="25"/>
      <c r="K718" s="11"/>
      <c r="L718" s="11"/>
      <c r="M718" s="19">
        <v>0</v>
      </c>
      <c r="O718" s="6"/>
      <c r="P718" s="16">
        <v>208</v>
      </c>
      <c r="Q718" s="16">
        <v>313</v>
      </c>
      <c r="R718" s="22"/>
      <c r="S718" s="22">
        <f t="shared" si="22"/>
        <v>0</v>
      </c>
      <c r="T718" s="5" t="s">
        <v>1210</v>
      </c>
      <c r="U718" s="5" t="s">
        <v>1210</v>
      </c>
      <c r="Y718" s="8"/>
      <c r="Z718" s="8"/>
      <c r="AA718" s="8"/>
      <c r="AB718" s="8"/>
      <c r="AC718" s="8"/>
      <c r="AD718" s="8"/>
      <c r="AE718" s="25"/>
      <c r="AF718" s="11"/>
      <c r="AG718" s="25"/>
      <c r="AH718" s="11"/>
      <c r="AI718" s="11">
        <v>58</v>
      </c>
      <c r="AJ718" s="19">
        <v>10</v>
      </c>
      <c r="AK718" s="12">
        <f>(AJ718+AI718)/30*7</f>
        <v>15.866666666666667</v>
      </c>
      <c r="AL718" s="6">
        <f>IF(AK718-C718&lt;0,0,AK718-C718)</f>
        <v>0</v>
      </c>
      <c r="AM718" s="6">
        <f>IF(AL718-R718-S718&lt;0,0,AL718-R718-S718)</f>
        <v>0</v>
      </c>
      <c r="AN718" s="5" t="str">
        <f t="shared" si="23"/>
        <v/>
      </c>
      <c r="AO718" s="5">
        <v>0</v>
      </c>
      <c r="AP718" s="9"/>
      <c r="AQ718" s="5" t="s">
        <v>1210</v>
      </c>
      <c r="AR718" s="5" t="s">
        <v>1230</v>
      </c>
      <c r="AS718" s="8"/>
      <c r="AT718" s="8"/>
      <c r="AU718" s="8"/>
      <c r="AV718" s="8"/>
      <c r="AW718" s="8"/>
      <c r="AX718" s="8"/>
      <c r="AY718" s="8"/>
      <c r="AZ718" s="8"/>
    </row>
    <row r="719" spans="1:52">
      <c r="A719" s="5" t="s">
        <v>503</v>
      </c>
      <c r="B719" s="5">
        <v>1315</v>
      </c>
      <c r="C719" s="19">
        <v>564</v>
      </c>
      <c r="E719" s="14"/>
      <c r="F719" s="11"/>
      <c r="G719" s="11"/>
      <c r="H719" s="11"/>
      <c r="I719" s="11"/>
      <c r="J719" s="25"/>
      <c r="K719" s="11"/>
      <c r="L719" s="11"/>
      <c r="M719" s="19">
        <v>0</v>
      </c>
      <c r="O719" s="6"/>
      <c r="P719" s="16">
        <v>0</v>
      </c>
      <c r="Q719" s="16">
        <v>0</v>
      </c>
      <c r="R719" s="22"/>
      <c r="S719" s="22">
        <f t="shared" si="22"/>
        <v>0</v>
      </c>
      <c r="T719" s="5">
        <v>1739</v>
      </c>
      <c r="U719" s="5">
        <v>947</v>
      </c>
      <c r="Y719" s="8"/>
      <c r="Z719" s="8"/>
      <c r="AA719" s="8"/>
      <c r="AB719" s="8"/>
      <c r="AC719" s="8"/>
      <c r="AD719" s="8"/>
      <c r="AE719" s="25"/>
      <c r="AF719" s="11"/>
      <c r="AG719" s="25"/>
      <c r="AH719" s="11"/>
      <c r="AI719" s="11">
        <v>39</v>
      </c>
      <c r="AJ719" s="19">
        <v>3</v>
      </c>
      <c r="AK719" s="12">
        <f>(AJ719+AI719)/30*7</f>
        <v>9.7999999999999989</v>
      </c>
      <c r="AL719" s="6">
        <f>IF(AK719-C719&lt;0,0,AK719-C719)</f>
        <v>0</v>
      </c>
      <c r="AM719" s="6">
        <f>IF(AL719-R719-S719&lt;0,0,AL719-R719-S719)</f>
        <v>0</v>
      </c>
      <c r="AN719" s="5" t="str">
        <f t="shared" si="23"/>
        <v/>
      </c>
      <c r="AO719" s="5">
        <v>0</v>
      </c>
      <c r="AP719" s="9"/>
      <c r="AQ719" s="5" t="s">
        <v>1210</v>
      </c>
      <c r="AR719" s="5" t="s">
        <v>1210</v>
      </c>
      <c r="AS719" s="8"/>
      <c r="AT719" s="8"/>
      <c r="AU719" s="8"/>
      <c r="AV719" s="8"/>
      <c r="AW719" s="8"/>
      <c r="AX719" s="8"/>
      <c r="AY719" s="8"/>
      <c r="AZ719" s="8"/>
    </row>
    <row r="720" spans="1:52">
      <c r="A720" s="5" t="s">
        <v>42</v>
      </c>
      <c r="B720" s="5" t="s">
        <v>1142</v>
      </c>
      <c r="C720" s="19">
        <v>647</v>
      </c>
      <c r="E720" s="14"/>
      <c r="F720" s="11"/>
      <c r="G720" s="11"/>
      <c r="H720" s="11"/>
      <c r="I720" s="11"/>
      <c r="J720" s="25"/>
      <c r="K720" s="11"/>
      <c r="L720" s="11"/>
      <c r="M720" s="19">
        <v>8</v>
      </c>
      <c r="O720" s="6"/>
      <c r="P720" s="16">
        <v>699</v>
      </c>
      <c r="Q720" s="16">
        <v>0</v>
      </c>
      <c r="R720" s="22"/>
      <c r="S720" s="22">
        <f t="shared" si="22"/>
        <v>0</v>
      </c>
      <c r="T720" s="5" t="s">
        <v>1210</v>
      </c>
      <c r="U720" s="5" t="s">
        <v>1210</v>
      </c>
      <c r="Y720" s="8"/>
      <c r="Z720" s="8"/>
      <c r="AA720" s="8"/>
      <c r="AB720" s="8"/>
      <c r="AC720" s="8"/>
      <c r="AD720" s="8"/>
      <c r="AE720" s="25"/>
      <c r="AF720" s="11"/>
      <c r="AG720" s="25"/>
      <c r="AH720" s="11"/>
      <c r="AI720" s="11">
        <v>4</v>
      </c>
      <c r="AJ720" s="19">
        <v>136</v>
      </c>
      <c r="AK720" s="12">
        <f>(AJ720+AI720)/30*7</f>
        <v>32.666666666666671</v>
      </c>
      <c r="AL720" s="6">
        <f>IF(AK720-C720&lt;0,0,AK720-C720)</f>
        <v>0</v>
      </c>
      <c r="AM720" s="6">
        <f>IF(AL720-R720-S720&lt;0,0,AL720-R720-S720)</f>
        <v>0</v>
      </c>
      <c r="AN720" s="5" t="str">
        <f t="shared" si="23"/>
        <v/>
      </c>
      <c r="AO720" s="5">
        <v>0</v>
      </c>
      <c r="AP720" s="9"/>
      <c r="AQ720" s="5" t="s">
        <v>1210</v>
      </c>
      <c r="AR720" s="5" t="s">
        <v>1210</v>
      </c>
      <c r="AS720" s="8"/>
      <c r="AT720" s="8"/>
      <c r="AU720" s="8"/>
      <c r="AV720" s="8"/>
      <c r="AW720" s="8"/>
      <c r="AX720" s="8"/>
      <c r="AY720" s="8"/>
      <c r="AZ720" s="8"/>
    </row>
    <row r="721" spans="1:52">
      <c r="A721" s="5" t="s">
        <v>164</v>
      </c>
      <c r="B721" s="5">
        <v>1509</v>
      </c>
      <c r="C721" s="19">
        <v>783</v>
      </c>
      <c r="E721" s="14"/>
      <c r="F721" s="11"/>
      <c r="G721" s="11"/>
      <c r="H721" s="11"/>
      <c r="I721" s="11"/>
      <c r="J721" s="25"/>
      <c r="K721" s="11"/>
      <c r="L721" s="11"/>
      <c r="M721" s="19">
        <v>0</v>
      </c>
      <c r="O721" s="6"/>
      <c r="P721" s="16">
        <v>631</v>
      </c>
      <c r="Q721" s="16">
        <v>0</v>
      </c>
      <c r="R721" s="22"/>
      <c r="S721" s="22">
        <f t="shared" si="22"/>
        <v>0</v>
      </c>
      <c r="T721" s="5" t="s">
        <v>1210</v>
      </c>
      <c r="U721" s="5" t="s">
        <v>1210</v>
      </c>
      <c r="Y721" s="8"/>
      <c r="Z721" s="8"/>
      <c r="AA721" s="8"/>
      <c r="AB721" s="8"/>
      <c r="AC721" s="8"/>
      <c r="AD721" s="8"/>
      <c r="AE721" s="25"/>
      <c r="AF721" s="11"/>
      <c r="AG721" s="25"/>
      <c r="AH721" s="11"/>
      <c r="AI721" s="11">
        <v>49</v>
      </c>
      <c r="AJ721" s="19">
        <v>52</v>
      </c>
      <c r="AK721" s="12">
        <f>(AJ721+AI721)/30*7</f>
        <v>23.566666666666666</v>
      </c>
      <c r="AL721" s="6">
        <f>IF(AK721-C721&lt;0,0,AK721-C721)</f>
        <v>0</v>
      </c>
      <c r="AM721" s="6">
        <f>IF(AL721-R721-S721&lt;0,0,AL721-R721-S721)</f>
        <v>0</v>
      </c>
      <c r="AN721" s="5" t="str">
        <f t="shared" si="23"/>
        <v/>
      </c>
      <c r="AO721" s="5">
        <v>0</v>
      </c>
      <c r="AP721" s="9"/>
      <c r="AQ721" s="5" t="s">
        <v>1210</v>
      </c>
      <c r="AR721" s="5" t="s">
        <v>1210</v>
      </c>
      <c r="AS721" s="8"/>
      <c r="AT721" s="8"/>
      <c r="AU721" s="8"/>
      <c r="AV721" s="8"/>
      <c r="AW721" s="8"/>
      <c r="AX721" s="8"/>
      <c r="AY721" s="8"/>
      <c r="AZ721" s="8"/>
    </row>
    <row r="722" spans="1:52">
      <c r="A722" s="5" t="s">
        <v>464</v>
      </c>
      <c r="B722" s="5">
        <v>1864</v>
      </c>
      <c r="C722" s="19">
        <v>239</v>
      </c>
      <c r="E722" s="14"/>
      <c r="F722" s="11"/>
      <c r="G722" s="11"/>
      <c r="H722" s="11"/>
      <c r="I722" s="11"/>
      <c r="J722" s="25"/>
      <c r="K722" s="11"/>
      <c r="L722" s="11"/>
      <c r="M722" s="19">
        <v>0</v>
      </c>
      <c r="O722" s="6"/>
      <c r="P722" s="16">
        <v>454</v>
      </c>
      <c r="Q722" s="16">
        <v>0</v>
      </c>
      <c r="R722" s="22"/>
      <c r="S722" s="22">
        <f t="shared" si="22"/>
        <v>0</v>
      </c>
      <c r="U722" s="5" t="s">
        <v>1210</v>
      </c>
      <c r="Y722" s="8"/>
      <c r="Z722" s="8"/>
      <c r="AA722" s="8"/>
      <c r="AB722" s="8"/>
      <c r="AC722" s="8"/>
      <c r="AD722" s="8"/>
      <c r="AE722" s="25"/>
      <c r="AF722" s="11"/>
      <c r="AG722" s="25"/>
      <c r="AH722" s="11"/>
      <c r="AI722" s="11">
        <v>61</v>
      </c>
      <c r="AJ722" s="19">
        <v>14</v>
      </c>
      <c r="AK722" s="12">
        <f>(AJ722+AI722)/30*7</f>
        <v>17.5</v>
      </c>
      <c r="AL722" s="6">
        <f>IF(AK722-C722&lt;0,0,AK722-C722)</f>
        <v>0</v>
      </c>
      <c r="AM722" s="6">
        <f>IF(AL722-R722-S722&lt;0,0,AL722-R722-S722)</f>
        <v>0</v>
      </c>
      <c r="AN722" s="5" t="str">
        <f t="shared" si="23"/>
        <v/>
      </c>
      <c r="AO722" s="5">
        <v>0</v>
      </c>
      <c r="AP722" s="9"/>
      <c r="AQ722" s="5" t="s">
        <v>1210</v>
      </c>
      <c r="AR722" s="5" t="s">
        <v>1210</v>
      </c>
      <c r="AS722" s="8"/>
      <c r="AT722" s="8"/>
      <c r="AU722" s="8"/>
      <c r="AV722" s="8"/>
      <c r="AW722" s="8"/>
      <c r="AX722" s="8"/>
      <c r="AY722" s="8"/>
      <c r="AZ722" s="8"/>
    </row>
    <row r="723" spans="1:52">
      <c r="A723" s="5" t="s">
        <v>95</v>
      </c>
      <c r="B723" s="5">
        <v>1444</v>
      </c>
      <c r="C723" s="19">
        <v>676</v>
      </c>
      <c r="E723" s="14"/>
      <c r="F723" s="11"/>
      <c r="G723" s="11"/>
      <c r="H723" s="11"/>
      <c r="I723" s="11"/>
      <c r="J723" s="25"/>
      <c r="K723" s="11"/>
      <c r="L723" s="11"/>
      <c r="M723" s="19">
        <v>0</v>
      </c>
      <c r="O723" s="6"/>
      <c r="P723" s="16">
        <v>667</v>
      </c>
      <c r="Q723" s="16">
        <v>0</v>
      </c>
      <c r="R723" s="22"/>
      <c r="S723" s="22">
        <f t="shared" si="22"/>
        <v>0</v>
      </c>
      <c r="T723" s="5" t="s">
        <v>1210</v>
      </c>
      <c r="U723" s="5" t="s">
        <v>1210</v>
      </c>
      <c r="Y723" s="8"/>
      <c r="Z723" s="8"/>
      <c r="AA723" s="8"/>
      <c r="AB723" s="8"/>
      <c r="AC723" s="8"/>
      <c r="AD723" s="8"/>
      <c r="AE723" s="25"/>
      <c r="AF723" s="11"/>
      <c r="AG723" s="25"/>
      <c r="AH723" s="11"/>
      <c r="AI723" s="11">
        <v>15</v>
      </c>
      <c r="AJ723" s="19">
        <v>47</v>
      </c>
      <c r="AK723" s="12">
        <f>(AJ723+AI723)/30*7</f>
        <v>14.466666666666669</v>
      </c>
      <c r="AL723" s="6">
        <f>IF(AK723-C723&lt;0,0,AK723-C723)</f>
        <v>0</v>
      </c>
      <c r="AM723" s="6">
        <f>IF(AL723-R723-S723&lt;0,0,AL723-R723-S723)</f>
        <v>0</v>
      </c>
      <c r="AN723" s="5" t="str">
        <f t="shared" si="23"/>
        <v/>
      </c>
      <c r="AO723" s="5">
        <v>0</v>
      </c>
      <c r="AP723" s="9"/>
      <c r="AQ723" s="5" t="s">
        <v>1229</v>
      </c>
      <c r="AR723" s="5" t="s">
        <v>1210</v>
      </c>
      <c r="AS723" s="8"/>
      <c r="AT723" s="8"/>
      <c r="AU723" s="8"/>
      <c r="AV723" s="8"/>
      <c r="AW723" s="8"/>
      <c r="AX723" s="8"/>
      <c r="AY723" s="8"/>
      <c r="AZ723" s="8"/>
    </row>
    <row r="724" spans="1:52">
      <c r="A724" s="5" t="s">
        <v>231</v>
      </c>
      <c r="B724" s="5">
        <v>965</v>
      </c>
      <c r="C724" s="19">
        <v>811</v>
      </c>
      <c r="E724" s="14"/>
      <c r="F724" s="11"/>
      <c r="G724" s="11"/>
      <c r="H724" s="11"/>
      <c r="I724" s="11"/>
      <c r="J724" s="25"/>
      <c r="K724" s="11"/>
      <c r="L724" s="11"/>
      <c r="M724" s="19">
        <v>0</v>
      </c>
      <c r="O724" s="6"/>
      <c r="P724" s="16">
        <v>476</v>
      </c>
      <c r="Q724" s="16">
        <v>774</v>
      </c>
      <c r="R724" s="22"/>
      <c r="S724" s="22">
        <f t="shared" si="22"/>
        <v>0</v>
      </c>
      <c r="T724" s="5" t="s">
        <v>1210</v>
      </c>
      <c r="U724" s="5" t="s">
        <v>1210</v>
      </c>
      <c r="Y724" s="8"/>
      <c r="Z724" s="8"/>
      <c r="AA724" s="8"/>
      <c r="AB724" s="8"/>
      <c r="AC724" s="8"/>
      <c r="AD724" s="8"/>
      <c r="AE724" s="25"/>
      <c r="AF724" s="11"/>
      <c r="AG724" s="25"/>
      <c r="AH724" s="11"/>
      <c r="AI724" s="11">
        <v>11</v>
      </c>
      <c r="AJ724" s="19">
        <v>51</v>
      </c>
      <c r="AK724" s="12">
        <f>(AJ724+AI724)/30*7</f>
        <v>14.466666666666669</v>
      </c>
      <c r="AL724" s="6">
        <f>IF(AK724-C724&lt;0,0,AK724-C724)</f>
        <v>0</v>
      </c>
      <c r="AM724" s="6">
        <f>IF(AL724-R724-S724&lt;0,0,AL724-R724-S724)</f>
        <v>0</v>
      </c>
      <c r="AN724" s="5" t="str">
        <f t="shared" si="23"/>
        <v/>
      </c>
      <c r="AO724" s="5">
        <v>0</v>
      </c>
      <c r="AP724" s="9"/>
      <c r="AQ724" s="5" t="s">
        <v>1210</v>
      </c>
      <c r="AR724" s="5" t="s">
        <v>1210</v>
      </c>
      <c r="AS724" s="8"/>
      <c r="AT724" s="8"/>
      <c r="AU724" s="8"/>
      <c r="AV724" s="8"/>
      <c r="AW724" s="8"/>
      <c r="AX724" s="8"/>
      <c r="AY724" s="8"/>
      <c r="AZ724" s="8"/>
    </row>
    <row r="725" spans="1:52">
      <c r="A725" s="5" t="s">
        <v>97</v>
      </c>
      <c r="B725" s="5">
        <v>1056</v>
      </c>
      <c r="C725" s="19">
        <v>735</v>
      </c>
      <c r="E725" s="14"/>
      <c r="F725" s="11"/>
      <c r="G725" s="11"/>
      <c r="H725" s="11"/>
      <c r="I725" s="11"/>
      <c r="J725" s="25"/>
      <c r="K725" s="11"/>
      <c r="L725" s="11"/>
      <c r="M725" s="19">
        <v>7</v>
      </c>
      <c r="O725" s="6"/>
      <c r="P725" s="16">
        <v>460</v>
      </c>
      <c r="Q725" s="16">
        <v>0</v>
      </c>
      <c r="R725" s="22"/>
      <c r="S725" s="22">
        <f t="shared" si="22"/>
        <v>0</v>
      </c>
      <c r="T725" s="5" t="s">
        <v>1210</v>
      </c>
      <c r="U725" s="5" t="s">
        <v>1210</v>
      </c>
      <c r="Y725" s="8"/>
      <c r="Z725" s="8"/>
      <c r="AA725" s="8"/>
      <c r="AB725" s="8"/>
      <c r="AC725" s="8"/>
      <c r="AD725" s="8"/>
      <c r="AE725" s="25"/>
      <c r="AF725" s="11"/>
      <c r="AG725" s="25"/>
      <c r="AH725" s="11"/>
      <c r="AI725" s="11">
        <v>40</v>
      </c>
      <c r="AJ725" s="19">
        <v>99</v>
      </c>
      <c r="AK725" s="12">
        <f>(AJ725+AI725)/30*7</f>
        <v>32.433333333333337</v>
      </c>
      <c r="AL725" s="6">
        <f>IF(AK725-C725&lt;0,0,AK725-C725)</f>
        <v>0</v>
      </c>
      <c r="AM725" s="6">
        <f>IF(AL725-R725-S725&lt;0,0,AL725-R725-S725)</f>
        <v>0</v>
      </c>
      <c r="AN725" s="5" t="str">
        <f t="shared" si="23"/>
        <v/>
      </c>
      <c r="AO725" s="5">
        <v>0</v>
      </c>
      <c r="AP725" s="9"/>
      <c r="AQ725" s="5" t="s">
        <v>1210</v>
      </c>
      <c r="AR725" s="5" t="s">
        <v>1210</v>
      </c>
      <c r="AS725" s="8"/>
      <c r="AT725" s="8"/>
      <c r="AU725" s="8"/>
      <c r="AV725" s="8"/>
      <c r="AW725" s="8"/>
      <c r="AX725" s="8"/>
      <c r="AY725" s="8"/>
      <c r="AZ725" s="8"/>
    </row>
    <row r="726" spans="1:52">
      <c r="A726" s="5" t="s">
        <v>73</v>
      </c>
      <c r="B726" s="5">
        <v>1304</v>
      </c>
      <c r="C726" s="19">
        <v>314</v>
      </c>
      <c r="E726" s="14"/>
      <c r="F726" s="11"/>
      <c r="G726" s="11"/>
      <c r="H726" s="11"/>
      <c r="I726" s="11"/>
      <c r="J726" s="25"/>
      <c r="K726" s="11"/>
      <c r="L726" s="11"/>
      <c r="M726" s="19">
        <v>4</v>
      </c>
      <c r="O726" s="6"/>
      <c r="P726" s="16">
        <v>515</v>
      </c>
      <c r="Q726" s="16">
        <v>0</v>
      </c>
      <c r="R726" s="22"/>
      <c r="S726" s="22">
        <f t="shared" si="22"/>
        <v>0</v>
      </c>
      <c r="T726" s="5" t="s">
        <v>1210</v>
      </c>
      <c r="U726" s="5" t="s">
        <v>1210</v>
      </c>
      <c r="Y726" s="8"/>
      <c r="Z726" s="8"/>
      <c r="AA726" s="8"/>
      <c r="AB726" s="8"/>
      <c r="AC726" s="8"/>
      <c r="AD726" s="8"/>
      <c r="AE726" s="25"/>
      <c r="AF726" s="11"/>
      <c r="AG726" s="25"/>
      <c r="AH726" s="11"/>
      <c r="AI726" s="11">
        <v>51</v>
      </c>
      <c r="AJ726" s="19">
        <v>96</v>
      </c>
      <c r="AK726" s="12">
        <f>(AJ726+AI726)/30*7</f>
        <v>34.300000000000004</v>
      </c>
      <c r="AL726" s="6">
        <f>IF(AK726-C726&lt;0,0,AK726-C726)</f>
        <v>0</v>
      </c>
      <c r="AM726" s="6">
        <f>IF(AL726-R726-S726&lt;0,0,AL726-R726-S726)</f>
        <v>0</v>
      </c>
      <c r="AN726" s="5" t="str">
        <f t="shared" si="23"/>
        <v/>
      </c>
      <c r="AO726" s="5">
        <v>0</v>
      </c>
      <c r="AP726" s="9"/>
      <c r="AQ726" s="5" t="s">
        <v>1210</v>
      </c>
      <c r="AR726" s="5" t="s">
        <v>1210</v>
      </c>
      <c r="AS726" s="8"/>
      <c r="AT726" s="8"/>
      <c r="AU726" s="8"/>
      <c r="AV726" s="8"/>
      <c r="AW726" s="8"/>
      <c r="AX726" s="8"/>
      <c r="AY726" s="8"/>
      <c r="AZ726" s="8"/>
    </row>
    <row r="727" spans="1:52">
      <c r="A727" s="5" t="s">
        <v>512</v>
      </c>
      <c r="B727" s="5">
        <v>632</v>
      </c>
      <c r="C727" s="19">
        <v>865</v>
      </c>
      <c r="E727" s="14"/>
      <c r="F727" s="11"/>
      <c r="G727" s="11"/>
      <c r="H727" s="11"/>
      <c r="I727" s="11"/>
      <c r="J727" s="25"/>
      <c r="K727" s="11"/>
      <c r="L727" s="11"/>
      <c r="M727" s="19">
        <v>0</v>
      </c>
      <c r="O727" s="6"/>
      <c r="P727" s="16">
        <v>0</v>
      </c>
      <c r="Q727" s="16">
        <v>0</v>
      </c>
      <c r="R727" s="22"/>
      <c r="S727" s="22">
        <f t="shared" si="22"/>
        <v>0</v>
      </c>
      <c r="T727" s="5" t="s">
        <v>1210</v>
      </c>
      <c r="U727" s="5" t="s">
        <v>1210</v>
      </c>
      <c r="Y727" s="8"/>
      <c r="Z727" s="8"/>
      <c r="AA727" s="8"/>
      <c r="AB727" s="8"/>
      <c r="AC727" s="8"/>
      <c r="AD727" s="8"/>
      <c r="AE727" s="25"/>
      <c r="AF727" s="11"/>
      <c r="AG727" s="25"/>
      <c r="AH727" s="11"/>
      <c r="AI727" s="11">
        <v>48</v>
      </c>
      <c r="AJ727" s="19">
        <v>0</v>
      </c>
      <c r="AK727" s="12">
        <f>(AJ727+AI727)/30*7</f>
        <v>11.200000000000001</v>
      </c>
      <c r="AL727" s="6">
        <f>IF(AK727-C727&lt;0,0,AK727-C727)</f>
        <v>0</v>
      </c>
      <c r="AM727" s="6">
        <f>IF(AL727-R727-S727&lt;0,0,AL727-R727-S727)</f>
        <v>0</v>
      </c>
      <c r="AN727" s="5" t="str">
        <f t="shared" si="23"/>
        <v/>
      </c>
      <c r="AO727" s="5">
        <v>0</v>
      </c>
      <c r="AP727" s="9"/>
      <c r="AQ727" s="5" t="s">
        <v>1210</v>
      </c>
      <c r="AR727" s="5" t="s">
        <v>1210</v>
      </c>
      <c r="AS727" s="8"/>
      <c r="AT727" s="8"/>
      <c r="AU727" s="8"/>
      <c r="AV727" s="8"/>
      <c r="AW727" s="8"/>
      <c r="AX727" s="8"/>
      <c r="AY727" s="8"/>
      <c r="AZ727" s="8"/>
    </row>
    <row r="728" spans="1:52">
      <c r="A728" s="5" t="s">
        <v>132</v>
      </c>
      <c r="B728" s="5">
        <v>1040</v>
      </c>
      <c r="C728" s="19">
        <v>279</v>
      </c>
      <c r="E728" s="14"/>
      <c r="F728" s="11"/>
      <c r="G728" s="11"/>
      <c r="H728" s="11"/>
      <c r="I728" s="11"/>
      <c r="J728" s="25"/>
      <c r="K728" s="11"/>
      <c r="L728" s="11"/>
      <c r="M728" s="19">
        <v>0</v>
      </c>
      <c r="O728" s="6"/>
      <c r="P728" s="16">
        <v>258</v>
      </c>
      <c r="Q728" s="16">
        <v>678</v>
      </c>
      <c r="R728" s="22"/>
      <c r="S728" s="22">
        <f t="shared" si="22"/>
        <v>0</v>
      </c>
      <c r="T728" s="5" t="s">
        <v>1216</v>
      </c>
      <c r="U728" s="5">
        <v>30</v>
      </c>
      <c r="Y728" s="8"/>
      <c r="Z728" s="8"/>
      <c r="AA728" s="8"/>
      <c r="AB728" s="8"/>
      <c r="AC728" s="8"/>
      <c r="AD728" s="8"/>
      <c r="AE728" s="25"/>
      <c r="AF728" s="11"/>
      <c r="AG728" s="25"/>
      <c r="AH728" s="11"/>
      <c r="AI728" s="11">
        <v>77</v>
      </c>
      <c r="AJ728" s="19">
        <v>86</v>
      </c>
      <c r="AK728" s="12">
        <f>(AJ728+AI728)/30*7</f>
        <v>38.033333333333331</v>
      </c>
      <c r="AL728" s="6">
        <f>IF(AK728-C728&lt;0,0,AK728-C728)</f>
        <v>0</v>
      </c>
      <c r="AM728" s="6">
        <f>IF(AL728-R728-S728&lt;0,0,AL728-R728-S728)</f>
        <v>0</v>
      </c>
      <c r="AN728" s="5" t="str">
        <f t="shared" si="23"/>
        <v/>
      </c>
      <c r="AO728" s="5">
        <v>0</v>
      </c>
      <c r="AP728" s="9"/>
      <c r="AQ728" s="5" t="s">
        <v>1210</v>
      </c>
      <c r="AR728" s="5" t="s">
        <v>1210</v>
      </c>
      <c r="AS728" s="8"/>
      <c r="AT728" s="8"/>
      <c r="AU728" s="8"/>
      <c r="AV728" s="8"/>
      <c r="AW728" s="8"/>
      <c r="AX728" s="8"/>
      <c r="AY728" s="8"/>
      <c r="AZ728" s="8"/>
    </row>
    <row r="729" spans="1:52">
      <c r="A729" s="5" t="s">
        <v>412</v>
      </c>
      <c r="B729" s="5">
        <v>978</v>
      </c>
      <c r="C729" s="19">
        <v>809</v>
      </c>
      <c r="E729" s="14"/>
      <c r="F729" s="11"/>
      <c r="G729" s="11"/>
      <c r="H729" s="11"/>
      <c r="I729" s="11"/>
      <c r="J729" s="25"/>
      <c r="K729" s="11"/>
      <c r="L729" s="11"/>
      <c r="M729" s="19">
        <v>0</v>
      </c>
      <c r="O729" s="6"/>
      <c r="P729" s="16">
        <v>894</v>
      </c>
      <c r="Q729" s="16">
        <v>0</v>
      </c>
      <c r="R729" s="22"/>
      <c r="S729" s="22">
        <f t="shared" si="22"/>
        <v>0</v>
      </c>
      <c r="U729" s="5" t="s">
        <v>1210</v>
      </c>
      <c r="Y729" s="8"/>
      <c r="Z729" s="8"/>
      <c r="AA729" s="8"/>
      <c r="AB729" s="8"/>
      <c r="AC729" s="8"/>
      <c r="AD729" s="8"/>
      <c r="AE729" s="25"/>
      <c r="AF729" s="11"/>
      <c r="AG729" s="25"/>
      <c r="AH729" s="11"/>
      <c r="AI729" s="11">
        <v>69</v>
      </c>
      <c r="AJ729" s="19">
        <v>4</v>
      </c>
      <c r="AK729" s="12">
        <f>(AJ729+AI729)/30*7</f>
        <v>17.033333333333331</v>
      </c>
      <c r="AL729" s="6">
        <f>IF(AK729-C729&lt;0,0,AK729-C729)</f>
        <v>0</v>
      </c>
      <c r="AM729" s="6">
        <f>IF(AL729-R729-S729&lt;0,0,AL729-R729-S729)</f>
        <v>0</v>
      </c>
      <c r="AN729" s="5" t="str">
        <f t="shared" si="23"/>
        <v/>
      </c>
      <c r="AO729" s="5">
        <v>0</v>
      </c>
      <c r="AP729" s="9"/>
      <c r="AQ729" s="5" t="s">
        <v>1210</v>
      </c>
      <c r="AR729" s="5" t="s">
        <v>1210</v>
      </c>
      <c r="AS729" s="8"/>
      <c r="AT729" s="8"/>
      <c r="AU729" s="8"/>
      <c r="AV729" s="8"/>
      <c r="AW729" s="8"/>
      <c r="AX729" s="8"/>
      <c r="AY729" s="8"/>
      <c r="AZ729" s="8"/>
    </row>
    <row r="730" spans="1:52">
      <c r="A730" s="5" t="s">
        <v>473</v>
      </c>
      <c r="B730" s="5">
        <v>611</v>
      </c>
      <c r="C730" s="19">
        <v>984</v>
      </c>
      <c r="E730" s="14"/>
      <c r="F730" s="11"/>
      <c r="G730" s="11"/>
      <c r="H730" s="11"/>
      <c r="I730" s="11"/>
      <c r="J730" s="25"/>
      <c r="K730" s="11"/>
      <c r="L730" s="11"/>
      <c r="M730" s="19">
        <v>0</v>
      </c>
      <c r="O730" s="6"/>
      <c r="P730" s="16">
        <v>0</v>
      </c>
      <c r="Q730" s="16">
        <v>0</v>
      </c>
      <c r="R730" s="22"/>
      <c r="S730" s="22">
        <f t="shared" si="22"/>
        <v>0</v>
      </c>
      <c r="T730" s="5" t="s">
        <v>1210</v>
      </c>
      <c r="U730" s="5" t="s">
        <v>1210</v>
      </c>
      <c r="Y730" s="8"/>
      <c r="Z730" s="8"/>
      <c r="AA730" s="8"/>
      <c r="AB730" s="8"/>
      <c r="AC730" s="8"/>
      <c r="AD730" s="8"/>
      <c r="AE730" s="25"/>
      <c r="AF730" s="11"/>
      <c r="AG730" s="25"/>
      <c r="AH730" s="11"/>
      <c r="AI730" s="11">
        <v>94</v>
      </c>
      <c r="AJ730" s="19">
        <v>0</v>
      </c>
      <c r="AK730" s="12">
        <f>(AJ730+AI730)/30*7</f>
        <v>21.933333333333334</v>
      </c>
      <c r="AL730" s="6">
        <f>IF(AK730-C730&lt;0,0,AK730-C730)</f>
        <v>0</v>
      </c>
      <c r="AM730" s="6">
        <f>IF(AL730-R730-S730&lt;0,0,AL730-R730-S730)</f>
        <v>0</v>
      </c>
      <c r="AN730" s="5" t="str">
        <f t="shared" si="23"/>
        <v/>
      </c>
      <c r="AO730" s="5">
        <v>0</v>
      </c>
      <c r="AP730" s="9"/>
      <c r="AQ730" s="5" t="s">
        <v>1210</v>
      </c>
      <c r="AR730" s="5" t="s">
        <v>1230</v>
      </c>
      <c r="AS730" s="8"/>
      <c r="AT730" s="8"/>
      <c r="AU730" s="8"/>
      <c r="AV730" s="8"/>
      <c r="AW730" s="8"/>
      <c r="AX730" s="8"/>
      <c r="AY730" s="8"/>
      <c r="AZ730" s="8"/>
    </row>
    <row r="731" spans="1:52">
      <c r="A731" s="5" t="s">
        <v>460</v>
      </c>
      <c r="B731" s="5">
        <v>1609</v>
      </c>
      <c r="C731" s="19">
        <v>361</v>
      </c>
      <c r="E731" s="14"/>
      <c r="F731" s="11"/>
      <c r="G731" s="11"/>
      <c r="H731" s="11"/>
      <c r="I731" s="11"/>
      <c r="J731" s="25"/>
      <c r="K731" s="11"/>
      <c r="L731" s="11"/>
      <c r="M731" s="19">
        <v>0</v>
      </c>
      <c r="O731" s="6"/>
      <c r="P731" s="16">
        <v>332</v>
      </c>
      <c r="Q731" s="16">
        <v>498</v>
      </c>
      <c r="R731" s="22"/>
      <c r="S731" s="22">
        <f t="shared" si="22"/>
        <v>0</v>
      </c>
      <c r="T731" s="5" t="s">
        <v>1210</v>
      </c>
      <c r="U731" s="5" t="s">
        <v>1210</v>
      </c>
      <c r="Y731" s="8"/>
      <c r="Z731" s="8"/>
      <c r="AA731" s="8"/>
      <c r="AB731" s="8"/>
      <c r="AC731" s="8"/>
      <c r="AD731" s="8"/>
      <c r="AE731" s="25"/>
      <c r="AF731" s="11"/>
      <c r="AG731" s="25"/>
      <c r="AH731" s="11"/>
      <c r="AI731" s="11">
        <v>32</v>
      </c>
      <c r="AJ731" s="19">
        <v>10</v>
      </c>
      <c r="AK731" s="12">
        <f>(AJ731+AI731)/30*7</f>
        <v>9.7999999999999989</v>
      </c>
      <c r="AL731" s="6">
        <f>IF(AK731-C731&lt;0,0,AK731-C731)</f>
        <v>0</v>
      </c>
      <c r="AM731" s="6">
        <f>IF(AL731-R731-S731&lt;0,0,AL731-R731-S731)</f>
        <v>0</v>
      </c>
      <c r="AN731" s="5" t="str">
        <f t="shared" si="23"/>
        <v/>
      </c>
      <c r="AO731" s="5">
        <v>0</v>
      </c>
      <c r="AP731" s="9"/>
      <c r="AQ731" s="5" t="s">
        <v>1210</v>
      </c>
      <c r="AR731" s="5" t="s">
        <v>1210</v>
      </c>
      <c r="AS731" s="8"/>
      <c r="AT731" s="8"/>
      <c r="AU731" s="8"/>
      <c r="AV731" s="8"/>
      <c r="AW731" s="8"/>
      <c r="AX731" s="8"/>
      <c r="AY731" s="8"/>
      <c r="AZ731" s="8"/>
    </row>
    <row r="732" spans="1:52">
      <c r="A732" s="5" t="s">
        <v>815</v>
      </c>
      <c r="B732" s="5">
        <v>1165</v>
      </c>
      <c r="C732" s="19">
        <v>705</v>
      </c>
      <c r="E732" s="14"/>
      <c r="F732" s="11"/>
      <c r="G732" s="11"/>
      <c r="H732" s="11"/>
      <c r="I732" s="11"/>
      <c r="J732" s="25"/>
      <c r="K732" s="11"/>
      <c r="L732" s="11"/>
      <c r="M732" s="19">
        <v>0</v>
      </c>
      <c r="O732" s="6"/>
      <c r="P732" s="16">
        <v>0</v>
      </c>
      <c r="Q732" s="16">
        <v>0</v>
      </c>
      <c r="R732" s="22"/>
      <c r="S732" s="22">
        <f t="shared" si="22"/>
        <v>0</v>
      </c>
      <c r="T732" s="5">
        <v>1129</v>
      </c>
      <c r="U732" s="5">
        <v>377</v>
      </c>
      <c r="Y732" s="8"/>
      <c r="Z732" s="8"/>
      <c r="AA732" s="8"/>
      <c r="AB732" s="8"/>
      <c r="AC732" s="8"/>
      <c r="AD732" s="8"/>
      <c r="AE732" s="25"/>
      <c r="AF732" s="11"/>
      <c r="AG732" s="25"/>
      <c r="AH732" s="11"/>
      <c r="AI732" s="11">
        <v>33</v>
      </c>
      <c r="AJ732" s="19">
        <v>0</v>
      </c>
      <c r="AK732" s="12">
        <f>(AJ732+AI732)/30*7</f>
        <v>7.7000000000000011</v>
      </c>
      <c r="AL732" s="6">
        <f>IF(AK732-C732&lt;0,0,AK732-C732)</f>
        <v>0</v>
      </c>
      <c r="AM732" s="6">
        <f>IF(AL732-R732-S732&lt;0,0,AL732-R732-S732)</f>
        <v>0</v>
      </c>
      <c r="AN732" s="5" t="str">
        <f t="shared" si="23"/>
        <v/>
      </c>
      <c r="AO732" s="5">
        <v>0</v>
      </c>
      <c r="AP732" s="9"/>
      <c r="AQ732" s="5" t="s">
        <v>1210</v>
      </c>
      <c r="AR732" s="5" t="s">
        <v>1210</v>
      </c>
      <c r="AS732" s="8"/>
      <c r="AT732" s="8"/>
      <c r="AU732" s="8"/>
      <c r="AV732" s="8"/>
      <c r="AW732" s="8"/>
      <c r="AX732" s="8"/>
      <c r="AY732" s="8"/>
      <c r="AZ732" s="8"/>
    </row>
    <row r="733" spans="1:52">
      <c r="A733" s="5" t="s">
        <v>30</v>
      </c>
      <c r="B733" s="5">
        <v>1829</v>
      </c>
      <c r="C733" s="19">
        <v>644</v>
      </c>
      <c r="E733" s="14"/>
      <c r="F733" s="11"/>
      <c r="G733" s="11"/>
      <c r="H733" s="11"/>
      <c r="I733" s="11"/>
      <c r="J733" s="25"/>
      <c r="K733" s="11"/>
      <c r="L733" s="11"/>
      <c r="M733" s="19">
        <v>5</v>
      </c>
      <c r="O733" s="6"/>
      <c r="P733" s="16">
        <v>281</v>
      </c>
      <c r="Q733" s="16">
        <v>0</v>
      </c>
      <c r="R733" s="22"/>
      <c r="S733" s="22">
        <f t="shared" si="22"/>
        <v>0</v>
      </c>
      <c r="T733" s="5" t="s">
        <v>1210</v>
      </c>
      <c r="U733" s="5" t="s">
        <v>1210</v>
      </c>
      <c r="Y733" s="8"/>
      <c r="Z733" s="8"/>
      <c r="AA733" s="8"/>
      <c r="AB733" s="8"/>
      <c r="AC733" s="8"/>
      <c r="AD733" s="8"/>
      <c r="AE733" s="25"/>
      <c r="AF733" s="11"/>
      <c r="AG733" s="25"/>
      <c r="AH733" s="11"/>
      <c r="AI733" s="11">
        <v>57</v>
      </c>
      <c r="AJ733" s="19">
        <v>126</v>
      </c>
      <c r="AK733" s="12">
        <f>(AJ733+AI733)/30*7</f>
        <v>42.699999999999996</v>
      </c>
      <c r="AL733" s="6">
        <f>IF(AK733-C733&lt;0,0,AK733-C733)</f>
        <v>0</v>
      </c>
      <c r="AM733" s="6">
        <f>IF(AL733-R733-S733&lt;0,0,AL733-R733-S733)</f>
        <v>0</v>
      </c>
      <c r="AN733" s="5" t="str">
        <f t="shared" si="23"/>
        <v/>
      </c>
      <c r="AO733" s="5">
        <v>0</v>
      </c>
      <c r="AP733" s="9"/>
      <c r="AQ733" s="5" t="s">
        <v>1229</v>
      </c>
      <c r="AR733" s="5" t="s">
        <v>1210</v>
      </c>
      <c r="AS733" s="8"/>
      <c r="AT733" s="8"/>
      <c r="AU733" s="8"/>
      <c r="AV733" s="8"/>
      <c r="AW733" s="8"/>
      <c r="AX733" s="8"/>
      <c r="AY733" s="8"/>
      <c r="AZ733" s="8"/>
    </row>
    <row r="734" spans="1:52">
      <c r="A734" s="5" t="s">
        <v>427</v>
      </c>
      <c r="B734" s="5">
        <v>1799</v>
      </c>
      <c r="C734" s="19">
        <v>262</v>
      </c>
      <c r="E734" s="14"/>
      <c r="F734" s="11"/>
      <c r="G734" s="11"/>
      <c r="H734" s="11"/>
      <c r="I734" s="11"/>
      <c r="J734" s="25"/>
      <c r="K734" s="11"/>
      <c r="L734" s="11"/>
      <c r="M734" s="19">
        <v>0</v>
      </c>
      <c r="O734" s="6"/>
      <c r="P734" s="16">
        <v>279</v>
      </c>
      <c r="Q734" s="16">
        <v>443</v>
      </c>
      <c r="R734" s="22"/>
      <c r="S734" s="22">
        <f t="shared" si="22"/>
        <v>0</v>
      </c>
      <c r="T734" s="5">
        <v>2101</v>
      </c>
      <c r="U734" s="5">
        <v>0</v>
      </c>
      <c r="Y734" s="8"/>
      <c r="Z734" s="8"/>
      <c r="AA734" s="8"/>
      <c r="AB734" s="8"/>
      <c r="AC734" s="8"/>
      <c r="AD734" s="8"/>
      <c r="AE734" s="25"/>
      <c r="AF734" s="11"/>
      <c r="AG734" s="25"/>
      <c r="AH734" s="11"/>
      <c r="AI734" s="11">
        <v>24</v>
      </c>
      <c r="AJ734" s="19">
        <v>26</v>
      </c>
      <c r="AK734" s="12">
        <f>(AJ734+AI734)/30*7</f>
        <v>11.666666666666668</v>
      </c>
      <c r="AL734" s="6">
        <f>IF(AK734-C734&lt;0,0,AK734-C734)</f>
        <v>0</v>
      </c>
      <c r="AM734" s="6">
        <f>IF(AL734-R734-S734&lt;0,0,AL734-R734-S734)</f>
        <v>0</v>
      </c>
      <c r="AN734" s="5" t="str">
        <f t="shared" si="23"/>
        <v/>
      </c>
      <c r="AO734" s="5">
        <v>0</v>
      </c>
      <c r="AP734" s="9"/>
      <c r="AQ734" s="5" t="s">
        <v>1210</v>
      </c>
      <c r="AR734" s="5" t="s">
        <v>1210</v>
      </c>
      <c r="AS734" s="8"/>
      <c r="AT734" s="8"/>
      <c r="AU734" s="8"/>
      <c r="AV734" s="8"/>
      <c r="AW734" s="8"/>
      <c r="AX734" s="8"/>
      <c r="AY734" s="8"/>
      <c r="AZ734" s="8"/>
    </row>
    <row r="735" spans="1:52">
      <c r="A735" s="5" t="s">
        <v>188</v>
      </c>
      <c r="B735" s="5">
        <v>975</v>
      </c>
      <c r="C735" s="19">
        <v>615</v>
      </c>
      <c r="E735" s="14"/>
      <c r="F735" s="11"/>
      <c r="G735" s="11"/>
      <c r="H735" s="11"/>
      <c r="I735" s="11"/>
      <c r="J735" s="25"/>
      <c r="K735" s="11"/>
      <c r="L735" s="11"/>
      <c r="M735" s="19">
        <v>0</v>
      </c>
      <c r="O735" s="6"/>
      <c r="P735" s="16">
        <v>474</v>
      </c>
      <c r="Q735" s="16">
        <v>733</v>
      </c>
      <c r="R735" s="22"/>
      <c r="S735" s="22">
        <f t="shared" si="22"/>
        <v>0</v>
      </c>
      <c r="T735" s="5" t="s">
        <v>1210</v>
      </c>
      <c r="U735" s="5" t="s">
        <v>1210</v>
      </c>
      <c r="Y735" s="8"/>
      <c r="Z735" s="8"/>
      <c r="AA735" s="8"/>
      <c r="AB735" s="8"/>
      <c r="AC735" s="8"/>
      <c r="AD735" s="8"/>
      <c r="AE735" s="25"/>
      <c r="AF735" s="11"/>
      <c r="AG735" s="25"/>
      <c r="AH735" s="11"/>
      <c r="AI735" s="11">
        <v>33</v>
      </c>
      <c r="AJ735" s="19">
        <v>42</v>
      </c>
      <c r="AK735" s="12">
        <f>(AJ735+AI735)/30*7</f>
        <v>17.5</v>
      </c>
      <c r="AL735" s="6">
        <f>IF(AK735-C735&lt;0,0,AK735-C735)</f>
        <v>0</v>
      </c>
      <c r="AM735" s="6">
        <f>IF(AL735-R735-S735&lt;0,0,AL735-R735-S735)</f>
        <v>0</v>
      </c>
      <c r="AN735" s="5" t="str">
        <f t="shared" si="23"/>
        <v/>
      </c>
      <c r="AO735" s="5">
        <v>0</v>
      </c>
      <c r="AP735" s="9"/>
      <c r="AQ735" s="5" t="s">
        <v>1210</v>
      </c>
      <c r="AR735" s="5" t="s">
        <v>1210</v>
      </c>
      <c r="AS735" s="8"/>
      <c r="AT735" s="8"/>
      <c r="AU735" s="8"/>
      <c r="AV735" s="8"/>
      <c r="AW735" s="8"/>
      <c r="AX735" s="8"/>
      <c r="AY735" s="8"/>
      <c r="AZ735" s="8"/>
    </row>
    <row r="736" spans="1:52">
      <c r="A736" s="5" t="s">
        <v>242</v>
      </c>
      <c r="B736" s="5" t="s">
        <v>1143</v>
      </c>
      <c r="C736" s="19">
        <v>868</v>
      </c>
      <c r="E736" s="14"/>
      <c r="F736" s="11"/>
      <c r="G736" s="11"/>
      <c r="H736" s="11"/>
      <c r="I736" s="11"/>
      <c r="J736" s="25"/>
      <c r="K736" s="11"/>
      <c r="L736" s="11"/>
      <c r="M736" s="19">
        <v>0</v>
      </c>
      <c r="O736" s="6"/>
      <c r="P736" s="16">
        <v>0</v>
      </c>
      <c r="Q736" s="16">
        <v>844</v>
      </c>
      <c r="R736" s="22"/>
      <c r="S736" s="22">
        <f t="shared" si="22"/>
        <v>0</v>
      </c>
      <c r="T736" s="5" t="s">
        <v>1210</v>
      </c>
      <c r="U736" s="5" t="s">
        <v>1210</v>
      </c>
      <c r="Y736" s="8"/>
      <c r="Z736" s="8"/>
      <c r="AA736" s="8"/>
      <c r="AB736" s="8"/>
      <c r="AC736" s="8"/>
      <c r="AD736" s="8"/>
      <c r="AE736" s="25"/>
      <c r="AF736" s="11"/>
      <c r="AG736" s="25"/>
      <c r="AH736" s="11"/>
      <c r="AI736" s="11">
        <v>87</v>
      </c>
      <c r="AJ736" s="19">
        <v>13</v>
      </c>
      <c r="AK736" s="12">
        <f>(AJ736+AI736)/30*7</f>
        <v>23.333333333333336</v>
      </c>
      <c r="AL736" s="6">
        <f>IF(AK736-C736&lt;0,0,AK736-C736)</f>
        <v>0</v>
      </c>
      <c r="AM736" s="6">
        <f>IF(AL736-R736-S736&lt;0,0,AL736-R736-S736)</f>
        <v>0</v>
      </c>
      <c r="AN736" s="5" t="str">
        <f t="shared" si="23"/>
        <v/>
      </c>
      <c r="AO736" s="5">
        <v>0</v>
      </c>
      <c r="AP736" s="9"/>
      <c r="AQ736" s="5" t="s">
        <v>1210</v>
      </c>
      <c r="AR736" s="5" t="s">
        <v>1210</v>
      </c>
      <c r="AS736" s="8"/>
      <c r="AT736" s="8"/>
      <c r="AU736" s="8"/>
      <c r="AV736" s="8"/>
      <c r="AW736" s="8"/>
      <c r="AX736" s="8"/>
      <c r="AY736" s="8"/>
      <c r="AZ736" s="8"/>
    </row>
    <row r="737" spans="1:52">
      <c r="A737" s="5" t="s">
        <v>963</v>
      </c>
      <c r="B737" s="5">
        <v>1331</v>
      </c>
      <c r="C737" s="19">
        <v>298</v>
      </c>
      <c r="E737" s="14"/>
      <c r="F737" s="11"/>
      <c r="G737" s="11"/>
      <c r="H737" s="11"/>
      <c r="I737" s="11"/>
      <c r="J737" s="25"/>
      <c r="K737" s="11"/>
      <c r="L737" s="11"/>
      <c r="M737" s="19">
        <v>0</v>
      </c>
      <c r="O737" s="6"/>
      <c r="P737" s="16">
        <v>476</v>
      </c>
      <c r="Q737" s="16">
        <v>0</v>
      </c>
      <c r="R737" s="22"/>
      <c r="S737" s="22">
        <f t="shared" si="22"/>
        <v>0</v>
      </c>
      <c r="T737" s="5">
        <v>1331</v>
      </c>
      <c r="U737" s="5">
        <v>298</v>
      </c>
      <c r="Y737" s="8"/>
      <c r="Z737" s="8"/>
      <c r="AA737" s="8"/>
      <c r="AB737" s="8"/>
      <c r="AC737" s="8"/>
      <c r="AD737" s="8"/>
      <c r="AE737" s="25"/>
      <c r="AF737" s="11"/>
      <c r="AG737" s="25"/>
      <c r="AH737" s="11"/>
      <c r="AI737" s="11">
        <v>100</v>
      </c>
      <c r="AJ737" s="19">
        <v>0</v>
      </c>
      <c r="AK737" s="12">
        <f>(AJ737+AI737)/30*7</f>
        <v>23.333333333333336</v>
      </c>
      <c r="AL737" s="6">
        <f>IF(AK737-C737&lt;0,0,AK737-C737)</f>
        <v>0</v>
      </c>
      <c r="AM737" s="6">
        <f>IF(AL737-R737-S737&lt;0,0,AL737-R737-S737)</f>
        <v>0</v>
      </c>
      <c r="AN737" s="5" t="str">
        <f t="shared" si="23"/>
        <v/>
      </c>
      <c r="AO737" s="5">
        <v>0</v>
      </c>
      <c r="AP737" s="9"/>
      <c r="AQ737" s="5" t="s">
        <v>1210</v>
      </c>
      <c r="AR737" s="5" t="s">
        <v>1210</v>
      </c>
      <c r="AS737" s="8"/>
      <c r="AT737" s="8"/>
      <c r="AU737" s="8"/>
      <c r="AV737" s="8"/>
      <c r="AW737" s="8"/>
      <c r="AX737" s="8"/>
      <c r="AY737" s="8"/>
      <c r="AZ737" s="8"/>
    </row>
    <row r="738" spans="1:52">
      <c r="A738" s="5" t="s">
        <v>788</v>
      </c>
      <c r="B738" s="5">
        <v>682</v>
      </c>
      <c r="C738" s="19">
        <v>513</v>
      </c>
      <c r="E738" s="14"/>
      <c r="F738" s="11"/>
      <c r="G738" s="11"/>
      <c r="H738" s="11"/>
      <c r="I738" s="11"/>
      <c r="J738" s="25"/>
      <c r="K738" s="11"/>
      <c r="L738" s="11"/>
      <c r="M738" s="19">
        <v>0</v>
      </c>
      <c r="O738" s="6"/>
      <c r="P738" s="16">
        <v>0</v>
      </c>
      <c r="Q738" s="16">
        <v>0</v>
      </c>
      <c r="R738" s="22"/>
      <c r="S738" s="22">
        <f t="shared" si="22"/>
        <v>0</v>
      </c>
      <c r="T738" s="5" t="s">
        <v>1210</v>
      </c>
      <c r="U738" s="5" t="s">
        <v>1210</v>
      </c>
      <c r="Y738" s="8"/>
      <c r="Z738" s="8"/>
      <c r="AA738" s="8"/>
      <c r="AB738" s="8"/>
      <c r="AC738" s="8"/>
      <c r="AD738" s="8"/>
      <c r="AE738" s="25"/>
      <c r="AF738" s="11"/>
      <c r="AG738" s="25"/>
      <c r="AH738" s="11"/>
      <c r="AI738" s="11">
        <v>40</v>
      </c>
      <c r="AJ738" s="19">
        <v>0</v>
      </c>
      <c r="AK738" s="12">
        <f>(AJ738+AI738)/30*7</f>
        <v>9.3333333333333321</v>
      </c>
      <c r="AL738" s="6">
        <f>IF(AK738-C738&lt;0,0,AK738-C738)</f>
        <v>0</v>
      </c>
      <c r="AM738" s="6">
        <f>IF(AL738-R738-S738&lt;0,0,AL738-R738-S738)</f>
        <v>0</v>
      </c>
      <c r="AN738" s="5" t="str">
        <f t="shared" si="23"/>
        <v/>
      </c>
      <c r="AO738" s="5">
        <v>0</v>
      </c>
      <c r="AP738" s="9"/>
      <c r="AQ738" s="5" t="s">
        <v>1210</v>
      </c>
      <c r="AR738" s="5" t="s">
        <v>1210</v>
      </c>
      <c r="AS738" s="8"/>
      <c r="AT738" s="8"/>
      <c r="AU738" s="8"/>
      <c r="AV738" s="8"/>
      <c r="AW738" s="8"/>
      <c r="AX738" s="8"/>
      <c r="AY738" s="8"/>
      <c r="AZ738" s="8"/>
    </row>
    <row r="739" spans="1:52">
      <c r="A739" s="5" t="s">
        <v>515</v>
      </c>
      <c r="B739" s="5">
        <v>1800</v>
      </c>
      <c r="C739" s="19">
        <v>897</v>
      </c>
      <c r="E739" s="14"/>
      <c r="F739" s="11"/>
      <c r="G739" s="11"/>
      <c r="H739" s="11"/>
      <c r="I739" s="11"/>
      <c r="J739" s="25"/>
      <c r="K739" s="11"/>
      <c r="L739" s="11"/>
      <c r="M739" s="19">
        <v>0</v>
      </c>
      <c r="O739" s="6"/>
      <c r="P739" s="16">
        <v>450</v>
      </c>
      <c r="Q739" s="16">
        <v>377</v>
      </c>
      <c r="R739" s="22"/>
      <c r="S739" s="22">
        <f t="shared" si="22"/>
        <v>0</v>
      </c>
      <c r="T739" s="5" t="s">
        <v>1210</v>
      </c>
      <c r="U739" s="5" t="s">
        <v>1210</v>
      </c>
      <c r="Y739" s="8"/>
      <c r="Z739" s="8"/>
      <c r="AA739" s="8"/>
      <c r="AB739" s="8"/>
      <c r="AC739" s="8"/>
      <c r="AD739" s="8"/>
      <c r="AE739" s="25"/>
      <c r="AF739" s="11"/>
      <c r="AG739" s="25"/>
      <c r="AH739" s="11"/>
      <c r="AI739" s="11">
        <v>55</v>
      </c>
      <c r="AJ739" s="19">
        <v>27</v>
      </c>
      <c r="AK739" s="12">
        <f>(AJ739+AI739)/30*7</f>
        <v>19.133333333333333</v>
      </c>
      <c r="AL739" s="6">
        <f>IF(AK739-C739&lt;0,0,AK739-C739)</f>
        <v>0</v>
      </c>
      <c r="AM739" s="6">
        <f>IF(AL739-R739-S739&lt;0,0,AL739-R739-S739)</f>
        <v>0</v>
      </c>
      <c r="AN739" s="5" t="str">
        <f t="shared" si="23"/>
        <v/>
      </c>
      <c r="AO739" s="5">
        <v>0</v>
      </c>
      <c r="AP739" s="9"/>
      <c r="AQ739" s="5" t="s">
        <v>1210</v>
      </c>
      <c r="AR739" s="5" t="s">
        <v>1210</v>
      </c>
      <c r="AS739" s="8"/>
      <c r="AT739" s="8"/>
      <c r="AU739" s="8"/>
      <c r="AV739" s="8"/>
      <c r="AW739" s="8"/>
      <c r="AX739" s="8"/>
      <c r="AY739" s="8"/>
      <c r="AZ739" s="8"/>
    </row>
    <row r="740" spans="1:52">
      <c r="A740" s="5" t="s">
        <v>112</v>
      </c>
      <c r="B740" s="5">
        <v>1498</v>
      </c>
      <c r="C740" s="19">
        <v>620</v>
      </c>
      <c r="E740" s="14"/>
      <c r="F740" s="11"/>
      <c r="G740" s="11"/>
      <c r="H740" s="11"/>
      <c r="I740" s="11"/>
      <c r="J740" s="25"/>
      <c r="K740" s="11"/>
      <c r="L740" s="11"/>
      <c r="M740" s="19">
        <v>0</v>
      </c>
      <c r="O740" s="6"/>
      <c r="P740" s="16">
        <v>780</v>
      </c>
      <c r="Q740" s="16">
        <v>0</v>
      </c>
      <c r="R740" s="22"/>
      <c r="S740" s="22">
        <f t="shared" si="22"/>
        <v>0</v>
      </c>
      <c r="T740" s="5" t="s">
        <v>1210</v>
      </c>
      <c r="U740" s="5" t="s">
        <v>1210</v>
      </c>
      <c r="Y740" s="8"/>
      <c r="Z740" s="8"/>
      <c r="AA740" s="8"/>
      <c r="AB740" s="8"/>
      <c r="AC740" s="8"/>
      <c r="AD740" s="8"/>
      <c r="AE740" s="25"/>
      <c r="AF740" s="11"/>
      <c r="AG740" s="25"/>
      <c r="AH740" s="11"/>
      <c r="AI740" s="11">
        <v>51</v>
      </c>
      <c r="AJ740" s="19">
        <v>125</v>
      </c>
      <c r="AK740" s="12">
        <f>(AJ740+AI740)/30*7</f>
        <v>41.066666666666663</v>
      </c>
      <c r="AL740" s="6">
        <f>IF(AK740-C740&lt;0,0,AK740-C740)</f>
        <v>0</v>
      </c>
      <c r="AM740" s="6">
        <f>IF(AL740-R740-S740&lt;0,0,AL740-R740-S740)</f>
        <v>0</v>
      </c>
      <c r="AN740" s="5" t="str">
        <f t="shared" si="23"/>
        <v/>
      </c>
      <c r="AO740" s="5">
        <v>0</v>
      </c>
      <c r="AP740" s="9"/>
      <c r="AQ740" s="5" t="s">
        <v>1210</v>
      </c>
      <c r="AR740" s="5" t="s">
        <v>1210</v>
      </c>
      <c r="AS740" s="8"/>
      <c r="AT740" s="8"/>
      <c r="AU740" s="8"/>
      <c r="AV740" s="8"/>
      <c r="AW740" s="8"/>
      <c r="AX740" s="8"/>
      <c r="AY740" s="8"/>
      <c r="AZ740" s="8"/>
    </row>
    <row r="741" spans="1:52">
      <c r="A741" s="5" t="s">
        <v>240</v>
      </c>
      <c r="B741" s="5">
        <v>961</v>
      </c>
      <c r="C741" s="19">
        <v>322</v>
      </c>
      <c r="E741" s="14"/>
      <c r="F741" s="11"/>
      <c r="G741" s="11"/>
      <c r="H741" s="11"/>
      <c r="I741" s="11"/>
      <c r="J741" s="25"/>
      <c r="K741" s="11"/>
      <c r="L741" s="11"/>
      <c r="M741" s="19">
        <v>0</v>
      </c>
      <c r="O741" s="6"/>
      <c r="P741" s="16">
        <v>244</v>
      </c>
      <c r="Q741" s="16">
        <v>0</v>
      </c>
      <c r="R741" s="22"/>
      <c r="S741" s="22">
        <f t="shared" si="22"/>
        <v>0</v>
      </c>
      <c r="T741" s="5" t="s">
        <v>1210</v>
      </c>
      <c r="U741" s="5" t="s">
        <v>1210</v>
      </c>
      <c r="Y741" s="8"/>
      <c r="Z741" s="8"/>
      <c r="AA741" s="8"/>
      <c r="AB741" s="8"/>
      <c r="AC741" s="8"/>
      <c r="AD741" s="8"/>
      <c r="AE741" s="25"/>
      <c r="AF741" s="11"/>
      <c r="AG741" s="25"/>
      <c r="AH741" s="11"/>
      <c r="AI741" s="11">
        <v>92</v>
      </c>
      <c r="AJ741" s="19">
        <v>32</v>
      </c>
      <c r="AK741" s="12">
        <f>(AJ741+AI741)/30*7</f>
        <v>28.933333333333337</v>
      </c>
      <c r="AL741" s="6">
        <f>IF(AK741-C741&lt;0,0,AK741-C741)</f>
        <v>0</v>
      </c>
      <c r="AM741" s="6">
        <f>IF(AL741-R741-S741&lt;0,0,AL741-R741-S741)</f>
        <v>0</v>
      </c>
      <c r="AN741" s="5" t="str">
        <f t="shared" si="23"/>
        <v/>
      </c>
      <c r="AO741" s="5">
        <v>0</v>
      </c>
      <c r="AP741" s="9"/>
      <c r="AQ741" s="5" t="s">
        <v>1210</v>
      </c>
      <c r="AR741" s="5" t="s">
        <v>1210</v>
      </c>
      <c r="AS741" s="8"/>
      <c r="AT741" s="8"/>
      <c r="AU741" s="8"/>
      <c r="AV741" s="8"/>
      <c r="AW741" s="8"/>
      <c r="AX741" s="8"/>
      <c r="AY741" s="8"/>
      <c r="AZ741" s="8"/>
    </row>
    <row r="742" spans="1:52">
      <c r="A742" s="5" t="s">
        <v>863</v>
      </c>
      <c r="B742" s="5">
        <v>2025</v>
      </c>
      <c r="C742" s="19">
        <v>414</v>
      </c>
      <c r="E742" s="14"/>
      <c r="F742" s="11"/>
      <c r="G742" s="11"/>
      <c r="H742" s="11"/>
      <c r="I742" s="11"/>
      <c r="J742" s="25"/>
      <c r="K742" s="11"/>
      <c r="L742" s="11"/>
      <c r="M742" s="19">
        <v>0</v>
      </c>
      <c r="O742" s="6"/>
      <c r="P742" s="16">
        <v>681</v>
      </c>
      <c r="Q742" s="16">
        <v>0</v>
      </c>
      <c r="R742" s="22"/>
      <c r="S742" s="22">
        <f t="shared" si="22"/>
        <v>0</v>
      </c>
      <c r="T742" s="5" t="s">
        <v>1210</v>
      </c>
      <c r="U742" s="5" t="s">
        <v>1210</v>
      </c>
      <c r="Y742" s="8"/>
      <c r="Z742" s="8"/>
      <c r="AA742" s="8"/>
      <c r="AB742" s="8"/>
      <c r="AC742" s="8"/>
      <c r="AD742" s="8"/>
      <c r="AE742" s="25"/>
      <c r="AF742" s="11"/>
      <c r="AG742" s="25"/>
      <c r="AH742" s="11"/>
      <c r="AI742" s="11">
        <v>64</v>
      </c>
      <c r="AJ742" s="19">
        <v>0</v>
      </c>
      <c r="AK742" s="12">
        <f>(AJ742+AI742)/30*7</f>
        <v>14.933333333333334</v>
      </c>
      <c r="AL742" s="6">
        <f>IF(AK742-C742&lt;0,0,AK742-C742)</f>
        <v>0</v>
      </c>
      <c r="AM742" s="6">
        <f>IF(AL742-R742-S742&lt;0,0,AL742-R742-S742)</f>
        <v>0</v>
      </c>
      <c r="AN742" s="5" t="str">
        <f t="shared" si="23"/>
        <v/>
      </c>
      <c r="AO742" s="5">
        <v>0</v>
      </c>
      <c r="AP742" s="9"/>
      <c r="AQ742" s="5" t="s">
        <v>1210</v>
      </c>
      <c r="AR742" s="5" t="s">
        <v>1210</v>
      </c>
      <c r="AS742" s="8"/>
      <c r="AT742" s="8"/>
      <c r="AU742" s="8"/>
      <c r="AV742" s="8"/>
      <c r="AW742" s="8"/>
      <c r="AX742" s="8"/>
      <c r="AY742" s="8"/>
      <c r="AZ742" s="8"/>
    </row>
    <row r="743" spans="1:52">
      <c r="A743" s="5" t="s">
        <v>1117</v>
      </c>
      <c r="B743" s="5">
        <v>1953</v>
      </c>
      <c r="C743" s="19">
        <v>563</v>
      </c>
      <c r="E743" s="14"/>
      <c r="F743" s="11"/>
      <c r="G743" s="11"/>
      <c r="H743" s="11"/>
      <c r="I743" s="11"/>
      <c r="J743" s="25"/>
      <c r="K743" s="11"/>
      <c r="L743" s="11"/>
      <c r="M743" s="19">
        <v>2</v>
      </c>
      <c r="O743" s="6"/>
      <c r="P743" s="16">
        <v>314</v>
      </c>
      <c r="Q743" s="16">
        <v>0</v>
      </c>
      <c r="R743" s="22"/>
      <c r="S743" s="22">
        <f t="shared" si="22"/>
        <v>0</v>
      </c>
      <c r="T743" s="5" t="s">
        <v>1210</v>
      </c>
      <c r="U743" s="5" t="s">
        <v>1210</v>
      </c>
      <c r="Y743" s="8"/>
      <c r="Z743" s="8"/>
      <c r="AA743" s="8"/>
      <c r="AB743" s="8"/>
      <c r="AC743" s="8"/>
      <c r="AD743" s="8"/>
      <c r="AE743" s="25"/>
      <c r="AF743" s="11"/>
      <c r="AG743" s="25"/>
      <c r="AH743" s="11"/>
      <c r="AI743" s="11">
        <v>34</v>
      </c>
      <c r="AJ743" s="19">
        <v>0</v>
      </c>
      <c r="AK743" s="12">
        <f>(AJ743+AI743)/30*7</f>
        <v>7.9333333333333336</v>
      </c>
      <c r="AL743" s="6">
        <f>IF(AK743-C743&lt;0,0,AK743-C743)</f>
        <v>0</v>
      </c>
      <c r="AM743" s="6">
        <f>IF(AL743-R743-S743&lt;0,0,AL743-R743-S743)</f>
        <v>0</v>
      </c>
      <c r="AN743" s="5" t="str">
        <f t="shared" si="23"/>
        <v/>
      </c>
      <c r="AO743" s="5">
        <v>0</v>
      </c>
      <c r="AP743" s="9"/>
      <c r="AQ743" s="5" t="s">
        <v>1210</v>
      </c>
      <c r="AR743" s="5" t="s">
        <v>1210</v>
      </c>
      <c r="AS743" s="8"/>
      <c r="AT743" s="8"/>
      <c r="AU743" s="8"/>
      <c r="AV743" s="8"/>
      <c r="AW743" s="8"/>
      <c r="AX743" s="8"/>
      <c r="AY743" s="8"/>
      <c r="AZ743" s="8"/>
    </row>
    <row r="744" spans="1:52">
      <c r="A744" s="5" t="s">
        <v>530</v>
      </c>
      <c r="B744" s="5">
        <v>613</v>
      </c>
      <c r="C744" s="19">
        <v>881</v>
      </c>
      <c r="E744" s="14"/>
      <c r="F744" s="11"/>
      <c r="G744" s="11"/>
      <c r="H744" s="11"/>
      <c r="I744" s="11"/>
      <c r="J744" s="25"/>
      <c r="K744" s="11"/>
      <c r="L744" s="11"/>
      <c r="M744" s="19">
        <v>0</v>
      </c>
      <c r="O744" s="6"/>
      <c r="P744" s="16">
        <v>829</v>
      </c>
      <c r="Q744" s="16">
        <v>532</v>
      </c>
      <c r="R744" s="22"/>
      <c r="S744" s="22">
        <f t="shared" si="22"/>
        <v>0</v>
      </c>
      <c r="T744" s="5" t="s">
        <v>1210</v>
      </c>
      <c r="U744" s="5" t="s">
        <v>1210</v>
      </c>
      <c r="Y744" s="8"/>
      <c r="Z744" s="8"/>
      <c r="AA744" s="8"/>
      <c r="AB744" s="8"/>
      <c r="AC744" s="8"/>
      <c r="AD744" s="8"/>
      <c r="AE744" s="25"/>
      <c r="AF744" s="11"/>
      <c r="AG744" s="25"/>
      <c r="AH744" s="11"/>
      <c r="AI744" s="11">
        <v>21</v>
      </c>
      <c r="AJ744" s="19">
        <v>0</v>
      </c>
      <c r="AK744" s="12">
        <f>(AJ744+AI744)/30*7</f>
        <v>4.8999999999999995</v>
      </c>
      <c r="AL744" s="6">
        <f>IF(AK744-C744&lt;0,0,AK744-C744)</f>
        <v>0</v>
      </c>
      <c r="AM744" s="6">
        <f>IF(AL744-R744-S744&lt;0,0,AL744-R744-S744)</f>
        <v>0</v>
      </c>
      <c r="AN744" s="5" t="str">
        <f t="shared" si="23"/>
        <v/>
      </c>
      <c r="AO744" s="5">
        <v>0</v>
      </c>
      <c r="AP744" s="9"/>
      <c r="AQ744" s="5" t="s">
        <v>1210</v>
      </c>
      <c r="AR744" s="5" t="s">
        <v>1230</v>
      </c>
      <c r="AS744" s="8"/>
      <c r="AT744" s="8"/>
      <c r="AU744" s="8"/>
      <c r="AV744" s="8"/>
      <c r="AW744" s="8"/>
      <c r="AX744" s="8"/>
      <c r="AY744" s="8"/>
      <c r="AZ744" s="8"/>
    </row>
    <row r="745" spans="1:52">
      <c r="A745" s="5" t="s">
        <v>482</v>
      </c>
      <c r="B745" s="5">
        <v>2186</v>
      </c>
      <c r="C745" s="19">
        <v>960</v>
      </c>
      <c r="E745" s="14"/>
      <c r="F745" s="11"/>
      <c r="G745" s="11"/>
      <c r="H745" s="11"/>
      <c r="I745" s="11"/>
      <c r="J745" s="25"/>
      <c r="K745" s="11"/>
      <c r="L745" s="11"/>
      <c r="M745" s="19">
        <v>0</v>
      </c>
      <c r="O745" s="6"/>
      <c r="P745" s="16">
        <v>571</v>
      </c>
      <c r="Q745" s="16">
        <v>0</v>
      </c>
      <c r="R745" s="22"/>
      <c r="S745" s="22">
        <f t="shared" si="22"/>
        <v>0</v>
      </c>
      <c r="T745" s="5" t="s">
        <v>1210</v>
      </c>
      <c r="U745" s="5" t="s">
        <v>1210</v>
      </c>
      <c r="Y745" s="8"/>
      <c r="Z745" s="8"/>
      <c r="AA745" s="8"/>
      <c r="AB745" s="8"/>
      <c r="AC745" s="8"/>
      <c r="AD745" s="8"/>
      <c r="AE745" s="25"/>
      <c r="AF745" s="11"/>
      <c r="AG745" s="25"/>
      <c r="AH745" s="11"/>
      <c r="AI745" s="11">
        <v>25</v>
      </c>
      <c r="AJ745" s="19">
        <v>13</v>
      </c>
      <c r="AK745" s="12">
        <f>(AJ745+AI745)/30*7</f>
        <v>8.8666666666666671</v>
      </c>
      <c r="AL745" s="6">
        <f>IF(AK745-C745&lt;0,0,AK745-C745)</f>
        <v>0</v>
      </c>
      <c r="AM745" s="6">
        <f>IF(AL745-R745-S745&lt;0,0,AL745-R745-S745)</f>
        <v>0</v>
      </c>
      <c r="AN745" s="5" t="str">
        <f t="shared" si="23"/>
        <v/>
      </c>
      <c r="AO745" s="5">
        <v>0</v>
      </c>
      <c r="AP745" s="9"/>
      <c r="AQ745" s="5" t="s">
        <v>1210</v>
      </c>
      <c r="AR745" s="5" t="s">
        <v>1210</v>
      </c>
      <c r="AS745" s="8"/>
      <c r="AT745" s="8"/>
      <c r="AU745" s="8"/>
      <c r="AV745" s="8"/>
      <c r="AW745" s="8"/>
      <c r="AX745" s="8"/>
      <c r="AY745" s="8"/>
      <c r="AZ745" s="8"/>
    </row>
    <row r="746" spans="1:52">
      <c r="A746" s="5" t="s">
        <v>726</v>
      </c>
      <c r="B746" s="5">
        <v>1263</v>
      </c>
      <c r="C746" s="19">
        <v>481</v>
      </c>
      <c r="E746" s="14"/>
      <c r="F746" s="11"/>
      <c r="G746" s="11"/>
      <c r="H746" s="11"/>
      <c r="I746" s="11"/>
      <c r="J746" s="25"/>
      <c r="K746" s="11"/>
      <c r="L746" s="11"/>
      <c r="M746" s="19">
        <v>0</v>
      </c>
      <c r="O746" s="6"/>
      <c r="P746" s="16">
        <v>0</v>
      </c>
      <c r="Q746" s="16">
        <v>718</v>
      </c>
      <c r="R746" s="22"/>
      <c r="S746" s="22">
        <f t="shared" si="22"/>
        <v>0</v>
      </c>
      <c r="T746" s="5" t="s">
        <v>1210</v>
      </c>
      <c r="U746" s="5" t="s">
        <v>1210</v>
      </c>
      <c r="Y746" s="8"/>
      <c r="Z746" s="8"/>
      <c r="AA746" s="8"/>
      <c r="AB746" s="8"/>
      <c r="AC746" s="8"/>
      <c r="AD746" s="8"/>
      <c r="AE746" s="25"/>
      <c r="AF746" s="11"/>
      <c r="AG746" s="25"/>
      <c r="AH746" s="11"/>
      <c r="AI746" s="11">
        <v>98</v>
      </c>
      <c r="AJ746" s="19">
        <v>0</v>
      </c>
      <c r="AK746" s="12">
        <f>(AJ746+AI746)/30*7</f>
        <v>22.866666666666667</v>
      </c>
      <c r="AL746" s="6">
        <f>IF(AK746-C746&lt;0,0,AK746-C746)</f>
        <v>0</v>
      </c>
      <c r="AM746" s="6">
        <f>IF(AL746-R746-S746&lt;0,0,AL746-R746-S746)</f>
        <v>0</v>
      </c>
      <c r="AN746" s="5" t="str">
        <f t="shared" si="23"/>
        <v/>
      </c>
      <c r="AO746" s="5">
        <v>0</v>
      </c>
      <c r="AP746" s="9"/>
      <c r="AQ746" s="5" t="s">
        <v>1210</v>
      </c>
      <c r="AR746" s="5" t="s">
        <v>1210</v>
      </c>
      <c r="AS746" s="8"/>
      <c r="AT746" s="8"/>
      <c r="AU746" s="8"/>
      <c r="AV746" s="8"/>
      <c r="AW746" s="8"/>
      <c r="AX746" s="8"/>
      <c r="AY746" s="8"/>
      <c r="AZ746" s="8"/>
    </row>
    <row r="747" spans="1:52">
      <c r="A747" s="5" t="s">
        <v>312</v>
      </c>
      <c r="B747" s="5">
        <v>881</v>
      </c>
      <c r="C747" s="19">
        <v>403</v>
      </c>
      <c r="E747" s="14"/>
      <c r="F747" s="11"/>
      <c r="G747" s="11"/>
      <c r="H747" s="11"/>
      <c r="I747" s="11"/>
      <c r="J747" s="25"/>
      <c r="K747" s="11"/>
      <c r="L747" s="11"/>
      <c r="M747" s="19">
        <v>0</v>
      </c>
      <c r="O747" s="6"/>
      <c r="P747" s="16">
        <v>467</v>
      </c>
      <c r="Q747" s="16">
        <v>855</v>
      </c>
      <c r="R747" s="22"/>
      <c r="S747" s="22">
        <f t="shared" si="22"/>
        <v>0</v>
      </c>
      <c r="U747" s="5" t="s">
        <v>1210</v>
      </c>
      <c r="Y747" s="8"/>
      <c r="Z747" s="8"/>
      <c r="AA747" s="8"/>
      <c r="AB747" s="8"/>
      <c r="AC747" s="8"/>
      <c r="AD747" s="8"/>
      <c r="AE747" s="25"/>
      <c r="AF747" s="11"/>
      <c r="AG747" s="25"/>
      <c r="AH747" s="11"/>
      <c r="AI747" s="11">
        <v>13</v>
      </c>
      <c r="AJ747" s="19">
        <v>72</v>
      </c>
      <c r="AK747" s="12">
        <f>(AJ747+AI747)/30*7</f>
        <v>19.833333333333336</v>
      </c>
      <c r="AL747" s="6">
        <f>IF(AK747-C747&lt;0,0,AK747-C747)</f>
        <v>0</v>
      </c>
      <c r="AM747" s="6">
        <f>IF(AL747-R747-S747&lt;0,0,AL747-R747-S747)</f>
        <v>0</v>
      </c>
      <c r="AN747" s="5" t="str">
        <f t="shared" si="23"/>
        <v/>
      </c>
      <c r="AO747" s="5">
        <v>0</v>
      </c>
      <c r="AP747" s="9"/>
      <c r="AQ747" s="5" t="s">
        <v>1210</v>
      </c>
      <c r="AR747" s="5" t="s">
        <v>1210</v>
      </c>
      <c r="AS747" s="8"/>
      <c r="AT747" s="8"/>
      <c r="AU747" s="8"/>
      <c r="AV747" s="8"/>
      <c r="AW747" s="8"/>
      <c r="AX747" s="8"/>
      <c r="AY747" s="8"/>
      <c r="AZ747" s="8"/>
    </row>
    <row r="748" spans="1:52">
      <c r="A748" s="5" t="s">
        <v>783</v>
      </c>
      <c r="B748" s="5">
        <v>1936</v>
      </c>
      <c r="C748" s="19">
        <v>556</v>
      </c>
      <c r="E748" s="14"/>
      <c r="F748" s="11"/>
      <c r="G748" s="11"/>
      <c r="H748" s="11"/>
      <c r="I748" s="11"/>
      <c r="J748" s="25"/>
      <c r="K748" s="11"/>
      <c r="L748" s="11"/>
      <c r="M748" s="19">
        <v>0</v>
      </c>
      <c r="O748" s="6"/>
      <c r="P748" s="16">
        <v>774</v>
      </c>
      <c r="Q748" s="16">
        <v>0</v>
      </c>
      <c r="R748" s="22"/>
      <c r="S748" s="22">
        <f t="shared" si="22"/>
        <v>0</v>
      </c>
      <c r="T748" s="5" t="s">
        <v>1210</v>
      </c>
      <c r="U748" s="5" t="s">
        <v>1210</v>
      </c>
      <c r="Y748" s="8"/>
      <c r="Z748" s="8"/>
      <c r="AA748" s="8"/>
      <c r="AB748" s="8"/>
      <c r="AC748" s="8"/>
      <c r="AD748" s="8"/>
      <c r="AE748" s="25"/>
      <c r="AF748" s="11"/>
      <c r="AG748" s="25"/>
      <c r="AH748" s="11"/>
      <c r="AI748" s="11">
        <v>85</v>
      </c>
      <c r="AJ748" s="19">
        <v>0</v>
      </c>
      <c r="AK748" s="12">
        <f>(AJ748+AI748)/30*7</f>
        <v>19.833333333333336</v>
      </c>
      <c r="AL748" s="6">
        <f>IF(AK748-C748&lt;0,0,AK748-C748)</f>
        <v>0</v>
      </c>
      <c r="AM748" s="6">
        <f>IF(AL748-R748-S748&lt;0,0,AL748-R748-S748)</f>
        <v>0</v>
      </c>
      <c r="AN748" s="5" t="str">
        <f t="shared" si="23"/>
        <v/>
      </c>
      <c r="AO748" s="5">
        <v>0</v>
      </c>
      <c r="AP748" s="9"/>
      <c r="AQ748" s="5" t="s">
        <v>1210</v>
      </c>
      <c r="AR748" s="5" t="s">
        <v>1210</v>
      </c>
      <c r="AS748" s="8"/>
      <c r="AT748" s="8"/>
      <c r="AU748" s="8"/>
      <c r="AV748" s="8"/>
      <c r="AW748" s="8"/>
      <c r="AX748" s="8"/>
      <c r="AY748" s="8"/>
      <c r="AZ748" s="8"/>
    </row>
    <row r="749" spans="1:52">
      <c r="A749" s="31" t="s">
        <v>275</v>
      </c>
      <c r="B749" s="31">
        <v>2135</v>
      </c>
      <c r="C749" s="19">
        <v>519</v>
      </c>
      <c r="E749" s="14"/>
      <c r="F749" s="11"/>
      <c r="G749" s="11"/>
      <c r="H749" s="11"/>
      <c r="I749" s="11"/>
      <c r="J749" s="25"/>
      <c r="K749" s="11"/>
      <c r="L749" s="11"/>
      <c r="M749" s="19">
        <v>0</v>
      </c>
      <c r="O749" s="6"/>
      <c r="P749" s="16">
        <v>527</v>
      </c>
      <c r="Q749" s="16">
        <v>0</v>
      </c>
      <c r="R749" s="22"/>
      <c r="S749" s="22">
        <f t="shared" si="22"/>
        <v>0</v>
      </c>
      <c r="T749" s="5" t="s">
        <v>1210</v>
      </c>
      <c r="U749" s="5" t="s">
        <v>1210</v>
      </c>
      <c r="Y749" s="8"/>
      <c r="Z749" s="8"/>
      <c r="AA749" s="8"/>
      <c r="AB749" s="8"/>
      <c r="AC749" s="8"/>
      <c r="AD749" s="8"/>
      <c r="AE749" s="25"/>
      <c r="AF749" s="11"/>
      <c r="AG749" s="25"/>
      <c r="AH749" s="11"/>
      <c r="AI749" s="11">
        <v>23</v>
      </c>
      <c r="AJ749" s="19">
        <v>6</v>
      </c>
      <c r="AK749" s="12">
        <f>(AJ749+AI749)/30*7</f>
        <v>6.7666666666666666</v>
      </c>
      <c r="AL749" s="6">
        <f>IF(AK749-C749&lt;0,0,AK749-C749)</f>
        <v>0</v>
      </c>
      <c r="AM749" s="6">
        <f>IF(AL749-R749-S749&lt;0,0,AL749-R749-S749)</f>
        <v>0</v>
      </c>
      <c r="AN749" s="5" t="str">
        <f t="shared" si="23"/>
        <v/>
      </c>
      <c r="AO749" s="5">
        <v>0</v>
      </c>
      <c r="AP749" s="9"/>
      <c r="AQ749" s="5" t="s">
        <v>1210</v>
      </c>
      <c r="AR749" s="5" t="s">
        <v>1210</v>
      </c>
      <c r="AS749" s="8"/>
      <c r="AT749" s="8"/>
      <c r="AU749" s="8"/>
      <c r="AV749" s="8"/>
      <c r="AW749" s="8"/>
      <c r="AX749" s="8"/>
      <c r="AY749" s="8"/>
      <c r="AZ749" s="8"/>
    </row>
    <row r="750" spans="1:52">
      <c r="A750" s="5" t="s">
        <v>782</v>
      </c>
      <c r="B750" s="5">
        <v>1087</v>
      </c>
      <c r="C750" s="19">
        <v>769</v>
      </c>
      <c r="E750" s="14"/>
      <c r="F750" s="11"/>
      <c r="G750" s="11"/>
      <c r="H750" s="11"/>
      <c r="I750" s="11"/>
      <c r="J750" s="25"/>
      <c r="K750" s="11"/>
      <c r="L750" s="11"/>
      <c r="M750" s="19">
        <v>0</v>
      </c>
      <c r="O750" s="6"/>
      <c r="P750" s="16">
        <v>0</v>
      </c>
      <c r="Q750" s="16">
        <v>0</v>
      </c>
      <c r="R750" s="22"/>
      <c r="S750" s="22">
        <f t="shared" si="22"/>
        <v>0</v>
      </c>
      <c r="T750" s="5">
        <v>1041</v>
      </c>
      <c r="U750" s="5">
        <v>854</v>
      </c>
      <c r="Y750" s="8"/>
      <c r="Z750" s="8"/>
      <c r="AA750" s="8"/>
      <c r="AB750" s="8"/>
      <c r="AC750" s="8"/>
      <c r="AD750" s="8"/>
      <c r="AE750" s="25"/>
      <c r="AF750" s="11"/>
      <c r="AG750" s="25"/>
      <c r="AH750" s="11"/>
      <c r="AI750" s="11">
        <v>46</v>
      </c>
      <c r="AJ750" s="19">
        <v>0</v>
      </c>
      <c r="AK750" s="12">
        <f>(AJ750+AI750)/30*7</f>
        <v>10.733333333333334</v>
      </c>
      <c r="AL750" s="6">
        <f>IF(AK750-C750&lt;0,0,AK750-C750)</f>
        <v>0</v>
      </c>
      <c r="AM750" s="6">
        <f>IF(AL750-R750-S750&lt;0,0,AL750-R750-S750)</f>
        <v>0</v>
      </c>
      <c r="AN750" s="5" t="str">
        <f t="shared" si="23"/>
        <v/>
      </c>
      <c r="AO750" s="5">
        <v>0</v>
      </c>
      <c r="AP750" s="9"/>
      <c r="AQ750" s="5" t="s">
        <v>1210</v>
      </c>
      <c r="AR750" s="5" t="s">
        <v>1210</v>
      </c>
      <c r="AS750" s="8"/>
      <c r="AT750" s="8"/>
      <c r="AU750" s="8"/>
      <c r="AV750" s="8"/>
      <c r="AW750" s="8"/>
      <c r="AX750" s="8"/>
      <c r="AY750" s="8"/>
      <c r="AZ750" s="8"/>
    </row>
    <row r="751" spans="1:52">
      <c r="A751" s="5" t="s">
        <v>110</v>
      </c>
      <c r="B751" s="5">
        <v>1058</v>
      </c>
      <c r="C751" s="19">
        <v>372</v>
      </c>
      <c r="E751" s="14"/>
      <c r="F751" s="11"/>
      <c r="G751" s="11"/>
      <c r="H751" s="11"/>
      <c r="I751" s="11"/>
      <c r="J751" s="25"/>
      <c r="K751" s="11"/>
      <c r="L751" s="11"/>
      <c r="M751" s="19">
        <v>0</v>
      </c>
      <c r="O751" s="6"/>
      <c r="P751" s="16">
        <v>534</v>
      </c>
      <c r="Q751" s="16">
        <v>0</v>
      </c>
      <c r="R751" s="22"/>
      <c r="S751" s="22">
        <f t="shared" si="22"/>
        <v>0</v>
      </c>
      <c r="U751" s="5" t="s">
        <v>1210</v>
      </c>
      <c r="Y751" s="8"/>
      <c r="Z751" s="8"/>
      <c r="AA751" s="8"/>
      <c r="AB751" s="8"/>
      <c r="AC751" s="8"/>
      <c r="AD751" s="8"/>
      <c r="AE751" s="25"/>
      <c r="AF751" s="11"/>
      <c r="AG751" s="25"/>
      <c r="AH751" s="11"/>
      <c r="AI751" s="11">
        <v>53</v>
      </c>
      <c r="AJ751" s="19">
        <v>74</v>
      </c>
      <c r="AK751" s="12">
        <f>(AJ751+AI751)/30*7</f>
        <v>29.633333333333333</v>
      </c>
      <c r="AL751" s="6">
        <f>IF(AK751-C751&lt;0,0,AK751-C751)</f>
        <v>0</v>
      </c>
      <c r="AM751" s="6">
        <f>IF(AL751-R751-S751&lt;0,0,AL751-R751-S751)</f>
        <v>0</v>
      </c>
      <c r="AN751" s="5" t="str">
        <f t="shared" si="23"/>
        <v/>
      </c>
      <c r="AO751" s="5">
        <v>0</v>
      </c>
      <c r="AP751" s="9"/>
      <c r="AQ751" s="5" t="s">
        <v>1210</v>
      </c>
      <c r="AR751" s="5" t="s">
        <v>1210</v>
      </c>
      <c r="AS751" s="8"/>
      <c r="AT751" s="8"/>
      <c r="AU751" s="8"/>
      <c r="AV751" s="8"/>
      <c r="AW751" s="8"/>
      <c r="AX751" s="8"/>
      <c r="AY751" s="8"/>
      <c r="AZ751" s="8"/>
    </row>
    <row r="752" spans="1:52">
      <c r="A752" s="5" t="s">
        <v>423</v>
      </c>
      <c r="B752" s="5">
        <v>2168</v>
      </c>
      <c r="C752" s="19">
        <v>383</v>
      </c>
      <c r="E752" s="14"/>
      <c r="F752" s="11"/>
      <c r="G752" s="11"/>
      <c r="H752" s="11"/>
      <c r="I752" s="11"/>
      <c r="J752" s="25"/>
      <c r="K752" s="11"/>
      <c r="L752" s="11"/>
      <c r="M752" s="19">
        <v>0</v>
      </c>
      <c r="O752" s="6"/>
      <c r="P752" s="16">
        <v>217</v>
      </c>
      <c r="Q752" s="16">
        <v>0</v>
      </c>
      <c r="R752" s="22"/>
      <c r="S752" s="22">
        <f t="shared" si="22"/>
        <v>0</v>
      </c>
      <c r="U752" s="5" t="s">
        <v>1210</v>
      </c>
      <c r="Y752" s="8"/>
      <c r="Z752" s="8"/>
      <c r="AA752" s="8"/>
      <c r="AB752" s="8"/>
      <c r="AC752" s="8"/>
      <c r="AD752" s="8"/>
      <c r="AE752" s="25"/>
      <c r="AF752" s="11"/>
      <c r="AG752" s="25"/>
      <c r="AH752" s="11"/>
      <c r="AI752" s="11">
        <v>47</v>
      </c>
      <c r="AJ752" s="19">
        <v>11</v>
      </c>
      <c r="AK752" s="12">
        <f>(AJ752+AI752)/30*7</f>
        <v>13.533333333333333</v>
      </c>
      <c r="AL752" s="6">
        <f>IF(AK752-C752&lt;0,0,AK752-C752)</f>
        <v>0</v>
      </c>
      <c r="AM752" s="6">
        <f>IF(AL752-R752-S752&lt;0,0,AL752-R752-S752)</f>
        <v>0</v>
      </c>
      <c r="AN752" s="5" t="str">
        <f t="shared" si="23"/>
        <v/>
      </c>
      <c r="AO752" s="5">
        <v>0</v>
      </c>
      <c r="AP752" s="9"/>
      <c r="AS752" s="8"/>
      <c r="AT752" s="8"/>
      <c r="AU752" s="8"/>
      <c r="AV752" s="8"/>
      <c r="AW752" s="8"/>
      <c r="AX752" s="8"/>
      <c r="AY752" s="8"/>
      <c r="AZ752" s="8"/>
    </row>
    <row r="753" spans="1:52">
      <c r="A753" s="5" t="s">
        <v>47</v>
      </c>
      <c r="B753" s="5">
        <v>1184</v>
      </c>
      <c r="C753" s="19">
        <v>392</v>
      </c>
      <c r="E753" s="14"/>
      <c r="F753" s="11"/>
      <c r="G753" s="11"/>
      <c r="H753" s="11"/>
      <c r="I753" s="11"/>
      <c r="J753" s="25"/>
      <c r="K753" s="11"/>
      <c r="L753" s="11"/>
      <c r="M753" s="19">
        <v>0</v>
      </c>
      <c r="O753" s="6"/>
      <c r="P753" s="16">
        <v>535</v>
      </c>
      <c r="Q753" s="16">
        <v>0</v>
      </c>
      <c r="R753" s="22"/>
      <c r="S753" s="22">
        <f t="shared" si="22"/>
        <v>0</v>
      </c>
      <c r="U753" s="5" t="s">
        <v>1210</v>
      </c>
      <c r="Y753" s="8"/>
      <c r="Z753" s="8"/>
      <c r="AA753" s="8"/>
      <c r="AB753" s="8"/>
      <c r="AC753" s="8"/>
      <c r="AD753" s="8"/>
      <c r="AE753" s="25"/>
      <c r="AF753" s="11"/>
      <c r="AG753" s="25"/>
      <c r="AH753" s="11"/>
      <c r="AI753" s="11">
        <v>1</v>
      </c>
      <c r="AJ753" s="19">
        <v>121</v>
      </c>
      <c r="AK753" s="12">
        <f>(AJ753+AI753)/30*7</f>
        <v>28.466666666666665</v>
      </c>
      <c r="AL753" s="6">
        <f>IF(AK753-C753&lt;0,0,AK753-C753)</f>
        <v>0</v>
      </c>
      <c r="AM753" s="6">
        <f>IF(AL753-R753-S753&lt;0,0,AL753-R753-S753)</f>
        <v>0</v>
      </c>
      <c r="AN753" s="5" t="str">
        <f t="shared" si="23"/>
        <v/>
      </c>
      <c r="AO753" s="5">
        <v>0</v>
      </c>
      <c r="AP753" s="9"/>
      <c r="AQ753" s="5" t="s">
        <v>1229</v>
      </c>
      <c r="AR753" s="5" t="s">
        <v>1210</v>
      </c>
      <c r="AS753" s="8"/>
      <c r="AT753" s="8"/>
      <c r="AU753" s="8"/>
      <c r="AV753" s="8"/>
      <c r="AW753" s="8"/>
      <c r="AX753" s="8"/>
      <c r="AY753" s="8"/>
      <c r="AZ753" s="8"/>
    </row>
    <row r="754" spans="1:52">
      <c r="A754" s="5" t="s">
        <v>251</v>
      </c>
      <c r="B754" s="5">
        <v>1055</v>
      </c>
      <c r="C754" s="19">
        <v>237</v>
      </c>
      <c r="E754" s="14"/>
      <c r="F754" s="11"/>
      <c r="G754" s="11"/>
      <c r="H754" s="11"/>
      <c r="I754" s="11"/>
      <c r="J754" s="25"/>
      <c r="K754" s="11"/>
      <c r="L754" s="11"/>
      <c r="M754" s="19">
        <v>0</v>
      </c>
      <c r="O754" s="6"/>
      <c r="P754" s="16">
        <v>606</v>
      </c>
      <c r="Q754" s="16">
        <v>0</v>
      </c>
      <c r="R754" s="22"/>
      <c r="S754" s="22">
        <f t="shared" si="22"/>
        <v>0</v>
      </c>
      <c r="T754" s="5" t="s">
        <v>1210</v>
      </c>
      <c r="U754" s="5" t="s">
        <v>1210</v>
      </c>
      <c r="Y754" s="8"/>
      <c r="Z754" s="8"/>
      <c r="AA754" s="8"/>
      <c r="AB754" s="8"/>
      <c r="AC754" s="8"/>
      <c r="AD754" s="8"/>
      <c r="AE754" s="25"/>
      <c r="AF754" s="11"/>
      <c r="AG754" s="25"/>
      <c r="AH754" s="11"/>
      <c r="AI754" s="11">
        <v>53</v>
      </c>
      <c r="AJ754" s="19">
        <v>13</v>
      </c>
      <c r="AK754" s="12">
        <f>(AJ754+AI754)/30*7</f>
        <v>15.400000000000002</v>
      </c>
      <c r="AL754" s="6">
        <f>IF(AK754-C754&lt;0,0,AK754-C754)</f>
        <v>0</v>
      </c>
      <c r="AM754" s="6">
        <f>IF(AL754-R754-S754&lt;0,0,AL754-R754-S754)</f>
        <v>0</v>
      </c>
      <c r="AN754" s="5" t="str">
        <f t="shared" si="23"/>
        <v/>
      </c>
      <c r="AO754" s="5">
        <v>0</v>
      </c>
      <c r="AP754" s="9"/>
      <c r="AQ754" s="5" t="s">
        <v>1210</v>
      </c>
      <c r="AR754" s="5" t="s">
        <v>1210</v>
      </c>
      <c r="AS754" s="8"/>
      <c r="AT754" s="8"/>
      <c r="AU754" s="8"/>
      <c r="AV754" s="8"/>
      <c r="AW754" s="8"/>
      <c r="AX754" s="8"/>
      <c r="AY754" s="8"/>
      <c r="AZ754" s="8"/>
    </row>
    <row r="755" spans="1:52">
      <c r="A755" s="5" t="s">
        <v>538</v>
      </c>
      <c r="B755" s="5">
        <v>1490</v>
      </c>
      <c r="C755" s="19">
        <v>367</v>
      </c>
      <c r="E755" s="14"/>
      <c r="F755" s="11"/>
      <c r="G755" s="11"/>
      <c r="H755" s="11"/>
      <c r="I755" s="11"/>
      <c r="J755" s="25"/>
      <c r="K755" s="11"/>
      <c r="L755" s="11"/>
      <c r="M755" s="19">
        <v>0</v>
      </c>
      <c r="O755" s="6"/>
      <c r="P755" s="16">
        <v>209</v>
      </c>
      <c r="Q755" s="16">
        <v>0</v>
      </c>
      <c r="R755" s="22"/>
      <c r="S755" s="22">
        <f t="shared" si="22"/>
        <v>0</v>
      </c>
      <c r="T755" s="5" t="s">
        <v>1210</v>
      </c>
      <c r="U755" s="5" t="s">
        <v>1210</v>
      </c>
      <c r="Y755" s="8"/>
      <c r="Z755" s="8"/>
      <c r="AA755" s="8"/>
      <c r="AB755" s="8"/>
      <c r="AC755" s="8"/>
      <c r="AD755" s="8"/>
      <c r="AE755" s="25"/>
      <c r="AF755" s="11"/>
      <c r="AG755" s="25"/>
      <c r="AH755" s="11"/>
      <c r="AI755" s="11">
        <v>24</v>
      </c>
      <c r="AJ755" s="19">
        <v>20</v>
      </c>
      <c r="AK755" s="12">
        <f>(AJ755+AI755)/30*7</f>
        <v>10.266666666666666</v>
      </c>
      <c r="AL755" s="6">
        <f>IF(AK755-C755&lt;0,0,AK755-C755)</f>
        <v>0</v>
      </c>
      <c r="AM755" s="6">
        <f>IF(AL755-R755-S755&lt;0,0,AL755-R755-S755)</f>
        <v>0</v>
      </c>
      <c r="AN755" s="5" t="str">
        <f t="shared" si="23"/>
        <v/>
      </c>
      <c r="AO755" s="5">
        <v>0</v>
      </c>
      <c r="AP755" s="9"/>
      <c r="AQ755" s="5" t="s">
        <v>1210</v>
      </c>
      <c r="AR755" s="5" t="s">
        <v>1230</v>
      </c>
      <c r="AS755" s="8"/>
      <c r="AT755" s="8"/>
      <c r="AU755" s="8"/>
      <c r="AV755" s="8"/>
      <c r="AW755" s="8"/>
      <c r="AX755" s="8"/>
      <c r="AY755" s="8"/>
      <c r="AZ755" s="8"/>
    </row>
    <row r="756" spans="1:52">
      <c r="A756" s="5" t="s">
        <v>439</v>
      </c>
      <c r="B756" s="5">
        <v>661</v>
      </c>
      <c r="C756" s="19">
        <v>760</v>
      </c>
      <c r="E756" s="14"/>
      <c r="F756" s="11"/>
      <c r="G756" s="11"/>
      <c r="H756" s="11"/>
      <c r="I756" s="11"/>
      <c r="J756" s="25"/>
      <c r="K756" s="11"/>
      <c r="L756" s="11"/>
      <c r="M756" s="19">
        <v>0</v>
      </c>
      <c r="O756" s="6"/>
      <c r="P756" s="16">
        <v>231</v>
      </c>
      <c r="Q756" s="16">
        <v>229</v>
      </c>
      <c r="R756" s="22"/>
      <c r="S756" s="22">
        <f t="shared" si="22"/>
        <v>0</v>
      </c>
      <c r="T756" s="5" t="s">
        <v>1210</v>
      </c>
      <c r="U756" s="5" t="s">
        <v>1210</v>
      </c>
      <c r="Y756" s="8"/>
      <c r="Z756" s="8"/>
      <c r="AA756" s="8"/>
      <c r="AB756" s="8"/>
      <c r="AC756" s="8"/>
      <c r="AD756" s="8"/>
      <c r="AE756" s="25"/>
      <c r="AF756" s="11"/>
      <c r="AG756" s="25"/>
      <c r="AH756" s="11"/>
      <c r="AI756" s="11">
        <v>78</v>
      </c>
      <c r="AJ756" s="19">
        <v>0</v>
      </c>
      <c r="AK756" s="12">
        <f>(AJ756+AI756)/30*7</f>
        <v>18.2</v>
      </c>
      <c r="AL756" s="6">
        <f>IF(AK756-C756&lt;0,0,AK756-C756)</f>
        <v>0</v>
      </c>
      <c r="AM756" s="6">
        <f>IF(AL756-R756-S756&lt;0,0,AL756-R756-S756)</f>
        <v>0</v>
      </c>
      <c r="AN756" s="5" t="str">
        <f t="shared" si="23"/>
        <v/>
      </c>
      <c r="AO756" s="5">
        <v>0</v>
      </c>
      <c r="AP756" s="9"/>
      <c r="AQ756" s="5" t="s">
        <v>1210</v>
      </c>
      <c r="AR756" s="5" t="s">
        <v>1230</v>
      </c>
      <c r="AS756" s="8"/>
      <c r="AT756" s="8"/>
      <c r="AU756" s="8"/>
      <c r="AV756" s="8"/>
      <c r="AW756" s="8"/>
      <c r="AX756" s="8"/>
      <c r="AY756" s="8"/>
      <c r="AZ756" s="8"/>
    </row>
    <row r="757" spans="1:52">
      <c r="A757" s="5" t="s">
        <v>173</v>
      </c>
      <c r="B757" s="5">
        <v>843</v>
      </c>
      <c r="C757" s="19">
        <v>524</v>
      </c>
      <c r="E757" s="14"/>
      <c r="F757" s="11"/>
      <c r="G757" s="11"/>
      <c r="H757" s="11"/>
      <c r="I757" s="11"/>
      <c r="J757" s="25"/>
      <c r="K757" s="11"/>
      <c r="L757" s="11"/>
      <c r="M757" s="19">
        <v>0</v>
      </c>
      <c r="O757" s="6"/>
      <c r="P757" s="16">
        <v>307</v>
      </c>
      <c r="Q757" s="16">
        <v>915</v>
      </c>
      <c r="R757" s="22"/>
      <c r="S757" s="22">
        <f t="shared" si="22"/>
        <v>0</v>
      </c>
      <c r="T757" s="5" t="s">
        <v>1210</v>
      </c>
      <c r="U757" s="5" t="s">
        <v>1210</v>
      </c>
      <c r="Y757" s="8"/>
      <c r="Z757" s="8"/>
      <c r="AA757" s="8"/>
      <c r="AB757" s="8"/>
      <c r="AC757" s="8"/>
      <c r="AD757" s="8"/>
      <c r="AE757" s="25"/>
      <c r="AF757" s="11"/>
      <c r="AG757" s="25"/>
      <c r="AH757" s="11"/>
      <c r="AI757" s="11">
        <v>78</v>
      </c>
      <c r="AJ757" s="19">
        <v>64</v>
      </c>
      <c r="AK757" s="12">
        <f>(AJ757+AI757)/30*7</f>
        <v>33.133333333333333</v>
      </c>
      <c r="AL757" s="6">
        <f>IF(AK757-C757&lt;0,0,AK757-C757)</f>
        <v>0</v>
      </c>
      <c r="AM757" s="6">
        <f>IF(AL757-R757-S757&lt;0,0,AL757-R757-S757)</f>
        <v>0</v>
      </c>
      <c r="AN757" s="5" t="str">
        <f t="shared" si="23"/>
        <v/>
      </c>
      <c r="AO757" s="5">
        <v>0</v>
      </c>
      <c r="AP757" s="9"/>
      <c r="AQ757" s="5" t="s">
        <v>1210</v>
      </c>
      <c r="AR757" s="5" t="s">
        <v>1210</v>
      </c>
      <c r="AS757" s="8"/>
      <c r="AT757" s="8"/>
      <c r="AU757" s="8"/>
      <c r="AV757" s="8"/>
      <c r="AW757" s="8"/>
      <c r="AX757" s="8"/>
      <c r="AY757" s="8"/>
      <c r="AZ757" s="8"/>
    </row>
    <row r="758" spans="1:52">
      <c r="A758" s="5" t="s">
        <v>725</v>
      </c>
      <c r="B758" s="5">
        <v>641</v>
      </c>
      <c r="C758" s="19">
        <v>601</v>
      </c>
      <c r="E758" s="14"/>
      <c r="F758" s="11"/>
      <c r="G758" s="11"/>
      <c r="H758" s="11"/>
      <c r="I758" s="11"/>
      <c r="J758" s="25"/>
      <c r="K758" s="11"/>
      <c r="L758" s="11"/>
      <c r="M758" s="19">
        <v>0</v>
      </c>
      <c r="O758" s="6"/>
      <c r="P758" s="16">
        <v>382</v>
      </c>
      <c r="Q758" s="16">
        <v>0</v>
      </c>
      <c r="R758" s="22"/>
      <c r="S758" s="22">
        <f t="shared" si="22"/>
        <v>0</v>
      </c>
      <c r="T758" s="5">
        <v>782</v>
      </c>
      <c r="U758" s="5">
        <v>916</v>
      </c>
      <c r="Y758" s="8"/>
      <c r="Z758" s="8"/>
      <c r="AA758" s="8"/>
      <c r="AB758" s="8"/>
      <c r="AC758" s="8"/>
      <c r="AD758" s="8"/>
      <c r="AE758" s="25"/>
      <c r="AF758" s="11"/>
      <c r="AG758" s="25"/>
      <c r="AH758" s="11"/>
      <c r="AI758" s="11">
        <v>16</v>
      </c>
      <c r="AJ758" s="19">
        <v>5</v>
      </c>
      <c r="AK758" s="12">
        <f>(AJ758+AI758)/30*7</f>
        <v>4.8999999999999995</v>
      </c>
      <c r="AL758" s="6">
        <f>IF(AK758-C758&lt;0,0,AK758-C758)</f>
        <v>0</v>
      </c>
      <c r="AM758" s="6">
        <f>IF(AL758-R758-S758&lt;0,0,AL758-R758-S758)</f>
        <v>0</v>
      </c>
      <c r="AN758" s="5" t="str">
        <f t="shared" si="23"/>
        <v/>
      </c>
      <c r="AO758" s="5">
        <v>0</v>
      </c>
      <c r="AP758" s="9"/>
      <c r="AQ758" s="5" t="s">
        <v>1210</v>
      </c>
      <c r="AR758" s="5" t="s">
        <v>1230</v>
      </c>
      <c r="AS758" s="8"/>
      <c r="AT758" s="8"/>
      <c r="AU758" s="8"/>
      <c r="AV758" s="8"/>
      <c r="AW758" s="8"/>
      <c r="AX758" s="8"/>
      <c r="AY758" s="8"/>
      <c r="AZ758" s="8"/>
    </row>
    <row r="759" spans="1:52">
      <c r="A759" s="5" t="s">
        <v>78</v>
      </c>
      <c r="B759" s="5">
        <v>1295</v>
      </c>
      <c r="C759" s="19">
        <v>926</v>
      </c>
      <c r="E759" s="14"/>
      <c r="F759" s="11"/>
      <c r="G759" s="11"/>
      <c r="H759" s="11"/>
      <c r="I759" s="11"/>
      <c r="J759" s="25"/>
      <c r="K759" s="11"/>
      <c r="L759" s="11"/>
      <c r="M759" s="19">
        <v>10</v>
      </c>
      <c r="O759" s="6"/>
      <c r="P759" s="16">
        <v>575</v>
      </c>
      <c r="Q759" s="16">
        <v>0</v>
      </c>
      <c r="R759" s="22"/>
      <c r="S759" s="22">
        <f t="shared" si="22"/>
        <v>0</v>
      </c>
      <c r="T759" s="5">
        <v>1855</v>
      </c>
      <c r="U759" s="5">
        <v>488</v>
      </c>
      <c r="Y759" s="8"/>
      <c r="Z759" s="8"/>
      <c r="AA759" s="8"/>
      <c r="AB759" s="8"/>
      <c r="AC759" s="8"/>
      <c r="AD759" s="8"/>
      <c r="AE759" s="25"/>
      <c r="AF759" s="11"/>
      <c r="AG759" s="25"/>
      <c r="AH759" s="11"/>
      <c r="AI759" s="11">
        <v>85</v>
      </c>
      <c r="AJ759" s="19">
        <v>0</v>
      </c>
      <c r="AK759" s="12">
        <f>(AJ759+AI759)/30*7</f>
        <v>19.833333333333336</v>
      </c>
      <c r="AL759" s="6">
        <f>IF(AK759-C759&lt;0,0,AK759-C759)</f>
        <v>0</v>
      </c>
      <c r="AM759" s="6">
        <f>IF(AL759-R759-S759&lt;0,0,AL759-R759-S759)</f>
        <v>0</v>
      </c>
      <c r="AN759" s="5" t="str">
        <f t="shared" si="23"/>
        <v/>
      </c>
      <c r="AO759" s="5">
        <v>0</v>
      </c>
      <c r="AP759" s="9"/>
      <c r="AQ759" s="5" t="s">
        <v>1229</v>
      </c>
      <c r="AR759" s="5" t="s">
        <v>1230</v>
      </c>
      <c r="AS759" s="8"/>
      <c r="AT759" s="8"/>
      <c r="AU759" s="8"/>
      <c r="AV759" s="8"/>
      <c r="AW759" s="8"/>
      <c r="AX759" s="8"/>
      <c r="AY759" s="8"/>
      <c r="AZ759" s="8"/>
    </row>
    <row r="760" spans="1:52">
      <c r="A760" s="5" t="s">
        <v>454</v>
      </c>
      <c r="B760" s="5">
        <v>1179</v>
      </c>
      <c r="C760" s="19">
        <v>660</v>
      </c>
      <c r="E760" s="14"/>
      <c r="F760" s="11"/>
      <c r="G760" s="11"/>
      <c r="H760" s="11"/>
      <c r="I760" s="11"/>
      <c r="J760" s="25"/>
      <c r="K760" s="11"/>
      <c r="L760" s="11"/>
      <c r="M760" s="19">
        <v>0</v>
      </c>
      <c r="O760" s="6"/>
      <c r="P760" s="16">
        <v>375</v>
      </c>
      <c r="Q760" s="16">
        <v>311</v>
      </c>
      <c r="R760" s="22"/>
      <c r="S760" s="22">
        <f t="shared" si="22"/>
        <v>0</v>
      </c>
      <c r="T760" s="5" t="s">
        <v>1210</v>
      </c>
      <c r="U760" s="5" t="s">
        <v>1210</v>
      </c>
      <c r="Y760" s="8"/>
      <c r="Z760" s="8"/>
      <c r="AA760" s="8"/>
      <c r="AB760" s="8"/>
      <c r="AC760" s="8"/>
      <c r="AD760" s="8"/>
      <c r="AE760" s="25"/>
      <c r="AF760" s="11"/>
      <c r="AG760" s="25"/>
      <c r="AH760" s="11"/>
      <c r="AI760" s="11">
        <v>75</v>
      </c>
      <c r="AJ760" s="19">
        <v>1</v>
      </c>
      <c r="AK760" s="12">
        <f>(AJ760+AI760)/30*7</f>
        <v>17.733333333333334</v>
      </c>
      <c r="AL760" s="6">
        <f>IF(AK760-C760&lt;0,0,AK760-C760)</f>
        <v>0</v>
      </c>
      <c r="AM760" s="6">
        <f>IF(AL760-R760-S760&lt;0,0,AL760-R760-S760)</f>
        <v>0</v>
      </c>
      <c r="AN760" s="5" t="str">
        <f t="shared" si="23"/>
        <v/>
      </c>
      <c r="AO760" s="5">
        <v>0</v>
      </c>
      <c r="AP760" s="9"/>
      <c r="AQ760" s="5" t="s">
        <v>1210</v>
      </c>
      <c r="AR760" s="5" t="s">
        <v>1210</v>
      </c>
      <c r="AS760" s="8"/>
      <c r="AT760" s="8"/>
      <c r="AU760" s="8"/>
      <c r="AV760" s="8"/>
      <c r="AW760" s="8"/>
      <c r="AX760" s="8"/>
      <c r="AY760" s="8"/>
      <c r="AZ760" s="8"/>
    </row>
    <row r="761" spans="1:52">
      <c r="A761" s="5" t="s">
        <v>62</v>
      </c>
      <c r="B761" s="5">
        <v>1522</v>
      </c>
      <c r="C761" s="19">
        <v>700</v>
      </c>
      <c r="E761" s="14"/>
      <c r="F761" s="11"/>
      <c r="G761" s="11"/>
      <c r="H761" s="11"/>
      <c r="I761" s="11"/>
      <c r="J761" s="25"/>
      <c r="K761" s="11"/>
      <c r="L761" s="11"/>
      <c r="M761" s="19">
        <v>10</v>
      </c>
      <c r="O761" s="6"/>
      <c r="P761" s="16">
        <v>344</v>
      </c>
      <c r="Q761" s="16">
        <v>0</v>
      </c>
      <c r="R761" s="22"/>
      <c r="S761" s="22">
        <f t="shared" si="22"/>
        <v>0</v>
      </c>
      <c r="T761" s="5" t="s">
        <v>1210</v>
      </c>
      <c r="U761" s="5" t="s">
        <v>1210</v>
      </c>
      <c r="Y761" s="8"/>
      <c r="Z761" s="8"/>
      <c r="AA761" s="8"/>
      <c r="AB761" s="8"/>
      <c r="AC761" s="8"/>
      <c r="AD761" s="8"/>
      <c r="AE761" s="25"/>
      <c r="AF761" s="11"/>
      <c r="AG761" s="25"/>
      <c r="AH761" s="11"/>
      <c r="AI761" s="11">
        <v>73</v>
      </c>
      <c r="AJ761" s="19">
        <v>101</v>
      </c>
      <c r="AK761" s="12">
        <f>(AJ761+AI761)/30*7</f>
        <v>40.6</v>
      </c>
      <c r="AL761" s="6">
        <f>IF(AK761-C761&lt;0,0,AK761-C761)</f>
        <v>0</v>
      </c>
      <c r="AM761" s="6">
        <f>IF(AL761-R761-S761&lt;0,0,AL761-R761-S761)</f>
        <v>0</v>
      </c>
      <c r="AN761" s="5" t="str">
        <f t="shared" si="23"/>
        <v/>
      </c>
      <c r="AO761" s="5">
        <v>0</v>
      </c>
      <c r="AP761" s="9"/>
      <c r="AQ761" s="5" t="s">
        <v>1229</v>
      </c>
      <c r="AR761" s="5" t="s">
        <v>1210</v>
      </c>
      <c r="AS761" s="8"/>
      <c r="AT761" s="8"/>
      <c r="AU761" s="8"/>
      <c r="AV761" s="8"/>
      <c r="AW761" s="8"/>
      <c r="AX761" s="8"/>
      <c r="AY761" s="8"/>
      <c r="AZ761" s="8"/>
    </row>
    <row r="762" spans="1:52">
      <c r="A762" s="5" t="s">
        <v>1027</v>
      </c>
      <c r="B762" s="5">
        <v>1082</v>
      </c>
      <c r="C762" s="19">
        <v>319</v>
      </c>
      <c r="E762" s="14"/>
      <c r="F762" s="11"/>
      <c r="G762" s="11"/>
      <c r="H762" s="11"/>
      <c r="I762" s="11"/>
      <c r="J762" s="25"/>
      <c r="K762" s="11"/>
      <c r="L762" s="11"/>
      <c r="M762" s="19">
        <v>0</v>
      </c>
      <c r="O762" s="6"/>
      <c r="P762" s="16">
        <v>0</v>
      </c>
      <c r="Q762" s="16">
        <v>0</v>
      </c>
      <c r="R762" s="22"/>
      <c r="S762" s="22">
        <f t="shared" si="22"/>
        <v>0</v>
      </c>
      <c r="T762" s="5">
        <v>1562</v>
      </c>
      <c r="U762" s="5">
        <v>910</v>
      </c>
      <c r="Y762" s="8"/>
      <c r="Z762" s="8"/>
      <c r="AA762" s="8"/>
      <c r="AB762" s="8"/>
      <c r="AC762" s="8"/>
      <c r="AD762" s="8"/>
      <c r="AE762" s="25"/>
      <c r="AF762" s="11"/>
      <c r="AG762" s="25"/>
      <c r="AH762" s="11"/>
      <c r="AI762" s="11">
        <v>79</v>
      </c>
      <c r="AJ762" s="19">
        <v>0</v>
      </c>
      <c r="AK762" s="12">
        <f>(AJ762+AI762)/30*7</f>
        <v>18.433333333333334</v>
      </c>
      <c r="AL762" s="6">
        <f>IF(AK762-C762&lt;0,0,AK762-C762)</f>
        <v>0</v>
      </c>
      <c r="AM762" s="6">
        <f>IF(AL762-R762-S762&lt;0,0,AL762-R762-S762)</f>
        <v>0</v>
      </c>
      <c r="AN762" s="5" t="str">
        <f t="shared" si="23"/>
        <v/>
      </c>
      <c r="AO762" s="5">
        <v>0</v>
      </c>
      <c r="AP762" s="9"/>
      <c r="AQ762" s="5" t="s">
        <v>1210</v>
      </c>
      <c r="AR762" s="5" t="s">
        <v>1210</v>
      </c>
      <c r="AS762" s="8"/>
      <c r="AT762" s="8"/>
      <c r="AU762" s="8"/>
      <c r="AV762" s="8"/>
      <c r="AW762" s="8"/>
      <c r="AX762" s="8"/>
      <c r="AY762" s="8"/>
      <c r="AZ762" s="8"/>
    </row>
    <row r="763" spans="1:52">
      <c r="A763" s="5" t="s">
        <v>249</v>
      </c>
      <c r="B763" s="5">
        <v>857</v>
      </c>
      <c r="C763" s="19">
        <v>517</v>
      </c>
      <c r="E763" s="14"/>
      <c r="F763" s="11"/>
      <c r="G763" s="11"/>
      <c r="H763" s="11"/>
      <c r="I763" s="11"/>
      <c r="J763" s="25"/>
      <c r="K763" s="11"/>
      <c r="L763" s="11"/>
      <c r="M763" s="19">
        <v>0</v>
      </c>
      <c r="O763" s="6"/>
      <c r="P763" s="16">
        <v>311</v>
      </c>
      <c r="Q763" s="16">
        <v>0</v>
      </c>
      <c r="R763" s="22"/>
      <c r="S763" s="22">
        <f t="shared" si="22"/>
        <v>0</v>
      </c>
      <c r="T763" s="5" t="s">
        <v>1210</v>
      </c>
      <c r="U763" s="5" t="s">
        <v>1210</v>
      </c>
      <c r="Y763" s="8"/>
      <c r="Z763" s="8"/>
      <c r="AA763" s="8"/>
      <c r="AB763" s="8"/>
      <c r="AC763" s="8"/>
      <c r="AD763" s="8"/>
      <c r="AE763" s="25"/>
      <c r="AF763" s="11"/>
      <c r="AG763" s="25"/>
      <c r="AH763" s="11"/>
      <c r="AI763" s="11">
        <v>37</v>
      </c>
      <c r="AJ763" s="19">
        <v>59</v>
      </c>
      <c r="AK763" s="12">
        <f>(AJ763+AI763)/30*7</f>
        <v>22.400000000000002</v>
      </c>
      <c r="AL763" s="6">
        <f>IF(AK763-C763&lt;0,0,AK763-C763)</f>
        <v>0</v>
      </c>
      <c r="AM763" s="6">
        <f>IF(AL763-R763-S763&lt;0,0,AL763-R763-S763)</f>
        <v>0</v>
      </c>
      <c r="AN763" s="5" t="str">
        <f t="shared" si="23"/>
        <v/>
      </c>
      <c r="AO763" s="5">
        <v>0</v>
      </c>
      <c r="AP763" s="9"/>
      <c r="AQ763" s="5" t="s">
        <v>1210</v>
      </c>
      <c r="AR763" s="5" t="s">
        <v>1210</v>
      </c>
      <c r="AS763" s="8"/>
      <c r="AT763" s="8"/>
      <c r="AU763" s="8"/>
      <c r="AV763" s="8"/>
      <c r="AW763" s="8"/>
      <c r="AX763" s="8"/>
      <c r="AY763" s="8"/>
      <c r="AZ763" s="8"/>
    </row>
    <row r="764" spans="1:52">
      <c r="A764" s="5" t="s">
        <v>38</v>
      </c>
      <c r="B764" s="5">
        <v>1815</v>
      </c>
      <c r="C764" s="19">
        <v>657</v>
      </c>
      <c r="E764" s="14"/>
      <c r="F764" s="11"/>
      <c r="G764" s="11"/>
      <c r="H764" s="11"/>
      <c r="I764" s="11"/>
      <c r="J764" s="25"/>
      <c r="K764" s="11"/>
      <c r="L764" s="11"/>
      <c r="M764" s="19">
        <v>7</v>
      </c>
      <c r="O764" s="6"/>
      <c r="P764" s="16">
        <v>356</v>
      </c>
      <c r="Q764" s="16">
        <v>0</v>
      </c>
      <c r="R764" s="22"/>
      <c r="S764" s="22">
        <f t="shared" si="22"/>
        <v>0</v>
      </c>
      <c r="T764" s="5" t="s">
        <v>1210</v>
      </c>
      <c r="U764" s="5" t="s">
        <v>1210</v>
      </c>
      <c r="Y764" s="8"/>
      <c r="Z764" s="8"/>
      <c r="AA764" s="8"/>
      <c r="AB764" s="8"/>
      <c r="AC764" s="8"/>
      <c r="AD764" s="8"/>
      <c r="AE764" s="25"/>
      <c r="AF764" s="11"/>
      <c r="AG764" s="25"/>
      <c r="AH764" s="11"/>
      <c r="AI764" s="11">
        <v>45</v>
      </c>
      <c r="AJ764" s="19">
        <v>115</v>
      </c>
      <c r="AK764" s="12">
        <f>(AJ764+AI764)/30*7</f>
        <v>37.333333333333329</v>
      </c>
      <c r="AL764" s="6">
        <f>IF(AK764-C764&lt;0,0,AK764-C764)</f>
        <v>0</v>
      </c>
      <c r="AM764" s="6">
        <f>IF(AL764-R764-S764&lt;0,0,AL764-R764-S764)</f>
        <v>0</v>
      </c>
      <c r="AN764" s="5" t="str">
        <f t="shared" si="23"/>
        <v/>
      </c>
      <c r="AO764" s="5">
        <v>0</v>
      </c>
      <c r="AP764" s="9"/>
      <c r="AQ764" s="5" t="s">
        <v>1229</v>
      </c>
      <c r="AR764" s="5" t="s">
        <v>1210</v>
      </c>
      <c r="AS764" s="8"/>
      <c r="AT764" s="8"/>
      <c r="AU764" s="8"/>
      <c r="AV764" s="8"/>
      <c r="AW764" s="8"/>
      <c r="AX764" s="8"/>
      <c r="AY764" s="8"/>
      <c r="AZ764" s="8"/>
    </row>
    <row r="765" spans="1:52">
      <c r="A765" s="5" t="s">
        <v>135</v>
      </c>
      <c r="B765" s="5">
        <v>1081</v>
      </c>
      <c r="C765" s="19">
        <v>703</v>
      </c>
      <c r="E765" s="14"/>
      <c r="F765" s="11"/>
      <c r="G765" s="11"/>
      <c r="H765" s="11"/>
      <c r="I765" s="11"/>
      <c r="J765" s="25"/>
      <c r="K765" s="11"/>
      <c r="L765" s="11"/>
      <c r="M765" s="19">
        <v>0</v>
      </c>
      <c r="O765" s="6"/>
      <c r="P765" s="16">
        <v>651</v>
      </c>
      <c r="Q765" s="16">
        <v>0</v>
      </c>
      <c r="R765" s="22"/>
      <c r="S765" s="22">
        <f t="shared" si="22"/>
        <v>0</v>
      </c>
      <c r="U765" s="5" t="s">
        <v>1210</v>
      </c>
      <c r="Y765" s="8"/>
      <c r="Z765" s="8"/>
      <c r="AA765" s="8"/>
      <c r="AB765" s="8"/>
      <c r="AC765" s="8"/>
      <c r="AD765" s="8"/>
      <c r="AE765" s="25"/>
      <c r="AF765" s="11"/>
      <c r="AG765" s="25"/>
      <c r="AH765" s="11"/>
      <c r="AI765" s="11">
        <v>83</v>
      </c>
      <c r="AJ765" s="19">
        <v>55</v>
      </c>
      <c r="AK765" s="12">
        <f>(AJ765+AI765)/30*7</f>
        <v>32.199999999999996</v>
      </c>
      <c r="AL765" s="6">
        <f>IF(AK765-C765&lt;0,0,AK765-C765)</f>
        <v>0</v>
      </c>
      <c r="AM765" s="6">
        <f>IF(AL765-R765-S765&lt;0,0,AL765-R765-S765)</f>
        <v>0</v>
      </c>
      <c r="AN765" s="5" t="str">
        <f t="shared" si="23"/>
        <v/>
      </c>
      <c r="AO765" s="5">
        <v>0</v>
      </c>
      <c r="AP765" s="9"/>
      <c r="AQ765" s="5" t="s">
        <v>1210</v>
      </c>
      <c r="AR765" s="5" t="s">
        <v>1210</v>
      </c>
      <c r="AS765" s="8"/>
      <c r="AT765" s="8"/>
      <c r="AU765" s="8"/>
      <c r="AV765" s="8"/>
      <c r="AW765" s="8"/>
      <c r="AX765" s="8"/>
      <c r="AY765" s="8"/>
      <c r="AZ765" s="8"/>
    </row>
    <row r="766" spans="1:52">
      <c r="A766" s="5" t="s">
        <v>216</v>
      </c>
      <c r="B766" s="5">
        <v>1357</v>
      </c>
      <c r="C766" s="19">
        <v>436</v>
      </c>
      <c r="E766" s="14"/>
      <c r="F766" s="11"/>
      <c r="G766" s="11"/>
      <c r="H766" s="11"/>
      <c r="I766" s="11"/>
      <c r="J766" s="25"/>
      <c r="K766" s="11"/>
      <c r="L766" s="11"/>
      <c r="M766" s="19">
        <v>2</v>
      </c>
      <c r="O766" s="6"/>
      <c r="P766" s="16">
        <v>871</v>
      </c>
      <c r="Q766" s="16">
        <v>0</v>
      </c>
      <c r="R766" s="22"/>
      <c r="S766" s="22">
        <f t="shared" si="22"/>
        <v>0</v>
      </c>
      <c r="T766" s="5" t="s">
        <v>1210</v>
      </c>
      <c r="U766" s="5" t="s">
        <v>1210</v>
      </c>
      <c r="Y766" s="8"/>
      <c r="Z766" s="8"/>
      <c r="AA766" s="8"/>
      <c r="AB766" s="8"/>
      <c r="AC766" s="8"/>
      <c r="AD766" s="8"/>
      <c r="AE766" s="25"/>
      <c r="AF766" s="11"/>
      <c r="AG766" s="25"/>
      <c r="AH766" s="11"/>
      <c r="AI766" s="11">
        <v>41</v>
      </c>
      <c r="AJ766" s="19">
        <v>11</v>
      </c>
      <c r="AK766" s="12">
        <f>(AJ766+AI766)/30*7</f>
        <v>12.133333333333333</v>
      </c>
      <c r="AL766" s="6">
        <f>IF(AK766-C766&lt;0,0,AK766-C766)</f>
        <v>0</v>
      </c>
      <c r="AM766" s="6">
        <f>IF(AL766-R766-S766&lt;0,0,AL766-R766-S766)</f>
        <v>0</v>
      </c>
      <c r="AN766" s="5" t="str">
        <f t="shared" si="23"/>
        <v/>
      </c>
      <c r="AO766" s="5">
        <v>0</v>
      </c>
      <c r="AP766" s="9"/>
      <c r="AQ766" s="5" t="s">
        <v>1210</v>
      </c>
      <c r="AR766" s="5" t="s">
        <v>1210</v>
      </c>
      <c r="AS766" s="8"/>
      <c r="AT766" s="8"/>
      <c r="AU766" s="8"/>
      <c r="AV766" s="8"/>
      <c r="AW766" s="8"/>
      <c r="AX766" s="8"/>
      <c r="AY766" s="8"/>
      <c r="AZ766" s="8"/>
    </row>
    <row r="767" spans="1:52">
      <c r="A767" s="5" t="s">
        <v>36</v>
      </c>
      <c r="B767" s="5">
        <v>1293</v>
      </c>
      <c r="C767" s="19">
        <v>321</v>
      </c>
      <c r="E767" s="14"/>
      <c r="F767" s="11"/>
      <c r="G767" s="11"/>
      <c r="H767" s="11"/>
      <c r="I767" s="11"/>
      <c r="J767" s="25"/>
      <c r="K767" s="11"/>
      <c r="L767" s="11"/>
      <c r="M767" s="19">
        <v>4</v>
      </c>
      <c r="O767" s="6"/>
      <c r="P767" s="16">
        <v>264</v>
      </c>
      <c r="Q767" s="16">
        <v>931</v>
      </c>
      <c r="R767" s="22"/>
      <c r="S767" s="22">
        <f t="shared" si="22"/>
        <v>0</v>
      </c>
      <c r="T767" s="5" t="s">
        <v>1210</v>
      </c>
      <c r="U767" s="5" t="s">
        <v>1210</v>
      </c>
      <c r="Y767" s="8"/>
      <c r="Z767" s="8"/>
      <c r="AA767" s="8"/>
      <c r="AB767" s="8"/>
      <c r="AC767" s="8"/>
      <c r="AD767" s="8"/>
      <c r="AE767" s="25"/>
      <c r="AF767" s="11"/>
      <c r="AG767" s="25"/>
      <c r="AH767" s="11"/>
      <c r="AI767" s="11">
        <v>19</v>
      </c>
      <c r="AJ767" s="19">
        <v>140</v>
      </c>
      <c r="AK767" s="12">
        <f>(AJ767+AI767)/30*7</f>
        <v>37.1</v>
      </c>
      <c r="AL767" s="6">
        <f>IF(AK767-C767&lt;0,0,AK767-C767)</f>
        <v>0</v>
      </c>
      <c r="AM767" s="6">
        <f>IF(AL767-R767-S767&lt;0,0,AL767-R767-S767)</f>
        <v>0</v>
      </c>
      <c r="AN767" s="5" t="str">
        <f t="shared" si="23"/>
        <v/>
      </c>
      <c r="AO767" s="5">
        <v>0</v>
      </c>
      <c r="AP767" s="9"/>
      <c r="AQ767" s="5" t="s">
        <v>1229</v>
      </c>
      <c r="AR767" s="5" t="s">
        <v>1210</v>
      </c>
      <c r="AS767" s="8"/>
      <c r="AT767" s="8"/>
      <c r="AU767" s="8"/>
      <c r="AV767" s="8"/>
      <c r="AW767" s="8"/>
      <c r="AX767" s="8"/>
      <c r="AY767" s="8"/>
      <c r="AZ767" s="8"/>
    </row>
    <row r="768" spans="1:52">
      <c r="A768" s="5" t="s">
        <v>88</v>
      </c>
      <c r="B768" s="5">
        <v>1378</v>
      </c>
      <c r="C768" s="19">
        <v>218</v>
      </c>
      <c r="E768" s="14"/>
      <c r="F768" s="11"/>
      <c r="G768" s="11"/>
      <c r="H768" s="11"/>
      <c r="I768" s="11"/>
      <c r="J768" s="25"/>
      <c r="K768" s="11"/>
      <c r="L768" s="11"/>
      <c r="M768" s="19">
        <v>8</v>
      </c>
      <c r="O768" s="6"/>
      <c r="P768" s="16">
        <v>948</v>
      </c>
      <c r="Q768" s="16">
        <v>0</v>
      </c>
      <c r="R768" s="22"/>
      <c r="S768" s="22">
        <f t="shared" si="22"/>
        <v>0</v>
      </c>
      <c r="T768" s="5" t="s">
        <v>1210</v>
      </c>
      <c r="U768" s="5" t="s">
        <v>1210</v>
      </c>
      <c r="Y768" s="8"/>
      <c r="Z768" s="8"/>
      <c r="AA768" s="8"/>
      <c r="AB768" s="8"/>
      <c r="AC768" s="8"/>
      <c r="AD768" s="8"/>
      <c r="AE768" s="25"/>
      <c r="AF768" s="11"/>
      <c r="AG768" s="25"/>
      <c r="AH768" s="11"/>
      <c r="AI768" s="11">
        <v>32</v>
      </c>
      <c r="AJ768" s="19">
        <v>131</v>
      </c>
      <c r="AK768" s="12">
        <f>(AJ768+AI768)/30*7</f>
        <v>38.033333333333331</v>
      </c>
      <c r="AL768" s="6">
        <f>IF(AK768-C768&lt;0,0,AK768-C768)</f>
        <v>0</v>
      </c>
      <c r="AM768" s="6">
        <f>IF(AL768-R768-S768&lt;0,0,AL768-R768-S768)</f>
        <v>0</v>
      </c>
      <c r="AN768" s="5" t="str">
        <f t="shared" si="23"/>
        <v/>
      </c>
      <c r="AO768" s="5">
        <v>0</v>
      </c>
      <c r="AP768" s="9"/>
      <c r="AQ768" s="5" t="s">
        <v>1229</v>
      </c>
      <c r="AR768" s="5" t="s">
        <v>1210</v>
      </c>
      <c r="AS768" s="8"/>
      <c r="AT768" s="8"/>
      <c r="AU768" s="8"/>
      <c r="AV768" s="8"/>
      <c r="AW768" s="8"/>
      <c r="AX768" s="8"/>
      <c r="AY768" s="8"/>
      <c r="AZ768" s="8"/>
    </row>
    <row r="769" spans="1:52">
      <c r="A769" s="5" t="s">
        <v>463</v>
      </c>
      <c r="B769" s="5">
        <v>1149</v>
      </c>
      <c r="C769" s="19">
        <v>352</v>
      </c>
      <c r="E769" s="14"/>
      <c r="F769" s="11"/>
      <c r="G769" s="11"/>
      <c r="H769" s="11"/>
      <c r="I769" s="11"/>
      <c r="J769" s="25"/>
      <c r="K769" s="11"/>
      <c r="L769" s="11"/>
      <c r="M769" s="19">
        <v>0</v>
      </c>
      <c r="O769" s="6"/>
      <c r="P769" s="16">
        <v>680</v>
      </c>
      <c r="Q769" s="16">
        <v>941</v>
      </c>
      <c r="R769" s="22"/>
      <c r="S769" s="22">
        <f t="shared" si="22"/>
        <v>0</v>
      </c>
      <c r="T769" s="5" t="s">
        <v>1210</v>
      </c>
      <c r="U769" s="5" t="s">
        <v>1210</v>
      </c>
      <c r="Y769" s="8"/>
      <c r="Z769" s="8"/>
      <c r="AA769" s="8"/>
      <c r="AB769" s="8"/>
      <c r="AC769" s="8"/>
      <c r="AD769" s="8"/>
      <c r="AE769" s="25"/>
      <c r="AF769" s="11"/>
      <c r="AG769" s="25"/>
      <c r="AH769" s="11"/>
      <c r="AI769" s="11">
        <v>90</v>
      </c>
      <c r="AJ769" s="19">
        <v>0</v>
      </c>
      <c r="AK769" s="12">
        <f>(AJ769+AI769)/30*7</f>
        <v>21</v>
      </c>
      <c r="AL769" s="6">
        <f>IF(AK769-C769&lt;0,0,AK769-C769)</f>
        <v>0</v>
      </c>
      <c r="AM769" s="6">
        <f>IF(AL769-R769-S769&lt;0,0,AL769-R769-S769)</f>
        <v>0</v>
      </c>
      <c r="AN769" s="5" t="str">
        <f t="shared" si="23"/>
        <v/>
      </c>
      <c r="AO769" s="5">
        <v>0</v>
      </c>
      <c r="AP769" s="9"/>
      <c r="AQ769" s="5" t="s">
        <v>1210</v>
      </c>
      <c r="AR769" s="5" t="s">
        <v>1230</v>
      </c>
      <c r="AS769" s="8"/>
      <c r="AT769" s="8"/>
      <c r="AU769" s="8"/>
      <c r="AV769" s="8"/>
      <c r="AW769" s="8"/>
      <c r="AX769" s="8"/>
      <c r="AY769" s="8"/>
      <c r="AZ769" s="8"/>
    </row>
    <row r="770" spans="1:52">
      <c r="A770" s="5" t="s">
        <v>305</v>
      </c>
      <c r="B770" s="5">
        <v>1122</v>
      </c>
      <c r="C770" s="19">
        <v>201</v>
      </c>
      <c r="E770" s="14"/>
      <c r="F770" s="11"/>
      <c r="G770" s="11"/>
      <c r="H770" s="11"/>
      <c r="I770" s="11"/>
      <c r="J770" s="25"/>
      <c r="K770" s="11"/>
      <c r="L770" s="11"/>
      <c r="M770" s="19">
        <v>9</v>
      </c>
      <c r="O770" s="6"/>
      <c r="P770" s="16">
        <v>915</v>
      </c>
      <c r="Q770" s="16">
        <v>871</v>
      </c>
      <c r="R770" s="22"/>
      <c r="S770" s="22">
        <f t="shared" si="22"/>
        <v>0</v>
      </c>
      <c r="T770" s="5" t="s">
        <v>1210</v>
      </c>
      <c r="U770" s="5" t="s">
        <v>1210</v>
      </c>
      <c r="Y770" s="8"/>
      <c r="Z770" s="8"/>
      <c r="AA770" s="8"/>
      <c r="AB770" s="8"/>
      <c r="AC770" s="8"/>
      <c r="AD770" s="8"/>
      <c r="AE770" s="25"/>
      <c r="AF770" s="11"/>
      <c r="AG770" s="25"/>
      <c r="AH770" s="11"/>
      <c r="AI770" s="11">
        <v>76</v>
      </c>
      <c r="AJ770" s="19">
        <v>39</v>
      </c>
      <c r="AK770" s="12">
        <f>(AJ770+AI770)/30*7</f>
        <v>26.833333333333336</v>
      </c>
      <c r="AL770" s="6">
        <f>IF(AK770-C770&lt;0,0,AK770-C770)</f>
        <v>0</v>
      </c>
      <c r="AM770" s="6">
        <f>IF(AL770-R770-S770&lt;0,0,AL770-R770-S770)</f>
        <v>0</v>
      </c>
      <c r="AN770" s="5" t="str">
        <f t="shared" si="23"/>
        <v/>
      </c>
      <c r="AO770" s="5">
        <v>0</v>
      </c>
      <c r="AP770" s="9"/>
      <c r="AQ770" s="5" t="s">
        <v>1210</v>
      </c>
      <c r="AR770" s="5" t="s">
        <v>1210</v>
      </c>
      <c r="AS770" s="8"/>
      <c r="AT770" s="8"/>
      <c r="AU770" s="8"/>
      <c r="AV770" s="8"/>
      <c r="AW770" s="8"/>
      <c r="AX770" s="8"/>
      <c r="AY770" s="8"/>
      <c r="AZ770" s="8"/>
    </row>
    <row r="771" spans="1:52">
      <c r="A771" s="5" t="s">
        <v>698</v>
      </c>
      <c r="B771" s="5">
        <v>1821</v>
      </c>
      <c r="C771" s="19">
        <v>816</v>
      </c>
      <c r="E771" s="14"/>
      <c r="F771" s="11"/>
      <c r="G771" s="11"/>
      <c r="H771" s="11"/>
      <c r="I771" s="11"/>
      <c r="J771" s="25"/>
      <c r="K771" s="11"/>
      <c r="L771" s="11"/>
      <c r="M771" s="19">
        <v>1</v>
      </c>
      <c r="O771" s="6"/>
      <c r="P771" s="16">
        <v>213</v>
      </c>
      <c r="Q771" s="16">
        <v>0</v>
      </c>
      <c r="R771" s="22"/>
      <c r="S771" s="22">
        <f t="shared" si="22"/>
        <v>0</v>
      </c>
      <c r="T771" s="5" t="s">
        <v>1210</v>
      </c>
      <c r="U771" s="5" t="s">
        <v>1210</v>
      </c>
      <c r="Y771" s="8"/>
      <c r="Z771" s="8"/>
      <c r="AA771" s="8"/>
      <c r="AB771" s="8"/>
      <c r="AC771" s="8"/>
      <c r="AD771" s="8"/>
      <c r="AE771" s="25"/>
      <c r="AF771" s="11"/>
      <c r="AG771" s="25"/>
      <c r="AH771" s="11"/>
      <c r="AI771" s="11">
        <v>96</v>
      </c>
      <c r="AJ771" s="19">
        <v>9</v>
      </c>
      <c r="AK771" s="12">
        <f>(AJ771+AI771)/30*7</f>
        <v>24.5</v>
      </c>
      <c r="AL771" s="6">
        <f>IF(AK771-C771&lt;0,0,AK771-C771)</f>
        <v>0</v>
      </c>
      <c r="AM771" s="6">
        <f>IF(AL771-R771-S771&lt;0,0,AL771-R771-S771)</f>
        <v>0</v>
      </c>
      <c r="AN771" s="5" t="str">
        <f t="shared" si="23"/>
        <v/>
      </c>
      <c r="AO771" s="5">
        <v>0</v>
      </c>
      <c r="AP771" s="9"/>
      <c r="AQ771" s="5" t="s">
        <v>1210</v>
      </c>
      <c r="AR771" s="5" t="s">
        <v>1210</v>
      </c>
      <c r="AS771" s="8"/>
      <c r="AT771" s="8"/>
      <c r="AU771" s="8"/>
      <c r="AV771" s="8"/>
      <c r="AW771" s="8"/>
      <c r="AX771" s="8"/>
      <c r="AY771" s="8"/>
      <c r="AZ771" s="8"/>
    </row>
    <row r="772" spans="1:52">
      <c r="A772" s="5" t="s">
        <v>372</v>
      </c>
      <c r="B772" s="5">
        <v>1412</v>
      </c>
      <c r="C772" s="19">
        <v>943</v>
      </c>
      <c r="E772" s="14"/>
      <c r="F772" s="11"/>
      <c r="G772" s="11"/>
      <c r="H772" s="11"/>
      <c r="I772" s="11"/>
      <c r="J772" s="25"/>
      <c r="K772" s="11"/>
      <c r="L772" s="11"/>
      <c r="M772" s="19">
        <v>0</v>
      </c>
      <c r="O772" s="6"/>
      <c r="P772" s="16">
        <v>841</v>
      </c>
      <c r="Q772" s="16">
        <v>700</v>
      </c>
      <c r="R772" s="22"/>
      <c r="S772" s="22">
        <f t="shared" ref="S772:S835" si="24">IF(AL772&gt;0,IF(Q772&gt;=AL772,ROUND(AL772,0),Q772),0)</f>
        <v>0</v>
      </c>
      <c r="T772" s="5" t="s">
        <v>1210</v>
      </c>
      <c r="U772" s="5" t="s">
        <v>1210</v>
      </c>
      <c r="Y772" s="8"/>
      <c r="Z772" s="8"/>
      <c r="AA772" s="8"/>
      <c r="AB772" s="8"/>
      <c r="AC772" s="8"/>
      <c r="AD772" s="8"/>
      <c r="AE772" s="25"/>
      <c r="AF772" s="11"/>
      <c r="AG772" s="25"/>
      <c r="AH772" s="11"/>
      <c r="AI772" s="11">
        <v>47</v>
      </c>
      <c r="AJ772" s="19">
        <v>15</v>
      </c>
      <c r="AK772" s="12">
        <f>(AJ772+AI772)/30*7</f>
        <v>14.466666666666669</v>
      </c>
      <c r="AL772" s="6">
        <f>IF(AK772-C772&lt;0,0,AK772-C772)</f>
        <v>0</v>
      </c>
      <c r="AM772" s="6">
        <f>IF(AL772-R772-S772&lt;0,0,AL772-R772-S772)</f>
        <v>0</v>
      </c>
      <c r="AN772" s="5" t="str">
        <f t="shared" ref="AN772:AN835" si="25">IF(AM772&gt;0,IF(LEN(U772)=0,IF(ROUND(AM772-AO772,0)&gt;0,ROUND(AM772-AO772,0),""),IF(U772+AO772&gt;=AM772,"",ROUND(AM772-U772-AO772,0))),"")</f>
        <v/>
      </c>
      <c r="AO772" s="5">
        <v>0</v>
      </c>
      <c r="AP772" s="9"/>
      <c r="AQ772" s="5" t="s">
        <v>1210</v>
      </c>
      <c r="AR772" s="5" t="s">
        <v>1210</v>
      </c>
      <c r="AS772" s="8"/>
      <c r="AT772" s="8"/>
      <c r="AU772" s="8"/>
      <c r="AV772" s="8"/>
      <c r="AW772" s="8"/>
      <c r="AX772" s="8"/>
      <c r="AY772" s="8"/>
      <c r="AZ772" s="8"/>
    </row>
    <row r="773" spans="1:52">
      <c r="A773" s="5" t="s">
        <v>442</v>
      </c>
      <c r="B773" s="5">
        <v>2199</v>
      </c>
      <c r="C773" s="19">
        <v>974</v>
      </c>
      <c r="E773" s="14"/>
      <c r="F773" s="11"/>
      <c r="G773" s="11"/>
      <c r="H773" s="11"/>
      <c r="I773" s="11"/>
      <c r="J773" s="25"/>
      <c r="K773" s="11"/>
      <c r="L773" s="11"/>
      <c r="M773" s="19">
        <v>0</v>
      </c>
      <c r="O773" s="6"/>
      <c r="P773" s="16">
        <v>830</v>
      </c>
      <c r="Q773" s="16">
        <v>0</v>
      </c>
      <c r="R773" s="22"/>
      <c r="S773" s="22">
        <f t="shared" si="24"/>
        <v>0</v>
      </c>
      <c r="T773" s="5" t="s">
        <v>1210</v>
      </c>
      <c r="U773" s="5" t="s">
        <v>1210</v>
      </c>
      <c r="Y773" s="8"/>
      <c r="Z773" s="8"/>
      <c r="AA773" s="8"/>
      <c r="AB773" s="8"/>
      <c r="AC773" s="8"/>
      <c r="AD773" s="8"/>
      <c r="AE773" s="25"/>
      <c r="AF773" s="11"/>
      <c r="AG773" s="25"/>
      <c r="AH773" s="11"/>
      <c r="AI773" s="11">
        <v>33</v>
      </c>
      <c r="AJ773" s="19">
        <v>46</v>
      </c>
      <c r="AK773" s="12">
        <f>(AJ773+AI773)/30*7</f>
        <v>18.433333333333334</v>
      </c>
      <c r="AL773" s="6">
        <f>IF(AK773-C773&lt;0,0,AK773-C773)</f>
        <v>0</v>
      </c>
      <c r="AM773" s="6">
        <f>IF(AL773-R773-S773&lt;0,0,AL773-R773-S773)</f>
        <v>0</v>
      </c>
      <c r="AN773" s="5" t="str">
        <f t="shared" si="25"/>
        <v/>
      </c>
      <c r="AO773" s="5">
        <v>0</v>
      </c>
      <c r="AP773" s="9"/>
      <c r="AQ773" s="5" t="s">
        <v>1210</v>
      </c>
      <c r="AR773" s="5" t="s">
        <v>1210</v>
      </c>
      <c r="AS773" s="8"/>
      <c r="AT773" s="8"/>
      <c r="AU773" s="8"/>
      <c r="AV773" s="8"/>
      <c r="AW773" s="8"/>
      <c r="AX773" s="8"/>
      <c r="AY773" s="8"/>
      <c r="AZ773" s="8"/>
    </row>
    <row r="774" spans="1:52">
      <c r="A774" s="5" t="s">
        <v>416</v>
      </c>
      <c r="B774" s="5">
        <v>749</v>
      </c>
      <c r="C774" s="19">
        <v>824</v>
      </c>
      <c r="E774" s="14"/>
      <c r="F774" s="11"/>
      <c r="G774" s="11"/>
      <c r="H774" s="11"/>
      <c r="I774" s="11"/>
      <c r="J774" s="25"/>
      <c r="K774" s="11"/>
      <c r="L774" s="11"/>
      <c r="M774" s="19">
        <v>0</v>
      </c>
      <c r="O774" s="6"/>
      <c r="P774" s="16">
        <v>805</v>
      </c>
      <c r="Q774" s="16">
        <v>0</v>
      </c>
      <c r="R774" s="22"/>
      <c r="S774" s="22">
        <f t="shared" si="24"/>
        <v>0</v>
      </c>
      <c r="T774" s="5" t="s">
        <v>1210</v>
      </c>
      <c r="U774" s="5" t="s">
        <v>1210</v>
      </c>
      <c r="Y774" s="8"/>
      <c r="Z774" s="8"/>
      <c r="AA774" s="8"/>
      <c r="AB774" s="8"/>
      <c r="AC774" s="8"/>
      <c r="AD774" s="8"/>
      <c r="AE774" s="25"/>
      <c r="AF774" s="11"/>
      <c r="AG774" s="25"/>
      <c r="AH774" s="11"/>
      <c r="AI774" s="11">
        <v>21</v>
      </c>
      <c r="AJ774" s="19">
        <v>45</v>
      </c>
      <c r="AK774" s="12">
        <f>(AJ774+AI774)/30*7</f>
        <v>15.400000000000002</v>
      </c>
      <c r="AL774" s="6">
        <f>IF(AK774-C774&lt;0,0,AK774-C774)</f>
        <v>0</v>
      </c>
      <c r="AM774" s="6">
        <f>IF(AL774-R774-S774&lt;0,0,AL774-R774-S774)</f>
        <v>0</v>
      </c>
      <c r="AN774" s="5" t="str">
        <f t="shared" si="25"/>
        <v/>
      </c>
      <c r="AO774" s="5">
        <v>0</v>
      </c>
      <c r="AP774" s="9"/>
      <c r="AQ774" s="5" t="s">
        <v>1210</v>
      </c>
      <c r="AR774" s="5" t="s">
        <v>1230</v>
      </c>
      <c r="AS774" s="8"/>
      <c r="AT774" s="8"/>
      <c r="AU774" s="8"/>
      <c r="AV774" s="8"/>
      <c r="AW774" s="8"/>
      <c r="AX774" s="8"/>
      <c r="AY774" s="8"/>
      <c r="AZ774" s="8"/>
    </row>
    <row r="775" spans="1:52">
      <c r="A775" s="5" t="s">
        <v>641</v>
      </c>
      <c r="B775" s="5">
        <v>1830</v>
      </c>
      <c r="C775" s="19">
        <v>921</v>
      </c>
      <c r="E775" s="14"/>
      <c r="F775" s="11"/>
      <c r="G775" s="11"/>
      <c r="H775" s="11"/>
      <c r="I775" s="11"/>
      <c r="J775" s="25"/>
      <c r="K775" s="11"/>
      <c r="L775" s="11"/>
      <c r="M775" s="19">
        <v>0</v>
      </c>
      <c r="O775" s="6"/>
      <c r="P775" s="16">
        <v>939</v>
      </c>
      <c r="Q775" s="16">
        <v>960</v>
      </c>
      <c r="R775" s="22"/>
      <c r="S775" s="22">
        <f t="shared" si="24"/>
        <v>0</v>
      </c>
      <c r="T775" s="5">
        <v>1955</v>
      </c>
      <c r="U775" s="5">
        <v>0</v>
      </c>
      <c r="Y775" s="8"/>
      <c r="Z775" s="8"/>
      <c r="AA775" s="8"/>
      <c r="AB775" s="8"/>
      <c r="AC775" s="8"/>
      <c r="AD775" s="8"/>
      <c r="AE775" s="25"/>
      <c r="AF775" s="11"/>
      <c r="AG775" s="25"/>
      <c r="AH775" s="11"/>
      <c r="AI775" s="11">
        <v>66</v>
      </c>
      <c r="AJ775" s="19">
        <v>0</v>
      </c>
      <c r="AK775" s="12">
        <f>(AJ775+AI775)/30*7</f>
        <v>15.400000000000002</v>
      </c>
      <c r="AL775" s="6">
        <f>IF(AK775-C775&lt;0,0,AK775-C775)</f>
        <v>0</v>
      </c>
      <c r="AM775" s="6">
        <f>IF(AL775-R775-S775&lt;0,0,AL775-R775-S775)</f>
        <v>0</v>
      </c>
      <c r="AN775" s="5" t="str">
        <f t="shared" si="25"/>
        <v/>
      </c>
      <c r="AO775" s="5">
        <v>0</v>
      </c>
      <c r="AP775" s="9"/>
      <c r="AQ775" s="5" t="s">
        <v>1210</v>
      </c>
      <c r="AR775" s="5" t="s">
        <v>1230</v>
      </c>
      <c r="AS775" s="8"/>
      <c r="AT775" s="8"/>
      <c r="AU775" s="8"/>
      <c r="AV775" s="8"/>
      <c r="AW775" s="8"/>
      <c r="AX775" s="8"/>
      <c r="AY775" s="8"/>
      <c r="AZ775" s="8"/>
    </row>
    <row r="776" spans="1:52">
      <c r="A776" s="5" t="s">
        <v>437</v>
      </c>
      <c r="B776" s="5">
        <v>2179</v>
      </c>
      <c r="C776" s="19">
        <v>892</v>
      </c>
      <c r="E776" s="14"/>
      <c r="F776" s="11"/>
      <c r="G776" s="11"/>
      <c r="H776" s="11"/>
      <c r="I776" s="11"/>
      <c r="J776" s="25"/>
      <c r="K776" s="11"/>
      <c r="L776" s="11"/>
      <c r="M776" s="19">
        <v>0</v>
      </c>
      <c r="O776" s="6"/>
      <c r="P776" s="16">
        <v>869</v>
      </c>
      <c r="Q776" s="16">
        <v>0</v>
      </c>
      <c r="R776" s="22"/>
      <c r="S776" s="22">
        <f t="shared" si="24"/>
        <v>0</v>
      </c>
      <c r="T776" s="5" t="s">
        <v>1210</v>
      </c>
      <c r="U776" s="5" t="s">
        <v>1210</v>
      </c>
      <c r="Y776" s="8"/>
      <c r="Z776" s="8"/>
      <c r="AA776" s="8"/>
      <c r="AB776" s="8"/>
      <c r="AC776" s="8"/>
      <c r="AD776" s="8"/>
      <c r="AE776" s="25"/>
      <c r="AF776" s="11"/>
      <c r="AG776" s="25"/>
      <c r="AH776" s="11"/>
      <c r="AI776" s="11">
        <v>65</v>
      </c>
      <c r="AJ776" s="19">
        <v>18</v>
      </c>
      <c r="AK776" s="12">
        <f>(AJ776+AI776)/30*7</f>
        <v>19.366666666666667</v>
      </c>
      <c r="AL776" s="6">
        <f>IF(AK776-C776&lt;0,0,AK776-C776)</f>
        <v>0</v>
      </c>
      <c r="AM776" s="6">
        <f>IF(AL776-R776-S776&lt;0,0,AL776-R776-S776)</f>
        <v>0</v>
      </c>
      <c r="AN776" s="5" t="str">
        <f t="shared" si="25"/>
        <v/>
      </c>
      <c r="AO776" s="5">
        <v>0</v>
      </c>
      <c r="AP776" s="9"/>
      <c r="AQ776" s="5" t="s">
        <v>1210</v>
      </c>
      <c r="AR776" s="5" t="s">
        <v>1210</v>
      </c>
      <c r="AS776" s="8"/>
      <c r="AT776" s="8"/>
      <c r="AU776" s="8"/>
      <c r="AV776" s="8"/>
      <c r="AW776" s="8"/>
      <c r="AX776" s="8"/>
      <c r="AY776" s="8"/>
      <c r="AZ776" s="8"/>
    </row>
    <row r="777" spans="1:52">
      <c r="A777" s="5" t="s">
        <v>1082</v>
      </c>
      <c r="B777" s="5">
        <v>52</v>
      </c>
      <c r="C777" s="19">
        <v>425</v>
      </c>
      <c r="E777" s="14"/>
      <c r="F777" s="11"/>
      <c r="G777" s="11"/>
      <c r="H777" s="11"/>
      <c r="I777" s="11"/>
      <c r="J777" s="25"/>
      <c r="K777" s="11"/>
      <c r="L777" s="11"/>
      <c r="M777" s="19">
        <v>0</v>
      </c>
      <c r="O777" s="6"/>
      <c r="P777" s="16">
        <v>0</v>
      </c>
      <c r="Q777" s="16">
        <v>0</v>
      </c>
      <c r="R777" s="22"/>
      <c r="S777" s="22">
        <f t="shared" si="24"/>
        <v>0</v>
      </c>
      <c r="T777" s="5" t="s">
        <v>1210</v>
      </c>
      <c r="U777" s="5" t="s">
        <v>1210</v>
      </c>
      <c r="Y777" s="8"/>
      <c r="Z777" s="8"/>
      <c r="AA777" s="8"/>
      <c r="AB777" s="8"/>
      <c r="AC777" s="8"/>
      <c r="AD777" s="8"/>
      <c r="AE777" s="25"/>
      <c r="AF777" s="11"/>
      <c r="AG777" s="25"/>
      <c r="AH777" s="11"/>
      <c r="AI777" s="11">
        <v>39</v>
      </c>
      <c r="AJ777" s="19">
        <v>0</v>
      </c>
      <c r="AK777" s="12">
        <f>(AJ777+AI777)/30*7</f>
        <v>9.1</v>
      </c>
      <c r="AL777" s="6">
        <f>IF(AK777-C777&lt;0,0,AK777-C777)</f>
        <v>0</v>
      </c>
      <c r="AM777" s="6">
        <f>IF(AL777-R777-S777&lt;0,0,AL777-R777-S777)</f>
        <v>0</v>
      </c>
      <c r="AN777" s="5" t="str">
        <f t="shared" si="25"/>
        <v/>
      </c>
      <c r="AO777" s="5">
        <v>0</v>
      </c>
      <c r="AP777" s="9"/>
      <c r="AQ777" s="5" t="s">
        <v>1210</v>
      </c>
      <c r="AR777" s="5" t="s">
        <v>1210</v>
      </c>
      <c r="AS777" s="8"/>
      <c r="AT777" s="8"/>
      <c r="AU777" s="8"/>
      <c r="AV777" s="8"/>
      <c r="AW777" s="8"/>
      <c r="AX777" s="8"/>
      <c r="AY777" s="8"/>
      <c r="AZ777" s="8"/>
    </row>
    <row r="778" spans="1:52">
      <c r="A778" s="5" t="s">
        <v>1050</v>
      </c>
      <c r="B778" s="5">
        <v>1031</v>
      </c>
      <c r="C778" s="19">
        <v>268</v>
      </c>
      <c r="E778" s="14"/>
      <c r="F778" s="11"/>
      <c r="G778" s="11"/>
      <c r="H778" s="11"/>
      <c r="I778" s="11"/>
      <c r="J778" s="25"/>
      <c r="K778" s="11"/>
      <c r="L778" s="11"/>
      <c r="M778" s="19">
        <v>0</v>
      </c>
      <c r="O778" s="6"/>
      <c r="P778" s="16">
        <v>0</v>
      </c>
      <c r="Q778" s="16">
        <v>406</v>
      </c>
      <c r="R778" s="22"/>
      <c r="S778" s="22">
        <f t="shared" si="24"/>
        <v>0</v>
      </c>
      <c r="T778" s="5" t="s">
        <v>1210</v>
      </c>
      <c r="U778" s="5" t="s">
        <v>1210</v>
      </c>
      <c r="Y778" s="8"/>
      <c r="Z778" s="8"/>
      <c r="AA778" s="8"/>
      <c r="AB778" s="8"/>
      <c r="AC778" s="8"/>
      <c r="AD778" s="8"/>
      <c r="AE778" s="25"/>
      <c r="AF778" s="11"/>
      <c r="AG778" s="25"/>
      <c r="AH778" s="11"/>
      <c r="AI778" s="11">
        <v>69</v>
      </c>
      <c r="AJ778" s="19">
        <v>0</v>
      </c>
      <c r="AK778" s="12">
        <f>(AJ778+AI778)/30*7</f>
        <v>16.099999999999998</v>
      </c>
      <c r="AL778" s="6">
        <f>IF(AK778-C778&lt;0,0,AK778-C778)</f>
        <v>0</v>
      </c>
      <c r="AM778" s="6">
        <f>IF(AL778-R778-S778&lt;0,0,AL778-R778-S778)</f>
        <v>0</v>
      </c>
      <c r="AN778" s="5" t="str">
        <f t="shared" si="25"/>
        <v/>
      </c>
      <c r="AO778" s="5">
        <v>0</v>
      </c>
      <c r="AP778" s="9"/>
      <c r="AQ778" s="5" t="s">
        <v>1210</v>
      </c>
      <c r="AR778" s="5" t="s">
        <v>1210</v>
      </c>
      <c r="AS778" s="8"/>
      <c r="AT778" s="8"/>
      <c r="AU778" s="8"/>
      <c r="AV778" s="8"/>
      <c r="AW778" s="8"/>
      <c r="AX778" s="8"/>
      <c r="AY778" s="8"/>
      <c r="AZ778" s="8"/>
    </row>
    <row r="779" spans="1:52">
      <c r="A779" s="5" t="s">
        <v>107</v>
      </c>
      <c r="B779" s="5">
        <v>1584</v>
      </c>
      <c r="C779" s="19">
        <v>957</v>
      </c>
      <c r="E779" s="14"/>
      <c r="F779" s="11"/>
      <c r="G779" s="11"/>
      <c r="H779" s="11"/>
      <c r="I779" s="11"/>
      <c r="J779" s="25"/>
      <c r="K779" s="11"/>
      <c r="L779" s="11"/>
      <c r="M779" s="19">
        <v>8</v>
      </c>
      <c r="O779" s="6"/>
      <c r="P779" s="16">
        <v>631</v>
      </c>
      <c r="Q779" s="16">
        <v>0</v>
      </c>
      <c r="R779" s="22"/>
      <c r="S779" s="22">
        <f t="shared" si="24"/>
        <v>0</v>
      </c>
      <c r="T779" s="5" t="s">
        <v>1210</v>
      </c>
      <c r="U779" s="5" t="s">
        <v>1210</v>
      </c>
      <c r="Y779" s="8"/>
      <c r="Z779" s="8"/>
      <c r="AA779" s="8"/>
      <c r="AB779" s="8"/>
      <c r="AC779" s="8"/>
      <c r="AD779" s="8"/>
      <c r="AE779" s="25"/>
      <c r="AF779" s="11"/>
      <c r="AG779" s="25"/>
      <c r="AH779" s="11"/>
      <c r="AI779" s="11">
        <v>34</v>
      </c>
      <c r="AJ779" s="19">
        <v>86</v>
      </c>
      <c r="AK779" s="12">
        <f>(AJ779+AI779)/30*7</f>
        <v>28</v>
      </c>
      <c r="AL779" s="6">
        <f>IF(AK779-C779&lt;0,0,AK779-C779)</f>
        <v>0</v>
      </c>
      <c r="AM779" s="6">
        <f>IF(AL779-R779-S779&lt;0,0,AL779-R779-S779)</f>
        <v>0</v>
      </c>
      <c r="AN779" s="5" t="str">
        <f t="shared" si="25"/>
        <v/>
      </c>
      <c r="AO779" s="5">
        <v>0</v>
      </c>
      <c r="AP779" s="9"/>
      <c r="AQ779" s="5" t="s">
        <v>1210</v>
      </c>
      <c r="AR779" s="5" t="s">
        <v>1210</v>
      </c>
      <c r="AS779" s="8"/>
      <c r="AT779" s="8"/>
      <c r="AU779" s="8"/>
      <c r="AV779" s="8"/>
      <c r="AW779" s="8"/>
      <c r="AX779" s="8"/>
      <c r="AY779" s="8"/>
      <c r="AZ779" s="8"/>
    </row>
    <row r="780" spans="1:52">
      <c r="A780" s="5" t="s">
        <v>455</v>
      </c>
      <c r="B780" s="5">
        <v>1874</v>
      </c>
      <c r="C780" s="19">
        <v>486</v>
      </c>
      <c r="E780" s="14"/>
      <c r="F780" s="11"/>
      <c r="G780" s="11"/>
      <c r="H780" s="11"/>
      <c r="I780" s="11"/>
      <c r="J780" s="25"/>
      <c r="K780" s="11"/>
      <c r="L780" s="11"/>
      <c r="M780" s="19">
        <v>0</v>
      </c>
      <c r="O780" s="6"/>
      <c r="P780" s="16">
        <v>813</v>
      </c>
      <c r="Q780" s="16">
        <v>556</v>
      </c>
      <c r="R780" s="22"/>
      <c r="S780" s="22">
        <f t="shared" si="24"/>
        <v>0</v>
      </c>
      <c r="T780" s="5" t="s">
        <v>1210</v>
      </c>
      <c r="U780" s="5" t="s">
        <v>1210</v>
      </c>
      <c r="Y780" s="8"/>
      <c r="Z780" s="8"/>
      <c r="AA780" s="8"/>
      <c r="AB780" s="8"/>
      <c r="AC780" s="8"/>
      <c r="AD780" s="8"/>
      <c r="AE780" s="25"/>
      <c r="AF780" s="11"/>
      <c r="AG780" s="25"/>
      <c r="AH780" s="11"/>
      <c r="AI780" s="11">
        <v>84</v>
      </c>
      <c r="AJ780" s="19">
        <v>14</v>
      </c>
      <c r="AK780" s="12">
        <f>(AJ780+AI780)/30*7</f>
        <v>22.866666666666667</v>
      </c>
      <c r="AL780" s="6">
        <f>IF(AK780-C780&lt;0,0,AK780-C780)</f>
        <v>0</v>
      </c>
      <c r="AM780" s="6">
        <f>IF(AL780-R780-S780&lt;0,0,AL780-R780-S780)</f>
        <v>0</v>
      </c>
      <c r="AN780" s="5" t="str">
        <f t="shared" si="25"/>
        <v/>
      </c>
      <c r="AO780" s="5">
        <v>0</v>
      </c>
      <c r="AP780" s="9"/>
      <c r="AQ780" s="5" t="s">
        <v>1210</v>
      </c>
      <c r="AR780" s="5" t="s">
        <v>1210</v>
      </c>
      <c r="AS780" s="8"/>
      <c r="AT780" s="8"/>
      <c r="AU780" s="8"/>
      <c r="AV780" s="8"/>
      <c r="AW780" s="8"/>
      <c r="AX780" s="8"/>
      <c r="AY780" s="8"/>
      <c r="AZ780" s="8"/>
    </row>
    <row r="781" spans="1:52">
      <c r="A781" s="5" t="s">
        <v>1045</v>
      </c>
      <c r="B781" s="5">
        <v>2136</v>
      </c>
      <c r="C781" s="19">
        <v>463</v>
      </c>
      <c r="E781" s="14"/>
      <c r="F781" s="11"/>
      <c r="G781" s="11"/>
      <c r="H781" s="11"/>
      <c r="I781" s="11"/>
      <c r="J781" s="25"/>
      <c r="K781" s="11"/>
      <c r="L781" s="11"/>
      <c r="M781" s="19">
        <v>0</v>
      </c>
      <c r="O781" s="6"/>
      <c r="P781" s="16">
        <v>896</v>
      </c>
      <c r="Q781" s="16">
        <v>0</v>
      </c>
      <c r="R781" s="22"/>
      <c r="S781" s="22">
        <f t="shared" si="24"/>
        <v>0</v>
      </c>
      <c r="T781" s="5" t="s">
        <v>1210</v>
      </c>
      <c r="U781" s="5" t="s">
        <v>1210</v>
      </c>
      <c r="Y781" s="8"/>
      <c r="Z781" s="8"/>
      <c r="AA781" s="8"/>
      <c r="AB781" s="8"/>
      <c r="AC781" s="8"/>
      <c r="AD781" s="8"/>
      <c r="AE781" s="25"/>
      <c r="AF781" s="11"/>
      <c r="AG781" s="25"/>
      <c r="AH781" s="11"/>
      <c r="AI781" s="11">
        <v>58</v>
      </c>
      <c r="AJ781" s="19">
        <v>10</v>
      </c>
      <c r="AK781" s="12">
        <f>(AJ781+AI781)/30*7</f>
        <v>15.866666666666667</v>
      </c>
      <c r="AL781" s="6">
        <f>IF(AK781-C781&lt;0,0,AK781-C781)</f>
        <v>0</v>
      </c>
      <c r="AM781" s="6">
        <f>IF(AL781-R781-S781&lt;0,0,AL781-R781-S781)</f>
        <v>0</v>
      </c>
      <c r="AN781" s="5" t="str">
        <f t="shared" si="25"/>
        <v/>
      </c>
      <c r="AO781" s="5">
        <v>0</v>
      </c>
      <c r="AP781" s="9"/>
      <c r="AQ781" s="5" t="s">
        <v>1210</v>
      </c>
      <c r="AR781" s="5" t="s">
        <v>1210</v>
      </c>
      <c r="AS781" s="8"/>
      <c r="AT781" s="8"/>
      <c r="AU781" s="8"/>
      <c r="AV781" s="8"/>
      <c r="AW781" s="8"/>
      <c r="AX781" s="8"/>
      <c r="AY781" s="8"/>
      <c r="AZ781" s="8"/>
    </row>
    <row r="782" spans="1:52">
      <c r="A782" s="5" t="s">
        <v>507</v>
      </c>
      <c r="B782" s="5">
        <v>754</v>
      </c>
      <c r="C782" s="19">
        <v>364</v>
      </c>
      <c r="E782" s="14"/>
      <c r="F782" s="11"/>
      <c r="G782" s="11"/>
      <c r="H782" s="11"/>
      <c r="I782" s="11"/>
      <c r="J782" s="25"/>
      <c r="K782" s="11"/>
      <c r="L782" s="11"/>
      <c r="M782" s="19">
        <v>0</v>
      </c>
      <c r="O782" s="6"/>
      <c r="P782" s="16">
        <v>332</v>
      </c>
      <c r="Q782" s="16">
        <v>521</v>
      </c>
      <c r="R782" s="22"/>
      <c r="S782" s="22">
        <f t="shared" si="24"/>
        <v>0</v>
      </c>
      <c r="T782" s="5" t="s">
        <v>1210</v>
      </c>
      <c r="U782" s="5" t="s">
        <v>1210</v>
      </c>
      <c r="Y782" s="8"/>
      <c r="Z782" s="8"/>
      <c r="AA782" s="8"/>
      <c r="AB782" s="8"/>
      <c r="AC782" s="8"/>
      <c r="AD782" s="8"/>
      <c r="AE782" s="25"/>
      <c r="AF782" s="11"/>
      <c r="AG782" s="25"/>
      <c r="AH782" s="11"/>
      <c r="AI782" s="11">
        <v>80</v>
      </c>
      <c r="AJ782" s="19">
        <v>5</v>
      </c>
      <c r="AK782" s="12">
        <f>(AJ782+AI782)/30*7</f>
        <v>19.833333333333336</v>
      </c>
      <c r="AL782" s="6">
        <f>IF(AK782-C782&lt;0,0,AK782-C782)</f>
        <v>0</v>
      </c>
      <c r="AM782" s="6">
        <f>IF(AL782-R782-S782&lt;0,0,AL782-R782-S782)</f>
        <v>0</v>
      </c>
      <c r="AN782" s="5" t="str">
        <f t="shared" si="25"/>
        <v/>
      </c>
      <c r="AO782" s="5">
        <v>0</v>
      </c>
      <c r="AP782" s="9"/>
      <c r="AQ782" s="5" t="s">
        <v>1210</v>
      </c>
      <c r="AR782" s="5" t="s">
        <v>1230</v>
      </c>
      <c r="AS782" s="8"/>
      <c r="AT782" s="8"/>
      <c r="AU782" s="8"/>
      <c r="AV782" s="8"/>
      <c r="AW782" s="8"/>
      <c r="AX782" s="8"/>
      <c r="AY782" s="8"/>
      <c r="AZ782" s="8"/>
    </row>
    <row r="783" spans="1:52">
      <c r="A783" s="5" t="s">
        <v>390</v>
      </c>
      <c r="B783" s="5">
        <v>228</v>
      </c>
      <c r="C783" s="19">
        <v>934</v>
      </c>
      <c r="E783" s="14"/>
      <c r="F783" s="11"/>
      <c r="G783" s="11"/>
      <c r="H783" s="11"/>
      <c r="I783" s="11"/>
      <c r="J783" s="25"/>
      <c r="K783" s="11"/>
      <c r="L783" s="11"/>
      <c r="M783" s="19">
        <v>0</v>
      </c>
      <c r="O783" s="6"/>
      <c r="P783" s="16">
        <v>0</v>
      </c>
      <c r="Q783" s="16">
        <v>737</v>
      </c>
      <c r="R783" s="22"/>
      <c r="S783" s="22">
        <f t="shared" si="24"/>
        <v>0</v>
      </c>
      <c r="U783" s="5" t="s">
        <v>1210</v>
      </c>
      <c r="Y783" s="8"/>
      <c r="Z783" s="8"/>
      <c r="AA783" s="8"/>
      <c r="AB783" s="8"/>
      <c r="AC783" s="8"/>
      <c r="AD783" s="8"/>
      <c r="AE783" s="25"/>
      <c r="AF783" s="11"/>
      <c r="AG783" s="25"/>
      <c r="AH783" s="11"/>
      <c r="AI783" s="11">
        <v>55</v>
      </c>
      <c r="AJ783" s="19">
        <v>0</v>
      </c>
      <c r="AK783" s="12">
        <f>(AJ783+AI783)/30*7</f>
        <v>12.833333333333332</v>
      </c>
      <c r="AL783" s="6">
        <f>IF(AK783-C783&lt;0,0,AK783-C783)</f>
        <v>0</v>
      </c>
      <c r="AM783" s="6">
        <f>IF(AL783-R783-S783&lt;0,0,AL783-R783-S783)</f>
        <v>0</v>
      </c>
      <c r="AN783" s="5" t="str">
        <f t="shared" si="25"/>
        <v/>
      </c>
      <c r="AO783" s="5">
        <v>0</v>
      </c>
      <c r="AP783" s="9"/>
      <c r="AQ783" s="5" t="s">
        <v>1210</v>
      </c>
      <c r="AR783" s="5" t="s">
        <v>1230</v>
      </c>
      <c r="AS783" s="8"/>
      <c r="AT783" s="8"/>
      <c r="AU783" s="8"/>
      <c r="AV783" s="8"/>
      <c r="AW783" s="8"/>
      <c r="AX783" s="8"/>
      <c r="AY783" s="8"/>
      <c r="AZ783" s="8"/>
    </row>
    <row r="784" spans="1:52">
      <c r="A784" s="5" t="s">
        <v>90</v>
      </c>
      <c r="B784" s="5">
        <v>1375</v>
      </c>
      <c r="C784" s="19">
        <v>442</v>
      </c>
      <c r="E784" s="14"/>
      <c r="F784" s="11"/>
      <c r="G784" s="11"/>
      <c r="H784" s="11"/>
      <c r="I784" s="11"/>
      <c r="J784" s="25"/>
      <c r="K784" s="11"/>
      <c r="L784" s="11"/>
      <c r="M784" s="19">
        <v>10</v>
      </c>
      <c r="O784" s="6"/>
      <c r="P784" s="16">
        <v>371</v>
      </c>
      <c r="Q784" s="16">
        <v>0</v>
      </c>
      <c r="R784" s="22"/>
      <c r="S784" s="22">
        <f t="shared" si="24"/>
        <v>0</v>
      </c>
      <c r="T784" s="5" t="s">
        <v>1210</v>
      </c>
      <c r="U784" s="5" t="s">
        <v>1210</v>
      </c>
      <c r="Y784" s="8"/>
      <c r="Z784" s="8"/>
      <c r="AA784" s="8"/>
      <c r="AB784" s="8"/>
      <c r="AC784" s="8"/>
      <c r="AD784" s="8"/>
      <c r="AE784" s="25"/>
      <c r="AF784" s="11"/>
      <c r="AG784" s="25"/>
      <c r="AH784" s="11"/>
      <c r="AI784" s="11">
        <v>2</v>
      </c>
      <c r="AJ784" s="19">
        <v>61</v>
      </c>
      <c r="AK784" s="12">
        <f>(AJ784+AI784)/30*7</f>
        <v>14.700000000000001</v>
      </c>
      <c r="AL784" s="6">
        <f>IF(AK784-C784&lt;0,0,AK784-C784)</f>
        <v>0</v>
      </c>
      <c r="AM784" s="6">
        <f>IF(AL784-R784-S784&lt;0,0,AL784-R784-S784)</f>
        <v>0</v>
      </c>
      <c r="AN784" s="5" t="str">
        <f t="shared" si="25"/>
        <v/>
      </c>
      <c r="AO784" s="5">
        <v>0</v>
      </c>
      <c r="AP784" s="9"/>
      <c r="AQ784" s="5" t="s">
        <v>1229</v>
      </c>
      <c r="AR784" s="5" t="s">
        <v>1210</v>
      </c>
      <c r="AS784" s="8"/>
      <c r="AT784" s="8"/>
      <c r="AU784" s="8"/>
      <c r="AV784" s="8"/>
      <c r="AW784" s="8"/>
      <c r="AX784" s="8"/>
      <c r="AY784" s="8"/>
      <c r="AZ784" s="8"/>
    </row>
    <row r="785" spans="1:52">
      <c r="A785" s="5" t="s">
        <v>170</v>
      </c>
      <c r="B785" s="5">
        <v>1697</v>
      </c>
      <c r="C785" s="19">
        <v>739</v>
      </c>
      <c r="E785" s="14"/>
      <c r="F785" s="11"/>
      <c r="G785" s="11"/>
      <c r="H785" s="11"/>
      <c r="I785" s="11"/>
      <c r="J785" s="25"/>
      <c r="K785" s="11"/>
      <c r="L785" s="11"/>
      <c r="M785" s="19">
        <v>6</v>
      </c>
      <c r="O785" s="6"/>
      <c r="P785" s="16">
        <v>710</v>
      </c>
      <c r="Q785" s="16">
        <v>455</v>
      </c>
      <c r="R785" s="22"/>
      <c r="S785" s="22">
        <f t="shared" si="24"/>
        <v>0</v>
      </c>
      <c r="T785" s="5" t="s">
        <v>1210</v>
      </c>
      <c r="U785" s="5" t="s">
        <v>1210</v>
      </c>
      <c r="Y785" s="8"/>
      <c r="Z785" s="8"/>
      <c r="AA785" s="8"/>
      <c r="AB785" s="8"/>
      <c r="AC785" s="8"/>
      <c r="AD785" s="8"/>
      <c r="AE785" s="25"/>
      <c r="AF785" s="11"/>
      <c r="AG785" s="25"/>
      <c r="AH785" s="11"/>
      <c r="AI785" s="11">
        <v>67</v>
      </c>
      <c r="AJ785" s="19">
        <v>73</v>
      </c>
      <c r="AK785" s="12">
        <f>(AJ785+AI785)/30*7</f>
        <v>32.666666666666671</v>
      </c>
      <c r="AL785" s="6">
        <f>IF(AK785-C785&lt;0,0,AK785-C785)</f>
        <v>0</v>
      </c>
      <c r="AM785" s="6">
        <f>IF(AL785-R785-S785&lt;0,0,AL785-R785-S785)</f>
        <v>0</v>
      </c>
      <c r="AN785" s="5" t="str">
        <f t="shared" si="25"/>
        <v/>
      </c>
      <c r="AO785" s="5">
        <v>0</v>
      </c>
      <c r="AP785" s="9"/>
      <c r="AQ785" s="5" t="s">
        <v>1229</v>
      </c>
      <c r="AR785" s="5" t="s">
        <v>1210</v>
      </c>
      <c r="AS785" s="8"/>
      <c r="AT785" s="8"/>
      <c r="AU785" s="8"/>
      <c r="AV785" s="8"/>
      <c r="AW785" s="8"/>
      <c r="AX785" s="8"/>
      <c r="AY785" s="8"/>
      <c r="AZ785" s="8"/>
    </row>
    <row r="786" spans="1:52">
      <c r="A786" s="5" t="s">
        <v>383</v>
      </c>
      <c r="B786" s="5">
        <v>2188</v>
      </c>
      <c r="C786" s="19">
        <v>323</v>
      </c>
      <c r="E786" s="14"/>
      <c r="F786" s="11"/>
      <c r="G786" s="11"/>
      <c r="H786" s="11"/>
      <c r="I786" s="11"/>
      <c r="J786" s="25"/>
      <c r="K786" s="11"/>
      <c r="L786" s="11"/>
      <c r="M786" s="19">
        <v>7</v>
      </c>
      <c r="O786" s="6"/>
      <c r="P786" s="16">
        <v>484</v>
      </c>
      <c r="Q786" s="16">
        <v>0</v>
      </c>
      <c r="R786" s="22"/>
      <c r="S786" s="22">
        <f t="shared" si="24"/>
        <v>0</v>
      </c>
      <c r="T786" s="5">
        <v>1829</v>
      </c>
      <c r="U786" s="5">
        <v>644</v>
      </c>
      <c r="Y786" s="8"/>
      <c r="Z786" s="8"/>
      <c r="AA786" s="8"/>
      <c r="AB786" s="8"/>
      <c r="AC786" s="8"/>
      <c r="AD786" s="8"/>
      <c r="AE786" s="25"/>
      <c r="AF786" s="11"/>
      <c r="AG786" s="25"/>
      <c r="AH786" s="11"/>
      <c r="AI786" s="11">
        <v>96</v>
      </c>
      <c r="AJ786" s="19">
        <v>44</v>
      </c>
      <c r="AK786" s="12">
        <f>(AJ786+AI786)/30*7</f>
        <v>32.666666666666671</v>
      </c>
      <c r="AL786" s="6">
        <f>IF(AK786-C786&lt;0,0,AK786-C786)</f>
        <v>0</v>
      </c>
      <c r="AM786" s="6">
        <f>IF(AL786-R786-S786&lt;0,0,AL786-R786-S786)</f>
        <v>0</v>
      </c>
      <c r="AN786" s="5" t="str">
        <f t="shared" si="25"/>
        <v/>
      </c>
      <c r="AO786" s="5">
        <v>0</v>
      </c>
      <c r="AP786" s="9"/>
      <c r="AQ786" s="5" t="s">
        <v>1210</v>
      </c>
      <c r="AR786" s="5" t="s">
        <v>1210</v>
      </c>
      <c r="AS786" s="8"/>
      <c r="AT786" s="8"/>
      <c r="AU786" s="8"/>
      <c r="AV786" s="8"/>
      <c r="AW786" s="8"/>
      <c r="AX786" s="8"/>
      <c r="AY786" s="8"/>
      <c r="AZ786" s="8"/>
    </row>
    <row r="787" spans="1:52">
      <c r="A787" s="5" t="s">
        <v>1062</v>
      </c>
      <c r="B787" s="5">
        <v>1634</v>
      </c>
      <c r="C787" s="19">
        <v>978</v>
      </c>
      <c r="E787" s="14"/>
      <c r="F787" s="11"/>
      <c r="G787" s="11"/>
      <c r="H787" s="11"/>
      <c r="I787" s="11"/>
      <c r="J787" s="25"/>
      <c r="K787" s="11"/>
      <c r="L787" s="11"/>
      <c r="M787" s="19">
        <v>0</v>
      </c>
      <c r="O787" s="6"/>
      <c r="P787" s="16">
        <v>0</v>
      </c>
      <c r="Q787" s="16">
        <v>0</v>
      </c>
      <c r="R787" s="22"/>
      <c r="S787" s="22">
        <f t="shared" si="24"/>
        <v>0</v>
      </c>
      <c r="T787" s="5" t="s">
        <v>1210</v>
      </c>
      <c r="U787" s="5" t="s">
        <v>1210</v>
      </c>
      <c r="Y787" s="8"/>
      <c r="Z787" s="8"/>
      <c r="AA787" s="8"/>
      <c r="AB787" s="8"/>
      <c r="AC787" s="8"/>
      <c r="AD787" s="8"/>
      <c r="AE787" s="25"/>
      <c r="AF787" s="11"/>
      <c r="AG787" s="25"/>
      <c r="AH787" s="11"/>
      <c r="AI787" s="11">
        <v>37</v>
      </c>
      <c r="AJ787" s="19">
        <v>0</v>
      </c>
      <c r="AK787" s="12">
        <f>(AJ787+AI787)/30*7</f>
        <v>8.6333333333333329</v>
      </c>
      <c r="AL787" s="6">
        <f>IF(AK787-C787&lt;0,0,AK787-C787)</f>
        <v>0</v>
      </c>
      <c r="AM787" s="6">
        <f>IF(AL787-R787-S787&lt;0,0,AL787-R787-S787)</f>
        <v>0</v>
      </c>
      <c r="AN787" s="5" t="str">
        <f t="shared" si="25"/>
        <v/>
      </c>
      <c r="AO787" s="5">
        <v>0</v>
      </c>
      <c r="AP787" s="9"/>
      <c r="AQ787" s="5" t="s">
        <v>1210</v>
      </c>
      <c r="AR787" s="5" t="s">
        <v>1210</v>
      </c>
      <c r="AS787" s="8"/>
      <c r="AT787" s="8"/>
      <c r="AU787" s="8"/>
      <c r="AV787" s="8"/>
      <c r="AW787" s="8"/>
      <c r="AX787" s="8"/>
      <c r="AY787" s="8"/>
      <c r="AZ787" s="8"/>
    </row>
    <row r="788" spans="1:52">
      <c r="A788" s="5" t="s">
        <v>335</v>
      </c>
      <c r="B788" s="5">
        <v>1302</v>
      </c>
      <c r="C788" s="19">
        <v>443</v>
      </c>
      <c r="E788" s="14"/>
      <c r="F788" s="11"/>
      <c r="G788" s="11"/>
      <c r="H788" s="11"/>
      <c r="I788" s="11"/>
      <c r="J788" s="25"/>
      <c r="K788" s="11"/>
      <c r="L788" s="11"/>
      <c r="M788" s="19">
        <v>0</v>
      </c>
      <c r="O788" s="6"/>
      <c r="P788" s="16">
        <v>579</v>
      </c>
      <c r="Q788" s="16">
        <v>0</v>
      </c>
      <c r="R788" s="22"/>
      <c r="S788" s="22">
        <f t="shared" si="24"/>
        <v>0</v>
      </c>
      <c r="T788" s="5" t="s">
        <v>1210</v>
      </c>
      <c r="U788" s="5" t="s">
        <v>1210</v>
      </c>
      <c r="Y788" s="8"/>
      <c r="Z788" s="8"/>
      <c r="AA788" s="8"/>
      <c r="AB788" s="8"/>
      <c r="AC788" s="8"/>
      <c r="AD788" s="8"/>
      <c r="AE788" s="25"/>
      <c r="AF788" s="11"/>
      <c r="AG788" s="25"/>
      <c r="AH788" s="11"/>
      <c r="AI788" s="11">
        <v>5</v>
      </c>
      <c r="AJ788" s="19">
        <v>53</v>
      </c>
      <c r="AK788" s="12">
        <f>(AJ788+AI788)/30*7</f>
        <v>13.533333333333333</v>
      </c>
      <c r="AL788" s="6">
        <f>IF(AK788-C788&lt;0,0,AK788-C788)</f>
        <v>0</v>
      </c>
      <c r="AM788" s="6">
        <f>IF(AL788-R788-S788&lt;0,0,AL788-R788-S788)</f>
        <v>0</v>
      </c>
      <c r="AN788" s="5" t="str">
        <f t="shared" si="25"/>
        <v/>
      </c>
      <c r="AO788" s="5">
        <v>7</v>
      </c>
      <c r="AP788" s="9"/>
      <c r="AQ788" s="5" t="s">
        <v>1210</v>
      </c>
      <c r="AR788" s="5" t="s">
        <v>1210</v>
      </c>
      <c r="AS788" s="8"/>
      <c r="AT788" s="8"/>
      <c r="AU788" s="8"/>
      <c r="AV788" s="8"/>
      <c r="AW788" s="8"/>
      <c r="AX788" s="8"/>
      <c r="AY788" s="8"/>
      <c r="AZ788" s="8"/>
    </row>
    <row r="789" spans="1:52">
      <c r="A789" s="5" t="s">
        <v>288</v>
      </c>
      <c r="B789" s="5">
        <v>885</v>
      </c>
      <c r="C789" s="19">
        <v>433</v>
      </c>
      <c r="E789" s="14"/>
      <c r="F789" s="11"/>
      <c r="G789" s="11"/>
      <c r="H789" s="11"/>
      <c r="I789" s="11"/>
      <c r="J789" s="25"/>
      <c r="K789" s="11"/>
      <c r="L789" s="11"/>
      <c r="M789" s="19">
        <v>8</v>
      </c>
      <c r="O789" s="6"/>
      <c r="P789" s="16">
        <v>818</v>
      </c>
      <c r="Q789" s="16">
        <v>468</v>
      </c>
      <c r="R789" s="22"/>
      <c r="S789" s="22">
        <f t="shared" si="24"/>
        <v>0</v>
      </c>
      <c r="U789" s="5" t="s">
        <v>1210</v>
      </c>
      <c r="Y789" s="8"/>
      <c r="Z789" s="8"/>
      <c r="AA789" s="8"/>
      <c r="AB789" s="8"/>
      <c r="AC789" s="8"/>
      <c r="AD789" s="8"/>
      <c r="AE789" s="25"/>
      <c r="AF789" s="11"/>
      <c r="AG789" s="25"/>
      <c r="AH789" s="11"/>
      <c r="AI789" s="11">
        <v>79</v>
      </c>
      <c r="AJ789" s="19">
        <v>39</v>
      </c>
      <c r="AK789" s="12">
        <f>(AJ789+AI789)/30*7</f>
        <v>27.533333333333331</v>
      </c>
      <c r="AL789" s="6">
        <f>IF(AK789-C789&lt;0,0,AK789-C789)</f>
        <v>0</v>
      </c>
      <c r="AM789" s="6">
        <f>IF(AL789-R789-S789&lt;0,0,AL789-R789-S789)</f>
        <v>0</v>
      </c>
      <c r="AN789" s="5" t="str">
        <f t="shared" si="25"/>
        <v/>
      </c>
      <c r="AO789" s="5">
        <v>0</v>
      </c>
      <c r="AP789" s="9"/>
      <c r="AQ789" s="5" t="s">
        <v>1210</v>
      </c>
      <c r="AR789" s="5" t="s">
        <v>1210</v>
      </c>
      <c r="AS789" s="8"/>
      <c r="AT789" s="8"/>
      <c r="AU789" s="8"/>
      <c r="AV789" s="8"/>
      <c r="AW789" s="8"/>
      <c r="AX789" s="8"/>
      <c r="AY789" s="8"/>
      <c r="AZ789" s="8"/>
    </row>
    <row r="790" spans="1:52">
      <c r="A790" s="5" t="s">
        <v>419</v>
      </c>
      <c r="B790" s="5">
        <v>1406</v>
      </c>
      <c r="C790" s="19">
        <v>250</v>
      </c>
      <c r="E790" s="14"/>
      <c r="F790" s="11"/>
      <c r="G790" s="11"/>
      <c r="H790" s="11"/>
      <c r="I790" s="11"/>
      <c r="J790" s="25"/>
      <c r="K790" s="11"/>
      <c r="L790" s="11"/>
      <c r="M790" s="19">
        <v>4</v>
      </c>
      <c r="O790" s="6"/>
      <c r="P790" s="16">
        <v>714</v>
      </c>
      <c r="Q790" s="16">
        <v>430</v>
      </c>
      <c r="R790" s="22"/>
      <c r="S790" s="22">
        <f t="shared" si="24"/>
        <v>0</v>
      </c>
      <c r="T790" s="5" t="s">
        <v>1210</v>
      </c>
      <c r="U790" s="5" t="s">
        <v>1210</v>
      </c>
      <c r="Y790" s="8"/>
      <c r="Z790" s="8"/>
      <c r="AA790" s="8"/>
      <c r="AB790" s="8"/>
      <c r="AC790" s="8"/>
      <c r="AD790" s="8"/>
      <c r="AE790" s="25"/>
      <c r="AF790" s="11"/>
      <c r="AG790" s="25"/>
      <c r="AH790" s="11"/>
      <c r="AI790" s="11">
        <v>76</v>
      </c>
      <c r="AJ790" s="19">
        <v>12</v>
      </c>
      <c r="AK790" s="12">
        <f>(AJ790+AI790)/30*7</f>
        <v>20.533333333333331</v>
      </c>
      <c r="AL790" s="6">
        <f>IF(AK790-C790&lt;0,0,AK790-C790)</f>
        <v>0</v>
      </c>
      <c r="AM790" s="6">
        <f>IF(AL790-R790-S790&lt;0,0,AL790-R790-S790)</f>
        <v>0</v>
      </c>
      <c r="AN790" s="5" t="str">
        <f t="shared" si="25"/>
        <v/>
      </c>
      <c r="AO790" s="5">
        <v>0</v>
      </c>
      <c r="AP790" s="9"/>
      <c r="AQ790" s="5" t="s">
        <v>1210</v>
      </c>
      <c r="AR790" s="5" t="s">
        <v>1210</v>
      </c>
      <c r="AS790" s="8"/>
      <c r="AT790" s="8"/>
      <c r="AU790" s="8"/>
      <c r="AV790" s="8"/>
      <c r="AW790" s="8"/>
      <c r="AX790" s="8"/>
      <c r="AY790" s="8"/>
      <c r="AZ790" s="8"/>
    </row>
    <row r="791" spans="1:52">
      <c r="A791" s="5" t="s">
        <v>318</v>
      </c>
      <c r="B791" s="5">
        <v>730</v>
      </c>
      <c r="C791" s="19">
        <v>802</v>
      </c>
      <c r="E791" s="14"/>
      <c r="F791" s="11"/>
      <c r="G791" s="11"/>
      <c r="H791" s="11"/>
      <c r="I791" s="11"/>
      <c r="J791" s="25"/>
      <c r="K791" s="11"/>
      <c r="L791" s="11"/>
      <c r="M791" s="19">
        <v>0</v>
      </c>
      <c r="O791" s="6"/>
      <c r="P791" s="16">
        <v>605</v>
      </c>
      <c r="Q791" s="16">
        <v>812</v>
      </c>
      <c r="R791" s="22"/>
      <c r="S791" s="22">
        <f t="shared" si="24"/>
        <v>0</v>
      </c>
      <c r="U791" s="5" t="s">
        <v>1210</v>
      </c>
      <c r="Y791" s="8"/>
      <c r="Z791" s="8"/>
      <c r="AA791" s="8"/>
      <c r="AB791" s="8"/>
      <c r="AC791" s="8"/>
      <c r="AD791" s="8"/>
      <c r="AE791" s="25"/>
      <c r="AF791" s="11"/>
      <c r="AG791" s="25"/>
      <c r="AH791" s="11"/>
      <c r="AI791" s="11">
        <v>11</v>
      </c>
      <c r="AJ791" s="19">
        <v>34</v>
      </c>
      <c r="AK791" s="12">
        <f>(AJ791+AI791)/30*7</f>
        <v>10.5</v>
      </c>
      <c r="AL791" s="6">
        <f>IF(AK791-C791&lt;0,0,AK791-C791)</f>
        <v>0</v>
      </c>
      <c r="AM791" s="6">
        <f>IF(AL791-R791-S791&lt;0,0,AL791-R791-S791)</f>
        <v>0</v>
      </c>
      <c r="AN791" s="5" t="str">
        <f t="shared" si="25"/>
        <v/>
      </c>
      <c r="AO791" s="5">
        <v>0</v>
      </c>
      <c r="AP791" s="9"/>
      <c r="AQ791" s="5" t="s">
        <v>1210</v>
      </c>
      <c r="AR791" s="5" t="s">
        <v>1210</v>
      </c>
      <c r="AS791" s="8"/>
      <c r="AT791" s="8"/>
      <c r="AU791" s="8"/>
      <c r="AV791" s="8"/>
      <c r="AW791" s="8"/>
      <c r="AX791" s="8"/>
      <c r="AY791" s="8"/>
      <c r="AZ791" s="8"/>
    </row>
    <row r="792" spans="1:52">
      <c r="A792" s="5" t="s">
        <v>537</v>
      </c>
      <c r="B792" s="5">
        <v>1897</v>
      </c>
      <c r="C792" s="19">
        <v>834</v>
      </c>
      <c r="E792" s="14"/>
      <c r="F792" s="11"/>
      <c r="G792" s="11"/>
      <c r="H792" s="11"/>
      <c r="I792" s="11"/>
      <c r="J792" s="25"/>
      <c r="K792" s="11"/>
      <c r="L792" s="11"/>
      <c r="M792" s="19">
        <v>8</v>
      </c>
      <c r="O792" s="6"/>
      <c r="P792" s="16">
        <v>918</v>
      </c>
      <c r="Q792" s="16">
        <v>834</v>
      </c>
      <c r="R792" s="22"/>
      <c r="S792" s="22">
        <f t="shared" si="24"/>
        <v>0</v>
      </c>
      <c r="T792" s="5" t="s">
        <v>1210</v>
      </c>
      <c r="U792" s="5" t="s">
        <v>1210</v>
      </c>
      <c r="Y792" s="8"/>
      <c r="Z792" s="8"/>
      <c r="AA792" s="8"/>
      <c r="AB792" s="8"/>
      <c r="AC792" s="8"/>
      <c r="AD792" s="8"/>
      <c r="AE792" s="25"/>
      <c r="AF792" s="11"/>
      <c r="AG792" s="25"/>
      <c r="AH792" s="11"/>
      <c r="AI792" s="11">
        <v>42</v>
      </c>
      <c r="AJ792" s="19">
        <v>7</v>
      </c>
      <c r="AK792" s="12">
        <f>(AJ792+AI792)/30*7</f>
        <v>11.433333333333334</v>
      </c>
      <c r="AL792" s="6">
        <f>IF(AK792-C792&lt;0,0,AK792-C792)</f>
        <v>0</v>
      </c>
      <c r="AM792" s="6">
        <f>IF(AL792-R792-S792&lt;0,0,AL792-R792-S792)</f>
        <v>0</v>
      </c>
      <c r="AN792" s="5" t="str">
        <f t="shared" si="25"/>
        <v/>
      </c>
      <c r="AO792" s="5">
        <v>0</v>
      </c>
      <c r="AP792" s="9"/>
      <c r="AQ792" s="5" t="s">
        <v>1229</v>
      </c>
      <c r="AR792" s="5" t="s">
        <v>1210</v>
      </c>
      <c r="AS792" s="8"/>
      <c r="AT792" s="8"/>
      <c r="AU792" s="8"/>
      <c r="AV792" s="8"/>
      <c r="AW792" s="8"/>
      <c r="AX792" s="8"/>
      <c r="AY792" s="8"/>
      <c r="AZ792" s="8"/>
    </row>
    <row r="793" spans="1:52">
      <c r="A793" s="5" t="s">
        <v>877</v>
      </c>
      <c r="B793" s="5">
        <v>1735</v>
      </c>
      <c r="C793" s="19">
        <v>596</v>
      </c>
      <c r="E793" s="14"/>
      <c r="F793" s="11"/>
      <c r="G793" s="11"/>
      <c r="H793" s="11"/>
      <c r="I793" s="11"/>
      <c r="J793" s="25"/>
      <c r="K793" s="11"/>
      <c r="L793" s="11"/>
      <c r="M793" s="19">
        <v>0</v>
      </c>
      <c r="O793" s="6"/>
      <c r="P793" s="16">
        <v>757</v>
      </c>
      <c r="Q793" s="16">
        <v>0</v>
      </c>
      <c r="R793" s="22"/>
      <c r="S793" s="22">
        <f t="shared" si="24"/>
        <v>0</v>
      </c>
      <c r="T793" s="5">
        <v>1827</v>
      </c>
      <c r="U793" s="5">
        <v>723</v>
      </c>
      <c r="Y793" s="8"/>
      <c r="Z793" s="8"/>
      <c r="AA793" s="8"/>
      <c r="AB793" s="8"/>
      <c r="AC793" s="8"/>
      <c r="AD793" s="8"/>
      <c r="AE793" s="25"/>
      <c r="AF793" s="11"/>
      <c r="AG793" s="25"/>
      <c r="AH793" s="11"/>
      <c r="AI793" s="11">
        <v>78</v>
      </c>
      <c r="AJ793" s="19">
        <v>24</v>
      </c>
      <c r="AK793" s="12">
        <f>(AJ793+AI793)/30*7</f>
        <v>23.8</v>
      </c>
      <c r="AL793" s="6">
        <f>IF(AK793-C793&lt;0,0,AK793-C793)</f>
        <v>0</v>
      </c>
      <c r="AM793" s="6">
        <f>IF(AL793-R793-S793&lt;0,0,AL793-R793-S793)</f>
        <v>0</v>
      </c>
      <c r="AN793" s="5" t="str">
        <f t="shared" si="25"/>
        <v/>
      </c>
      <c r="AO793" s="5">
        <v>0</v>
      </c>
      <c r="AP793" s="9"/>
      <c r="AQ793" s="5" t="s">
        <v>1210</v>
      </c>
      <c r="AR793" s="5" t="s">
        <v>1230</v>
      </c>
      <c r="AS793" s="8"/>
      <c r="AT793" s="8"/>
      <c r="AU793" s="8"/>
      <c r="AV793" s="8"/>
      <c r="AW793" s="8"/>
      <c r="AX793" s="8"/>
      <c r="AY793" s="8"/>
      <c r="AZ793" s="8"/>
    </row>
    <row r="794" spans="1:52">
      <c r="A794" s="5" t="s">
        <v>376</v>
      </c>
      <c r="B794" s="5">
        <v>1301</v>
      </c>
      <c r="C794" s="19">
        <v>868</v>
      </c>
      <c r="E794" s="14"/>
      <c r="F794" s="11"/>
      <c r="G794" s="11"/>
      <c r="H794" s="11"/>
      <c r="I794" s="11"/>
      <c r="J794" s="25"/>
      <c r="K794" s="11"/>
      <c r="L794" s="11"/>
      <c r="M794" s="19">
        <v>0</v>
      </c>
      <c r="O794" s="6"/>
      <c r="P794" s="16">
        <v>240</v>
      </c>
      <c r="Q794" s="16">
        <v>765</v>
      </c>
      <c r="R794" s="22"/>
      <c r="S794" s="22">
        <f t="shared" si="24"/>
        <v>0</v>
      </c>
      <c r="T794" s="5" t="s">
        <v>1210</v>
      </c>
      <c r="U794" s="5" t="s">
        <v>1210</v>
      </c>
      <c r="Y794" s="8"/>
      <c r="Z794" s="8"/>
      <c r="AA794" s="8"/>
      <c r="AB794" s="8"/>
      <c r="AC794" s="8"/>
      <c r="AD794" s="8"/>
      <c r="AE794" s="25"/>
      <c r="AF794" s="11"/>
      <c r="AG794" s="25"/>
      <c r="AH794" s="11"/>
      <c r="AI794" s="11">
        <v>41</v>
      </c>
      <c r="AJ794" s="19">
        <v>17</v>
      </c>
      <c r="AK794" s="12">
        <f>(AJ794+AI794)/30*7</f>
        <v>13.533333333333333</v>
      </c>
      <c r="AL794" s="6">
        <f>IF(AK794-C794&lt;0,0,AK794-C794)</f>
        <v>0</v>
      </c>
      <c r="AM794" s="6">
        <f>IF(AL794-R794-S794&lt;0,0,AL794-R794-S794)</f>
        <v>0</v>
      </c>
      <c r="AN794" s="5" t="str">
        <f t="shared" si="25"/>
        <v/>
      </c>
      <c r="AO794" s="5">
        <v>0</v>
      </c>
      <c r="AP794" s="9"/>
      <c r="AQ794" s="5" t="s">
        <v>1210</v>
      </c>
      <c r="AR794" s="5" t="s">
        <v>1210</v>
      </c>
      <c r="AS794" s="8"/>
      <c r="AT794" s="8"/>
      <c r="AU794" s="8"/>
      <c r="AV794" s="8"/>
      <c r="AW794" s="8"/>
      <c r="AX794" s="8"/>
      <c r="AY794" s="8"/>
      <c r="AZ794" s="8"/>
    </row>
    <row r="795" spans="1:52">
      <c r="A795" s="5" t="s">
        <v>387</v>
      </c>
      <c r="B795" s="5">
        <v>918</v>
      </c>
      <c r="C795" s="19">
        <v>838</v>
      </c>
      <c r="E795" s="14"/>
      <c r="F795" s="11"/>
      <c r="G795" s="11"/>
      <c r="H795" s="11"/>
      <c r="I795" s="11"/>
      <c r="J795" s="25"/>
      <c r="K795" s="11"/>
      <c r="L795" s="11"/>
      <c r="M795" s="19">
        <v>9</v>
      </c>
      <c r="O795" s="6"/>
      <c r="P795" s="16">
        <v>383</v>
      </c>
      <c r="Q795" s="16">
        <v>0</v>
      </c>
      <c r="R795" s="22"/>
      <c r="S795" s="22">
        <f t="shared" si="24"/>
        <v>0</v>
      </c>
      <c r="T795" s="5" t="s">
        <v>1210</v>
      </c>
      <c r="U795" s="5" t="s">
        <v>1210</v>
      </c>
      <c r="Y795" s="8"/>
      <c r="Z795" s="8"/>
      <c r="AA795" s="8"/>
      <c r="AB795" s="8"/>
      <c r="AC795" s="8"/>
      <c r="AD795" s="8"/>
      <c r="AE795" s="25"/>
      <c r="AF795" s="11"/>
      <c r="AG795" s="25"/>
      <c r="AH795" s="11"/>
      <c r="AI795" s="11">
        <v>20</v>
      </c>
      <c r="AJ795" s="19">
        <v>45</v>
      </c>
      <c r="AK795" s="12">
        <f>(AJ795+AI795)/30*7</f>
        <v>15.166666666666666</v>
      </c>
      <c r="AL795" s="6">
        <f>IF(AK795-C795&lt;0,0,AK795-C795)</f>
        <v>0</v>
      </c>
      <c r="AM795" s="6">
        <f>IF(AL795-R795-S795&lt;0,0,AL795-R795-S795)</f>
        <v>0</v>
      </c>
      <c r="AN795" s="5" t="str">
        <f t="shared" si="25"/>
        <v/>
      </c>
      <c r="AO795" s="5">
        <v>0</v>
      </c>
      <c r="AP795" s="9"/>
      <c r="AQ795" s="5" t="s">
        <v>1210</v>
      </c>
      <c r="AR795" s="5" t="s">
        <v>1210</v>
      </c>
      <c r="AS795" s="8"/>
      <c r="AT795" s="8"/>
      <c r="AU795" s="8"/>
      <c r="AV795" s="8"/>
      <c r="AW795" s="8"/>
      <c r="AX795" s="8"/>
      <c r="AY795" s="8"/>
      <c r="AZ795" s="8"/>
    </row>
    <row r="796" spans="1:52">
      <c r="A796" s="5" t="s">
        <v>278</v>
      </c>
      <c r="B796" s="5">
        <v>2074</v>
      </c>
      <c r="C796" s="19">
        <v>949</v>
      </c>
      <c r="E796" s="14"/>
      <c r="F796" s="11"/>
      <c r="G796" s="11"/>
      <c r="H796" s="11"/>
      <c r="I796" s="11"/>
      <c r="J796" s="25"/>
      <c r="K796" s="11"/>
      <c r="L796" s="11"/>
      <c r="M796" s="19">
        <v>0</v>
      </c>
      <c r="O796" s="6"/>
      <c r="P796" s="16">
        <v>688</v>
      </c>
      <c r="Q796" s="16">
        <v>0</v>
      </c>
      <c r="R796" s="22"/>
      <c r="S796" s="22">
        <f t="shared" si="24"/>
        <v>0</v>
      </c>
      <c r="T796" s="5" t="s">
        <v>1210</v>
      </c>
      <c r="U796" s="5" t="s">
        <v>1210</v>
      </c>
      <c r="Y796" s="8"/>
      <c r="Z796" s="8"/>
      <c r="AA796" s="8"/>
      <c r="AB796" s="8"/>
      <c r="AC796" s="8"/>
      <c r="AD796" s="8"/>
      <c r="AE796" s="25"/>
      <c r="AF796" s="11"/>
      <c r="AG796" s="25"/>
      <c r="AH796" s="11"/>
      <c r="AI796" s="11">
        <v>63</v>
      </c>
      <c r="AJ796" s="19">
        <v>16</v>
      </c>
      <c r="AK796" s="12">
        <f>(AJ796+AI796)/30*7</f>
        <v>18.433333333333334</v>
      </c>
      <c r="AL796" s="6">
        <f>IF(AK796-C796&lt;0,0,AK796-C796)</f>
        <v>0</v>
      </c>
      <c r="AM796" s="6">
        <f>IF(AL796-R796-S796&lt;0,0,AL796-R796-S796)</f>
        <v>0</v>
      </c>
      <c r="AN796" s="5" t="str">
        <f t="shared" si="25"/>
        <v/>
      </c>
      <c r="AO796" s="5">
        <v>0</v>
      </c>
      <c r="AP796" s="9"/>
      <c r="AQ796" s="5" t="s">
        <v>1210</v>
      </c>
      <c r="AR796" s="5" t="s">
        <v>1210</v>
      </c>
      <c r="AS796" s="8"/>
      <c r="AT796" s="8"/>
      <c r="AU796" s="8"/>
      <c r="AV796" s="8"/>
      <c r="AW796" s="8"/>
      <c r="AX796" s="8"/>
      <c r="AY796" s="8"/>
      <c r="AZ796" s="8"/>
    </row>
    <row r="797" spans="1:52">
      <c r="A797" s="5" t="s">
        <v>328</v>
      </c>
      <c r="B797" s="5">
        <v>1009</v>
      </c>
      <c r="C797" s="19">
        <v>287</v>
      </c>
      <c r="E797" s="14"/>
      <c r="F797" s="11"/>
      <c r="G797" s="11"/>
      <c r="H797" s="11"/>
      <c r="I797" s="11"/>
      <c r="J797" s="25"/>
      <c r="K797" s="11"/>
      <c r="L797" s="11"/>
      <c r="M797" s="19">
        <v>0</v>
      </c>
      <c r="O797" s="6"/>
      <c r="P797" s="16">
        <v>619</v>
      </c>
      <c r="Q797" s="16">
        <v>672</v>
      </c>
      <c r="R797" s="22"/>
      <c r="S797" s="22">
        <f t="shared" si="24"/>
        <v>0</v>
      </c>
      <c r="T797" s="5" t="s">
        <v>1210</v>
      </c>
      <c r="U797" s="5" t="s">
        <v>1210</v>
      </c>
      <c r="Y797" s="8"/>
      <c r="Z797" s="8"/>
      <c r="AA797" s="8"/>
      <c r="AB797" s="8"/>
      <c r="AC797" s="8"/>
      <c r="AD797" s="8"/>
      <c r="AE797" s="25"/>
      <c r="AF797" s="11"/>
      <c r="AG797" s="25"/>
      <c r="AH797" s="11"/>
      <c r="AI797" s="11">
        <v>13</v>
      </c>
      <c r="AJ797" s="19">
        <v>42</v>
      </c>
      <c r="AK797" s="12">
        <f>(AJ797+AI797)/30*7</f>
        <v>12.833333333333332</v>
      </c>
      <c r="AL797" s="6">
        <f>IF(AK797-C797&lt;0,0,AK797-C797)</f>
        <v>0</v>
      </c>
      <c r="AM797" s="6">
        <f>IF(AL797-R797-S797&lt;0,0,AL797-R797-S797)</f>
        <v>0</v>
      </c>
      <c r="AN797" s="5" t="str">
        <f t="shared" si="25"/>
        <v/>
      </c>
      <c r="AO797" s="5">
        <v>0</v>
      </c>
      <c r="AP797" s="9"/>
      <c r="AQ797" s="5" t="s">
        <v>1210</v>
      </c>
      <c r="AR797" s="5" t="s">
        <v>1230</v>
      </c>
      <c r="AS797" s="8"/>
      <c r="AT797" s="8"/>
      <c r="AU797" s="8"/>
      <c r="AV797" s="8"/>
      <c r="AW797" s="8"/>
      <c r="AX797" s="8"/>
      <c r="AY797" s="8"/>
      <c r="AZ797" s="8"/>
    </row>
    <row r="798" spans="1:52">
      <c r="A798" s="5" t="s">
        <v>298</v>
      </c>
      <c r="B798" s="5">
        <v>1914</v>
      </c>
      <c r="C798" s="19">
        <v>817</v>
      </c>
      <c r="E798" s="14"/>
      <c r="F798" s="11"/>
      <c r="G798" s="11"/>
      <c r="H798" s="11"/>
      <c r="I798" s="11"/>
      <c r="J798" s="25"/>
      <c r="K798" s="11"/>
      <c r="L798" s="11"/>
      <c r="M798" s="19">
        <v>0</v>
      </c>
      <c r="O798" s="6"/>
      <c r="P798" s="16">
        <v>470</v>
      </c>
      <c r="Q798" s="16">
        <v>0</v>
      </c>
      <c r="R798" s="22"/>
      <c r="S798" s="22">
        <f t="shared" si="24"/>
        <v>0</v>
      </c>
      <c r="T798" s="5" t="s">
        <v>1210</v>
      </c>
      <c r="U798" s="5" t="s">
        <v>1210</v>
      </c>
      <c r="Y798" s="8"/>
      <c r="Z798" s="8"/>
      <c r="AA798" s="8"/>
      <c r="AB798" s="8"/>
      <c r="AC798" s="8"/>
      <c r="AD798" s="8"/>
      <c r="AE798" s="25"/>
      <c r="AF798" s="11"/>
      <c r="AG798" s="25"/>
      <c r="AH798" s="11"/>
      <c r="AI798" s="11">
        <v>46</v>
      </c>
      <c r="AJ798" s="19">
        <v>44</v>
      </c>
      <c r="AK798" s="12">
        <f>(AJ798+AI798)/30*7</f>
        <v>21</v>
      </c>
      <c r="AL798" s="6">
        <f>IF(AK798-C798&lt;0,0,AK798-C798)</f>
        <v>0</v>
      </c>
      <c r="AM798" s="6">
        <f>IF(AL798-R798-S798&lt;0,0,AL798-R798-S798)</f>
        <v>0</v>
      </c>
      <c r="AN798" s="5" t="str">
        <f t="shared" si="25"/>
        <v/>
      </c>
      <c r="AO798" s="5">
        <v>0</v>
      </c>
      <c r="AP798" s="9"/>
      <c r="AQ798" s="5" t="s">
        <v>1210</v>
      </c>
      <c r="AR798" s="5" t="s">
        <v>1210</v>
      </c>
      <c r="AS798" s="8"/>
      <c r="AT798" s="8"/>
      <c r="AU798" s="8"/>
      <c r="AV798" s="8"/>
      <c r="AW798" s="8"/>
      <c r="AX798" s="8"/>
      <c r="AY798" s="8"/>
      <c r="AZ798" s="8"/>
    </row>
    <row r="799" spans="1:52">
      <c r="A799" s="5" t="s">
        <v>339</v>
      </c>
      <c r="B799" s="5">
        <v>2036</v>
      </c>
      <c r="C799" s="19">
        <v>835</v>
      </c>
      <c r="E799" s="14"/>
      <c r="F799" s="11"/>
      <c r="G799" s="11"/>
      <c r="H799" s="11"/>
      <c r="I799" s="11"/>
      <c r="J799" s="25"/>
      <c r="K799" s="11"/>
      <c r="L799" s="11"/>
      <c r="M799" s="19">
        <v>7</v>
      </c>
      <c r="O799" s="6"/>
      <c r="P799" s="16">
        <v>202</v>
      </c>
      <c r="Q799" s="16">
        <v>0</v>
      </c>
      <c r="R799" s="22"/>
      <c r="S799" s="22">
        <f t="shared" si="24"/>
        <v>0</v>
      </c>
      <c r="T799" s="5" t="s">
        <v>1210</v>
      </c>
      <c r="U799" s="5" t="s">
        <v>1210</v>
      </c>
      <c r="Y799" s="8"/>
      <c r="Z799" s="8"/>
      <c r="AA799" s="8"/>
      <c r="AB799" s="8"/>
      <c r="AC799" s="8"/>
      <c r="AD799" s="8"/>
      <c r="AE799" s="25"/>
      <c r="AF799" s="11"/>
      <c r="AG799" s="25"/>
      <c r="AH799" s="11"/>
      <c r="AI799" s="11">
        <v>20</v>
      </c>
      <c r="AJ799" s="19">
        <v>23</v>
      </c>
      <c r="AK799" s="12">
        <f>(AJ799+AI799)/30*7</f>
        <v>10.033333333333333</v>
      </c>
      <c r="AL799" s="6">
        <f>IF(AK799-C799&lt;0,0,AK799-C799)</f>
        <v>0</v>
      </c>
      <c r="AM799" s="6">
        <f>IF(AL799-R799-S799&lt;0,0,AL799-R799-S799)</f>
        <v>0</v>
      </c>
      <c r="AN799" s="5" t="str">
        <f t="shared" si="25"/>
        <v/>
      </c>
      <c r="AO799" s="5">
        <v>0</v>
      </c>
      <c r="AP799" s="9"/>
      <c r="AQ799" s="5" t="s">
        <v>1229</v>
      </c>
      <c r="AR799" s="5" t="s">
        <v>1210</v>
      </c>
      <c r="AS799" s="8"/>
      <c r="AT799" s="8"/>
      <c r="AU799" s="8"/>
      <c r="AV799" s="8"/>
      <c r="AW799" s="8"/>
      <c r="AX799" s="8"/>
      <c r="AY799" s="8"/>
      <c r="AZ799" s="8"/>
    </row>
    <row r="800" spans="1:52">
      <c r="A800" s="5" t="s">
        <v>956</v>
      </c>
      <c r="B800" s="5">
        <v>758</v>
      </c>
      <c r="C800" s="19">
        <v>213</v>
      </c>
      <c r="E800" s="14"/>
      <c r="F800" s="11"/>
      <c r="G800" s="11"/>
      <c r="H800" s="11"/>
      <c r="I800" s="11"/>
      <c r="J800" s="25"/>
      <c r="K800" s="11"/>
      <c r="L800" s="11"/>
      <c r="M800" s="19">
        <v>0</v>
      </c>
      <c r="O800" s="6"/>
      <c r="P800" s="16">
        <v>311</v>
      </c>
      <c r="Q800" s="16">
        <v>0</v>
      </c>
      <c r="R800" s="22"/>
      <c r="S800" s="22">
        <f t="shared" si="24"/>
        <v>0</v>
      </c>
      <c r="T800" s="5">
        <v>702</v>
      </c>
      <c r="U800" s="5">
        <v>329</v>
      </c>
      <c r="Y800" s="8"/>
      <c r="Z800" s="8"/>
      <c r="AA800" s="8"/>
      <c r="AB800" s="8"/>
      <c r="AC800" s="8"/>
      <c r="AD800" s="8"/>
      <c r="AE800" s="25"/>
      <c r="AF800" s="11"/>
      <c r="AG800" s="25"/>
      <c r="AH800" s="11"/>
      <c r="AI800" s="11">
        <v>11</v>
      </c>
      <c r="AJ800" s="19">
        <v>1</v>
      </c>
      <c r="AK800" s="12">
        <f>(AJ800+AI800)/30*7</f>
        <v>2.8000000000000003</v>
      </c>
      <c r="AL800" s="6">
        <f>IF(AK800-C800&lt;0,0,AK800-C800)</f>
        <v>0</v>
      </c>
      <c r="AM800" s="6">
        <f>IF(AL800-R800-S800&lt;0,0,AL800-R800-S800)</f>
        <v>0</v>
      </c>
      <c r="AN800" s="5" t="str">
        <f t="shared" si="25"/>
        <v/>
      </c>
      <c r="AO800" s="5">
        <v>0</v>
      </c>
      <c r="AP800" s="9"/>
      <c r="AQ800" s="5" t="s">
        <v>1210</v>
      </c>
      <c r="AR800" s="5" t="s">
        <v>1230</v>
      </c>
      <c r="AS800" s="8"/>
      <c r="AT800" s="8"/>
      <c r="AU800" s="8"/>
      <c r="AV800" s="8"/>
      <c r="AW800" s="8"/>
      <c r="AX800" s="8"/>
      <c r="AY800" s="8"/>
      <c r="AZ800" s="8"/>
    </row>
    <row r="801" spans="1:52">
      <c r="A801" s="5" t="s">
        <v>362</v>
      </c>
      <c r="B801" s="5">
        <v>2037</v>
      </c>
      <c r="C801" s="19">
        <v>389</v>
      </c>
      <c r="E801" s="14"/>
      <c r="F801" s="11"/>
      <c r="G801" s="11"/>
      <c r="H801" s="11"/>
      <c r="I801" s="11"/>
      <c r="J801" s="25"/>
      <c r="K801" s="11"/>
      <c r="L801" s="11"/>
      <c r="M801" s="19">
        <v>7</v>
      </c>
      <c r="O801" s="6"/>
      <c r="P801" s="16">
        <v>683</v>
      </c>
      <c r="Q801" s="16">
        <v>0</v>
      </c>
      <c r="R801" s="22"/>
      <c r="S801" s="22">
        <f t="shared" si="24"/>
        <v>0</v>
      </c>
      <c r="T801" s="5" t="s">
        <v>1210</v>
      </c>
      <c r="U801" s="5" t="s">
        <v>1210</v>
      </c>
      <c r="Y801" s="8"/>
      <c r="Z801" s="8"/>
      <c r="AA801" s="8"/>
      <c r="AB801" s="8"/>
      <c r="AC801" s="8"/>
      <c r="AD801" s="8"/>
      <c r="AE801" s="25"/>
      <c r="AF801" s="11"/>
      <c r="AG801" s="25"/>
      <c r="AH801" s="11"/>
      <c r="AI801" s="11">
        <v>16</v>
      </c>
      <c r="AJ801" s="19">
        <v>42</v>
      </c>
      <c r="AK801" s="12">
        <f>(AJ801+AI801)/30*7</f>
        <v>13.533333333333333</v>
      </c>
      <c r="AL801" s="6">
        <f>IF(AK801-C801&lt;0,0,AK801-C801)</f>
        <v>0</v>
      </c>
      <c r="AM801" s="6">
        <f>IF(AL801-R801-S801&lt;0,0,AL801-R801-S801)</f>
        <v>0</v>
      </c>
      <c r="AN801" s="5" t="str">
        <f t="shared" si="25"/>
        <v/>
      </c>
      <c r="AO801" s="5">
        <v>0</v>
      </c>
      <c r="AP801" s="9"/>
      <c r="AQ801" s="5" t="s">
        <v>1210</v>
      </c>
      <c r="AR801" s="5" t="s">
        <v>1210</v>
      </c>
      <c r="AS801" s="8"/>
      <c r="AT801" s="8"/>
      <c r="AU801" s="8"/>
      <c r="AV801" s="8"/>
      <c r="AW801" s="8"/>
      <c r="AX801" s="8"/>
      <c r="AY801" s="8"/>
      <c r="AZ801" s="8"/>
    </row>
    <row r="802" spans="1:52">
      <c r="A802" s="5" t="s">
        <v>417</v>
      </c>
      <c r="B802" s="5">
        <v>1793</v>
      </c>
      <c r="C802" s="19">
        <v>598</v>
      </c>
      <c r="E802" s="14"/>
      <c r="F802" s="11"/>
      <c r="G802" s="11"/>
      <c r="H802" s="11"/>
      <c r="I802" s="11"/>
      <c r="J802" s="25"/>
      <c r="K802" s="11"/>
      <c r="L802" s="11"/>
      <c r="M802" s="19">
        <v>10</v>
      </c>
      <c r="O802" s="6"/>
      <c r="P802" s="16">
        <v>720</v>
      </c>
      <c r="Q802" s="16">
        <v>204</v>
      </c>
      <c r="R802" s="22"/>
      <c r="S802" s="22">
        <f t="shared" si="24"/>
        <v>0</v>
      </c>
      <c r="T802" s="5" t="s">
        <v>1210</v>
      </c>
      <c r="U802" s="5" t="s">
        <v>1210</v>
      </c>
      <c r="Y802" s="8"/>
      <c r="Z802" s="8"/>
      <c r="AA802" s="8"/>
      <c r="AB802" s="8"/>
      <c r="AC802" s="8"/>
      <c r="AD802" s="8"/>
      <c r="AE802" s="25"/>
      <c r="AF802" s="11"/>
      <c r="AG802" s="25"/>
      <c r="AH802" s="11"/>
      <c r="AI802" s="11">
        <v>56</v>
      </c>
      <c r="AJ802" s="19">
        <v>12</v>
      </c>
      <c r="AK802" s="12">
        <f>(AJ802+AI802)/30*7</f>
        <v>15.866666666666667</v>
      </c>
      <c r="AL802" s="6">
        <f>IF(AK802-C802&lt;0,0,AK802-C802)</f>
        <v>0</v>
      </c>
      <c r="AM802" s="6">
        <f>IF(AL802-R802-S802&lt;0,0,AL802-R802-S802)</f>
        <v>0</v>
      </c>
      <c r="AN802" s="5" t="str">
        <f t="shared" si="25"/>
        <v/>
      </c>
      <c r="AO802" s="5">
        <v>0</v>
      </c>
      <c r="AP802" s="9"/>
      <c r="AQ802" s="5" t="s">
        <v>1210</v>
      </c>
      <c r="AR802" s="5" t="s">
        <v>1210</v>
      </c>
      <c r="AS802" s="8"/>
      <c r="AT802" s="8"/>
      <c r="AU802" s="8"/>
      <c r="AV802" s="8"/>
      <c r="AW802" s="8"/>
      <c r="AX802" s="8"/>
      <c r="AY802" s="8"/>
      <c r="AZ802" s="8"/>
    </row>
    <row r="803" spans="1:52">
      <c r="A803" s="5" t="s">
        <v>422</v>
      </c>
      <c r="B803" s="5">
        <v>867</v>
      </c>
      <c r="C803" s="19">
        <v>537</v>
      </c>
      <c r="E803" s="14"/>
      <c r="F803" s="11"/>
      <c r="G803" s="11"/>
      <c r="H803" s="11"/>
      <c r="I803" s="11"/>
      <c r="J803" s="25"/>
      <c r="K803" s="11"/>
      <c r="L803" s="11"/>
      <c r="M803" s="19">
        <v>0</v>
      </c>
      <c r="O803" s="6"/>
      <c r="P803" s="16">
        <v>274</v>
      </c>
      <c r="Q803" s="16">
        <v>545</v>
      </c>
      <c r="R803" s="22"/>
      <c r="S803" s="22">
        <f t="shared" si="24"/>
        <v>0</v>
      </c>
      <c r="U803" s="5" t="s">
        <v>1210</v>
      </c>
      <c r="Y803" s="8"/>
      <c r="Z803" s="8"/>
      <c r="AA803" s="8"/>
      <c r="AB803" s="8"/>
      <c r="AC803" s="8"/>
      <c r="AD803" s="8"/>
      <c r="AE803" s="25"/>
      <c r="AF803" s="11"/>
      <c r="AG803" s="25"/>
      <c r="AH803" s="11"/>
      <c r="AI803" s="11">
        <v>56</v>
      </c>
      <c r="AJ803" s="19">
        <v>4</v>
      </c>
      <c r="AK803" s="12">
        <f>(AJ803+AI803)/30*7</f>
        <v>14</v>
      </c>
      <c r="AL803" s="6">
        <f>IF(AK803-C803&lt;0,0,AK803-C803)</f>
        <v>0</v>
      </c>
      <c r="AM803" s="6">
        <f>IF(AL803-R803-S803&lt;0,0,AL803-R803-S803)</f>
        <v>0</v>
      </c>
      <c r="AN803" s="5" t="str">
        <f t="shared" si="25"/>
        <v/>
      </c>
      <c r="AO803" s="5">
        <v>0</v>
      </c>
      <c r="AP803" s="9"/>
      <c r="AQ803" s="5" t="s">
        <v>1210</v>
      </c>
      <c r="AR803" s="5" t="s">
        <v>1210</v>
      </c>
      <c r="AS803" s="8"/>
      <c r="AT803" s="8"/>
      <c r="AU803" s="8"/>
      <c r="AV803" s="8"/>
      <c r="AW803" s="8"/>
      <c r="AX803" s="8"/>
      <c r="AY803" s="8"/>
      <c r="AZ803" s="8"/>
    </row>
    <row r="804" spans="1:52">
      <c r="A804" s="5" t="s">
        <v>245</v>
      </c>
      <c r="B804" s="5">
        <v>1736</v>
      </c>
      <c r="C804" s="19">
        <v>553</v>
      </c>
      <c r="E804" s="14"/>
      <c r="F804" s="11"/>
      <c r="G804" s="11"/>
      <c r="H804" s="11"/>
      <c r="I804" s="11"/>
      <c r="J804" s="25"/>
      <c r="K804" s="11"/>
      <c r="L804" s="11"/>
      <c r="M804" s="19">
        <v>6</v>
      </c>
      <c r="O804" s="6"/>
      <c r="P804" s="16">
        <v>454</v>
      </c>
      <c r="Q804" s="16">
        <v>940</v>
      </c>
      <c r="R804" s="22"/>
      <c r="S804" s="22">
        <f t="shared" si="24"/>
        <v>0</v>
      </c>
      <c r="T804" s="5" t="s">
        <v>1210</v>
      </c>
      <c r="U804" s="5" t="s">
        <v>1210</v>
      </c>
      <c r="Y804" s="8"/>
      <c r="Z804" s="8"/>
      <c r="AA804" s="8"/>
      <c r="AB804" s="8"/>
      <c r="AC804" s="8"/>
      <c r="AD804" s="8"/>
      <c r="AE804" s="25"/>
      <c r="AF804" s="11"/>
      <c r="AG804" s="25"/>
      <c r="AH804" s="11"/>
      <c r="AI804" s="11">
        <v>9</v>
      </c>
      <c r="AJ804" s="19">
        <v>39</v>
      </c>
      <c r="AK804" s="12">
        <f>(AJ804+AI804)/30*7</f>
        <v>11.200000000000001</v>
      </c>
      <c r="AL804" s="6">
        <f>IF(AK804-C804&lt;0,0,AK804-C804)</f>
        <v>0</v>
      </c>
      <c r="AM804" s="6">
        <f>IF(AL804-R804-S804&lt;0,0,AL804-R804-S804)</f>
        <v>0</v>
      </c>
      <c r="AN804" s="5" t="str">
        <f t="shared" si="25"/>
        <v/>
      </c>
      <c r="AO804" s="5">
        <v>0</v>
      </c>
      <c r="AP804" s="9"/>
      <c r="AQ804" s="5" t="s">
        <v>1210</v>
      </c>
      <c r="AR804" s="5" t="s">
        <v>1210</v>
      </c>
      <c r="AS804" s="8"/>
      <c r="AT804" s="8"/>
      <c r="AU804" s="8"/>
      <c r="AV804" s="8"/>
      <c r="AW804" s="8"/>
      <c r="AX804" s="8"/>
      <c r="AY804" s="8"/>
      <c r="AZ804" s="8"/>
    </row>
    <row r="805" spans="1:52">
      <c r="A805" s="5" t="s">
        <v>226</v>
      </c>
      <c r="B805" s="5">
        <v>1761</v>
      </c>
      <c r="C805" s="19">
        <v>624</v>
      </c>
      <c r="E805" s="14"/>
      <c r="F805" s="11"/>
      <c r="G805" s="11"/>
      <c r="H805" s="11"/>
      <c r="I805" s="11"/>
      <c r="J805" s="25"/>
      <c r="K805" s="11"/>
      <c r="L805" s="11"/>
      <c r="M805" s="19">
        <v>0</v>
      </c>
      <c r="O805" s="6"/>
      <c r="P805" s="16">
        <v>471</v>
      </c>
      <c r="Q805" s="16">
        <v>0</v>
      </c>
      <c r="R805" s="22"/>
      <c r="S805" s="22">
        <f t="shared" si="24"/>
        <v>0</v>
      </c>
      <c r="U805" s="5" t="s">
        <v>1210</v>
      </c>
      <c r="Y805" s="8"/>
      <c r="Z805" s="8"/>
      <c r="AA805" s="8"/>
      <c r="AB805" s="8"/>
      <c r="AC805" s="8"/>
      <c r="AD805" s="8"/>
      <c r="AE805" s="25"/>
      <c r="AF805" s="11"/>
      <c r="AG805" s="25"/>
      <c r="AH805" s="11"/>
      <c r="AI805" s="11">
        <v>9</v>
      </c>
      <c r="AJ805" s="19">
        <v>74</v>
      </c>
      <c r="AK805" s="12">
        <f>(AJ805+AI805)/30*7</f>
        <v>19.366666666666667</v>
      </c>
      <c r="AL805" s="6">
        <f>IF(AK805-C805&lt;0,0,AK805-C805)</f>
        <v>0</v>
      </c>
      <c r="AM805" s="6">
        <f>IF(AL805-R805-S805&lt;0,0,AL805-R805-S805)</f>
        <v>0</v>
      </c>
      <c r="AN805" s="5" t="str">
        <f t="shared" si="25"/>
        <v/>
      </c>
      <c r="AO805" s="5">
        <v>0</v>
      </c>
      <c r="AP805" s="9"/>
      <c r="AQ805" s="5" t="s">
        <v>1210</v>
      </c>
      <c r="AR805" s="5" t="s">
        <v>1210</v>
      </c>
      <c r="AS805" s="8"/>
      <c r="AT805" s="8"/>
      <c r="AU805" s="8"/>
      <c r="AV805" s="8"/>
      <c r="AW805" s="8"/>
      <c r="AX805" s="8"/>
      <c r="AY805" s="8"/>
      <c r="AZ805" s="8"/>
    </row>
    <row r="806" spans="1:52">
      <c r="A806" s="5" t="s">
        <v>326</v>
      </c>
      <c r="B806" s="5">
        <v>1465</v>
      </c>
      <c r="C806" s="19">
        <v>848</v>
      </c>
      <c r="E806" s="14"/>
      <c r="F806" s="11"/>
      <c r="G806" s="11"/>
      <c r="H806" s="11"/>
      <c r="I806" s="11"/>
      <c r="J806" s="25"/>
      <c r="K806" s="11"/>
      <c r="L806" s="11"/>
      <c r="M806" s="19">
        <v>0</v>
      </c>
      <c r="O806" s="6"/>
      <c r="P806" s="16">
        <v>398</v>
      </c>
      <c r="Q806" s="16">
        <v>625</v>
      </c>
      <c r="R806" s="22"/>
      <c r="S806" s="22">
        <f t="shared" si="24"/>
        <v>0</v>
      </c>
      <c r="T806" s="5" t="s">
        <v>1210</v>
      </c>
      <c r="U806" s="5" t="s">
        <v>1210</v>
      </c>
      <c r="Y806" s="8"/>
      <c r="Z806" s="8"/>
      <c r="AA806" s="8"/>
      <c r="AB806" s="8"/>
      <c r="AC806" s="8"/>
      <c r="AD806" s="8"/>
      <c r="AE806" s="25"/>
      <c r="AF806" s="11"/>
      <c r="AG806" s="25"/>
      <c r="AH806" s="11"/>
      <c r="AI806" s="11">
        <v>42</v>
      </c>
      <c r="AJ806" s="19">
        <v>14</v>
      </c>
      <c r="AK806" s="12">
        <f>(AJ806+AI806)/30*7</f>
        <v>13.066666666666666</v>
      </c>
      <c r="AL806" s="6">
        <f>IF(AK806-C806&lt;0,0,AK806-C806)</f>
        <v>0</v>
      </c>
      <c r="AM806" s="6">
        <f>IF(AL806-R806-S806&lt;0,0,AL806-R806-S806)</f>
        <v>0</v>
      </c>
      <c r="AN806" s="5" t="str">
        <f t="shared" si="25"/>
        <v/>
      </c>
      <c r="AO806" s="5">
        <v>0</v>
      </c>
      <c r="AP806" s="9"/>
      <c r="AQ806" s="5" t="s">
        <v>1210</v>
      </c>
      <c r="AR806" s="5" t="s">
        <v>1210</v>
      </c>
      <c r="AS806" s="8"/>
      <c r="AT806" s="8"/>
      <c r="AU806" s="8"/>
      <c r="AV806" s="8"/>
      <c r="AW806" s="8"/>
      <c r="AX806" s="8"/>
      <c r="AY806" s="8"/>
      <c r="AZ806" s="8"/>
    </row>
    <row r="807" spans="1:52">
      <c r="A807" s="5" t="s">
        <v>239</v>
      </c>
      <c r="B807" s="5">
        <v>1334</v>
      </c>
      <c r="C807" s="19">
        <v>762</v>
      </c>
      <c r="E807" s="14"/>
      <c r="F807" s="11"/>
      <c r="G807" s="11"/>
      <c r="H807" s="11"/>
      <c r="I807" s="11"/>
      <c r="J807" s="25"/>
      <c r="K807" s="11"/>
      <c r="L807" s="11"/>
      <c r="M807" s="19">
        <v>0</v>
      </c>
      <c r="O807" s="6"/>
      <c r="P807" s="16">
        <v>977</v>
      </c>
      <c r="Q807" s="16">
        <v>901</v>
      </c>
      <c r="R807" s="22"/>
      <c r="S807" s="22">
        <f t="shared" si="24"/>
        <v>0</v>
      </c>
      <c r="T807" s="5" t="s">
        <v>1210</v>
      </c>
      <c r="U807" s="5" t="s">
        <v>1210</v>
      </c>
      <c r="Y807" s="8"/>
      <c r="Z807" s="8"/>
      <c r="AA807" s="8"/>
      <c r="AB807" s="8"/>
      <c r="AC807" s="8"/>
      <c r="AD807" s="8"/>
      <c r="AE807" s="25"/>
      <c r="AF807" s="11"/>
      <c r="AG807" s="25"/>
      <c r="AH807" s="11"/>
      <c r="AI807" s="11">
        <v>29</v>
      </c>
      <c r="AJ807" s="19">
        <v>0</v>
      </c>
      <c r="AK807" s="12">
        <f>(AJ807+AI807)/30*7</f>
        <v>6.7666666666666666</v>
      </c>
      <c r="AL807" s="6">
        <f>IF(AK807-C807&lt;0,0,AK807-C807)</f>
        <v>0</v>
      </c>
      <c r="AM807" s="6">
        <f>IF(AL807-R807-S807&lt;0,0,AL807-R807-S807)</f>
        <v>0</v>
      </c>
      <c r="AN807" s="5" t="str">
        <f t="shared" si="25"/>
        <v/>
      </c>
      <c r="AO807" s="5">
        <v>0</v>
      </c>
      <c r="AP807" s="9"/>
      <c r="AQ807" s="5" t="s">
        <v>1210</v>
      </c>
      <c r="AR807" s="5" t="s">
        <v>1210</v>
      </c>
      <c r="AS807" s="8"/>
      <c r="AT807" s="8"/>
      <c r="AU807" s="8"/>
      <c r="AV807" s="8"/>
      <c r="AW807" s="8"/>
      <c r="AX807" s="8"/>
      <c r="AY807" s="8"/>
      <c r="AZ807" s="8"/>
    </row>
    <row r="808" spans="1:52">
      <c r="A808" s="5" t="s">
        <v>502</v>
      </c>
      <c r="B808" s="5" t="s">
        <v>1150</v>
      </c>
      <c r="C808" s="19">
        <v>862</v>
      </c>
      <c r="E808" s="14"/>
      <c r="F808" s="11"/>
      <c r="G808" s="11"/>
      <c r="H808" s="11"/>
      <c r="I808" s="11"/>
      <c r="J808" s="25"/>
      <c r="K808" s="11"/>
      <c r="L808" s="11"/>
      <c r="M808" s="19">
        <v>0</v>
      </c>
      <c r="O808" s="6"/>
      <c r="P808" s="16">
        <v>0</v>
      </c>
      <c r="Q808" s="16">
        <v>0</v>
      </c>
      <c r="R808" s="22"/>
      <c r="S808" s="22">
        <f t="shared" si="24"/>
        <v>0</v>
      </c>
      <c r="T808" s="5">
        <v>687</v>
      </c>
      <c r="U808" s="5">
        <v>828</v>
      </c>
      <c r="Y808" s="8"/>
      <c r="Z808" s="8"/>
      <c r="AA808" s="8"/>
      <c r="AB808" s="8"/>
      <c r="AC808" s="8"/>
      <c r="AD808" s="8"/>
      <c r="AE808" s="25"/>
      <c r="AF808" s="11"/>
      <c r="AG808" s="25"/>
      <c r="AH808" s="11"/>
      <c r="AI808" s="11">
        <v>11</v>
      </c>
      <c r="AJ808" s="19">
        <v>9</v>
      </c>
      <c r="AK808" s="12">
        <f>(AJ808+AI808)/30*7</f>
        <v>4.6666666666666661</v>
      </c>
      <c r="AL808" s="6">
        <f>IF(AK808-C808&lt;0,0,AK808-C808)</f>
        <v>0</v>
      </c>
      <c r="AM808" s="6">
        <f>IF(AL808-R808-S808&lt;0,0,AL808-R808-S808)</f>
        <v>0</v>
      </c>
      <c r="AN808" s="5" t="str">
        <f t="shared" si="25"/>
        <v/>
      </c>
      <c r="AO808" s="5">
        <v>0</v>
      </c>
      <c r="AP808" s="9"/>
      <c r="AQ808" s="5" t="s">
        <v>1210</v>
      </c>
      <c r="AR808" s="5" t="s">
        <v>1210</v>
      </c>
      <c r="AS808" s="8"/>
      <c r="AT808" s="8"/>
      <c r="AU808" s="8"/>
      <c r="AV808" s="8"/>
      <c r="AW808" s="8"/>
      <c r="AX808" s="8"/>
      <c r="AY808" s="8"/>
      <c r="AZ808" s="8"/>
    </row>
    <row r="809" spans="1:52">
      <c r="A809" s="5" t="s">
        <v>413</v>
      </c>
      <c r="B809" s="5">
        <v>1453</v>
      </c>
      <c r="C809" s="19">
        <v>326</v>
      </c>
      <c r="E809" s="14"/>
      <c r="F809" s="11"/>
      <c r="G809" s="11"/>
      <c r="H809" s="11"/>
      <c r="I809" s="11"/>
      <c r="J809" s="25"/>
      <c r="K809" s="11"/>
      <c r="L809" s="11"/>
      <c r="M809" s="19">
        <v>0</v>
      </c>
      <c r="O809" s="6"/>
      <c r="P809" s="16">
        <v>277</v>
      </c>
      <c r="Q809" s="16">
        <v>0</v>
      </c>
      <c r="R809" s="22"/>
      <c r="S809" s="22">
        <f t="shared" si="24"/>
        <v>0</v>
      </c>
      <c r="T809" s="5" t="s">
        <v>1210</v>
      </c>
      <c r="U809" s="5" t="s">
        <v>1210</v>
      </c>
      <c r="Y809" s="8"/>
      <c r="Z809" s="8"/>
      <c r="AA809" s="8"/>
      <c r="AB809" s="8"/>
      <c r="AC809" s="8"/>
      <c r="AD809" s="8"/>
      <c r="AE809" s="25"/>
      <c r="AF809" s="11"/>
      <c r="AG809" s="25"/>
      <c r="AH809" s="11"/>
      <c r="AI809" s="11">
        <v>66</v>
      </c>
      <c r="AJ809" s="19">
        <v>18</v>
      </c>
      <c r="AK809" s="12">
        <f>(AJ809+AI809)/30*7</f>
        <v>19.599999999999998</v>
      </c>
      <c r="AL809" s="6">
        <f>IF(AK809-C809&lt;0,0,AK809-C809)</f>
        <v>0</v>
      </c>
      <c r="AM809" s="6">
        <f>IF(AL809-R809-S809&lt;0,0,AL809-R809-S809)</f>
        <v>0</v>
      </c>
      <c r="AN809" s="5" t="str">
        <f t="shared" si="25"/>
        <v/>
      </c>
      <c r="AO809" s="5">
        <v>0</v>
      </c>
      <c r="AP809" s="9"/>
      <c r="AQ809" s="5" t="s">
        <v>1210</v>
      </c>
      <c r="AR809" s="5" t="s">
        <v>1210</v>
      </c>
      <c r="AS809" s="8"/>
      <c r="AT809" s="8"/>
      <c r="AU809" s="8"/>
      <c r="AV809" s="8"/>
      <c r="AW809" s="8"/>
      <c r="AX809" s="8"/>
      <c r="AY809" s="8"/>
      <c r="AZ809" s="8"/>
    </row>
    <row r="810" spans="1:52">
      <c r="A810" s="5" t="s">
        <v>279</v>
      </c>
      <c r="B810" s="5">
        <v>858</v>
      </c>
      <c r="C810" s="19">
        <v>711</v>
      </c>
      <c r="E810" s="14"/>
      <c r="F810" s="11"/>
      <c r="G810" s="11"/>
      <c r="H810" s="11"/>
      <c r="I810" s="11"/>
      <c r="J810" s="25"/>
      <c r="K810" s="11"/>
      <c r="L810" s="11"/>
      <c r="M810" s="19">
        <v>0</v>
      </c>
      <c r="O810" s="6"/>
      <c r="P810" s="16">
        <v>700</v>
      </c>
      <c r="Q810" s="16">
        <v>230</v>
      </c>
      <c r="R810" s="22"/>
      <c r="S810" s="22">
        <f t="shared" si="24"/>
        <v>0</v>
      </c>
      <c r="T810" s="5" t="s">
        <v>1210</v>
      </c>
      <c r="U810" s="5" t="s">
        <v>1210</v>
      </c>
      <c r="Y810" s="8"/>
      <c r="Z810" s="8"/>
      <c r="AA810" s="8"/>
      <c r="AB810" s="8"/>
      <c r="AC810" s="8"/>
      <c r="AD810" s="8"/>
      <c r="AE810" s="25"/>
      <c r="AF810" s="11"/>
      <c r="AG810" s="25"/>
      <c r="AH810" s="11"/>
      <c r="AI810" s="11">
        <v>8</v>
      </c>
      <c r="AJ810" s="19">
        <v>57</v>
      </c>
      <c r="AK810" s="12">
        <f>(AJ810+AI810)/30*7</f>
        <v>15.166666666666666</v>
      </c>
      <c r="AL810" s="6">
        <f>IF(AK810-C810&lt;0,0,AK810-C810)</f>
        <v>0</v>
      </c>
      <c r="AM810" s="6">
        <f>IF(AL810-R810-S810&lt;0,0,AL810-R810-S810)</f>
        <v>0</v>
      </c>
      <c r="AN810" s="5" t="str">
        <f t="shared" si="25"/>
        <v/>
      </c>
      <c r="AO810" s="5">
        <v>0</v>
      </c>
      <c r="AP810" s="9"/>
      <c r="AQ810" s="5" t="s">
        <v>1210</v>
      </c>
      <c r="AR810" s="5" t="s">
        <v>1210</v>
      </c>
      <c r="AS810" s="8"/>
      <c r="AT810" s="8"/>
      <c r="AU810" s="8"/>
      <c r="AV810" s="8"/>
      <c r="AW810" s="8"/>
      <c r="AX810" s="8"/>
      <c r="AY810" s="8"/>
      <c r="AZ810" s="8"/>
    </row>
    <row r="811" spans="1:52">
      <c r="A811" s="5" t="s">
        <v>31</v>
      </c>
      <c r="B811" s="5">
        <v>1539</v>
      </c>
      <c r="C811" s="19">
        <v>612</v>
      </c>
      <c r="E811" s="14"/>
      <c r="F811" s="11"/>
      <c r="G811" s="11"/>
      <c r="H811" s="11"/>
      <c r="I811" s="11"/>
      <c r="J811" s="25"/>
      <c r="K811" s="11"/>
      <c r="L811" s="11"/>
      <c r="M811" s="19">
        <v>0</v>
      </c>
      <c r="O811" s="6"/>
      <c r="P811" s="16">
        <v>830</v>
      </c>
      <c r="Q811" s="16">
        <v>0</v>
      </c>
      <c r="R811" s="22"/>
      <c r="S811" s="22">
        <f t="shared" si="24"/>
        <v>0</v>
      </c>
      <c r="U811" s="5" t="s">
        <v>1210</v>
      </c>
      <c r="Y811" s="8"/>
      <c r="Z811" s="8"/>
      <c r="AA811" s="8"/>
      <c r="AB811" s="8"/>
      <c r="AC811" s="8"/>
      <c r="AD811" s="8"/>
      <c r="AE811" s="25"/>
      <c r="AF811" s="11"/>
      <c r="AG811" s="25"/>
      <c r="AH811" s="11"/>
      <c r="AI811" s="11">
        <v>39</v>
      </c>
      <c r="AJ811" s="19">
        <v>87</v>
      </c>
      <c r="AK811" s="12">
        <f>(AJ811+AI811)/30*7</f>
        <v>29.400000000000002</v>
      </c>
      <c r="AL811" s="6">
        <f>IF(AK811-C811&lt;0,0,AK811-C811)</f>
        <v>0</v>
      </c>
      <c r="AM811" s="6">
        <f>IF(AL811-R811-S811&lt;0,0,AL811-R811-S811)</f>
        <v>0</v>
      </c>
      <c r="AN811" s="5" t="str">
        <f t="shared" si="25"/>
        <v/>
      </c>
      <c r="AO811" s="5">
        <v>0</v>
      </c>
      <c r="AP811" s="9"/>
      <c r="AQ811" s="5" t="s">
        <v>1229</v>
      </c>
      <c r="AR811" s="5" t="s">
        <v>1210</v>
      </c>
      <c r="AS811" s="8"/>
      <c r="AT811" s="8"/>
      <c r="AU811" s="8"/>
      <c r="AV811" s="8"/>
      <c r="AW811" s="8"/>
      <c r="AX811" s="8"/>
      <c r="AY811" s="8"/>
      <c r="AZ811" s="8"/>
    </row>
    <row r="812" spans="1:52">
      <c r="A812" s="5" t="s">
        <v>40</v>
      </c>
      <c r="B812" s="5">
        <v>1108</v>
      </c>
      <c r="C812" s="19">
        <v>767</v>
      </c>
      <c r="E812" s="14"/>
      <c r="F812" s="11"/>
      <c r="G812" s="11"/>
      <c r="H812" s="11"/>
      <c r="I812" s="11"/>
      <c r="J812" s="25"/>
      <c r="K812" s="11"/>
      <c r="L812" s="11"/>
      <c r="M812" s="19">
        <v>5</v>
      </c>
      <c r="O812" s="6"/>
      <c r="P812" s="16">
        <v>675</v>
      </c>
      <c r="Q812" s="16">
        <v>0</v>
      </c>
      <c r="R812" s="22"/>
      <c r="S812" s="22">
        <f t="shared" si="24"/>
        <v>0</v>
      </c>
      <c r="T812" s="5" t="s">
        <v>1210</v>
      </c>
      <c r="U812" s="5" t="s">
        <v>1210</v>
      </c>
      <c r="Y812" s="8"/>
      <c r="Z812" s="8"/>
      <c r="AA812" s="8"/>
      <c r="AB812" s="8"/>
      <c r="AC812" s="8"/>
      <c r="AD812" s="8"/>
      <c r="AE812" s="25"/>
      <c r="AF812" s="11"/>
      <c r="AG812" s="25"/>
      <c r="AH812" s="11"/>
      <c r="AI812" s="11">
        <v>7</v>
      </c>
      <c r="AJ812" s="19">
        <v>117</v>
      </c>
      <c r="AK812" s="12">
        <f>(AJ812+AI812)/30*7</f>
        <v>28.933333333333337</v>
      </c>
      <c r="AL812" s="6">
        <f>IF(AK812-C812&lt;0,0,AK812-C812)</f>
        <v>0</v>
      </c>
      <c r="AM812" s="6">
        <f>IF(AL812-R812-S812&lt;0,0,AL812-R812-S812)</f>
        <v>0</v>
      </c>
      <c r="AN812" s="5" t="str">
        <f t="shared" si="25"/>
        <v/>
      </c>
      <c r="AO812" s="5">
        <v>0</v>
      </c>
      <c r="AP812" s="9"/>
      <c r="AQ812" s="5" t="s">
        <v>1229</v>
      </c>
      <c r="AR812" s="5" t="s">
        <v>1210</v>
      </c>
      <c r="AS812" s="8"/>
      <c r="AT812" s="8"/>
      <c r="AU812" s="8"/>
      <c r="AV812" s="8"/>
      <c r="AW812" s="8"/>
      <c r="AX812" s="8"/>
      <c r="AY812" s="8"/>
      <c r="AZ812" s="8"/>
    </row>
    <row r="813" spans="1:52">
      <c r="A813" s="5" t="s">
        <v>35</v>
      </c>
      <c r="B813" s="5">
        <v>1160</v>
      </c>
      <c r="C813" s="19">
        <v>661</v>
      </c>
      <c r="E813" s="14"/>
      <c r="F813" s="11"/>
      <c r="G813" s="11"/>
      <c r="H813" s="11"/>
      <c r="I813" s="11"/>
      <c r="J813" s="25"/>
      <c r="K813" s="11"/>
      <c r="L813" s="11"/>
      <c r="M813" s="19">
        <v>1</v>
      </c>
      <c r="O813" s="6"/>
      <c r="P813" s="16">
        <v>642</v>
      </c>
      <c r="Q813" s="16">
        <v>716</v>
      </c>
      <c r="R813" s="22"/>
      <c r="S813" s="22">
        <f t="shared" si="24"/>
        <v>0</v>
      </c>
      <c r="T813" s="5" t="s">
        <v>1210</v>
      </c>
      <c r="U813" s="5" t="s">
        <v>1210</v>
      </c>
      <c r="Y813" s="8"/>
      <c r="Z813" s="8"/>
      <c r="AA813" s="8"/>
      <c r="AB813" s="8"/>
      <c r="AC813" s="8"/>
      <c r="AD813" s="8"/>
      <c r="AE813" s="25"/>
      <c r="AF813" s="11"/>
      <c r="AG813" s="25"/>
      <c r="AH813" s="11"/>
      <c r="AI813" s="11">
        <v>5</v>
      </c>
      <c r="AJ813" s="19">
        <v>131</v>
      </c>
      <c r="AK813" s="12">
        <f>(AJ813+AI813)/30*7</f>
        <v>31.733333333333334</v>
      </c>
      <c r="AL813" s="6">
        <f>IF(AK813-C813&lt;0,0,AK813-C813)</f>
        <v>0</v>
      </c>
      <c r="AM813" s="6">
        <f>IF(AL813-R813-S813&lt;0,0,AL813-R813-S813)</f>
        <v>0</v>
      </c>
      <c r="AN813" s="5" t="str">
        <f t="shared" si="25"/>
        <v/>
      </c>
      <c r="AO813" s="5">
        <v>0</v>
      </c>
      <c r="AP813" s="9"/>
      <c r="AQ813" s="5" t="s">
        <v>1210</v>
      </c>
      <c r="AR813" s="5" t="s">
        <v>1210</v>
      </c>
      <c r="AS813" s="8"/>
      <c r="AT813" s="8"/>
      <c r="AU813" s="8"/>
      <c r="AV813" s="8"/>
      <c r="AW813" s="8"/>
      <c r="AX813" s="8"/>
      <c r="AY813" s="8"/>
      <c r="AZ813" s="8"/>
    </row>
    <row r="814" spans="1:52">
      <c r="A814" s="5" t="s">
        <v>44</v>
      </c>
      <c r="B814" s="5">
        <v>1324</v>
      </c>
      <c r="C814" s="19">
        <v>928</v>
      </c>
      <c r="E814" s="14"/>
      <c r="F814" s="11"/>
      <c r="G814" s="11"/>
      <c r="H814" s="11"/>
      <c r="I814" s="11"/>
      <c r="J814" s="25"/>
      <c r="K814" s="11"/>
      <c r="L814" s="11"/>
      <c r="M814" s="19">
        <v>0</v>
      </c>
      <c r="O814" s="6"/>
      <c r="P814" s="16">
        <v>555</v>
      </c>
      <c r="Q814" s="16">
        <v>0</v>
      </c>
      <c r="R814" s="22"/>
      <c r="S814" s="22">
        <f t="shared" si="24"/>
        <v>0</v>
      </c>
      <c r="T814" s="5" t="s">
        <v>1210</v>
      </c>
      <c r="U814" s="5" t="s">
        <v>1210</v>
      </c>
      <c r="Y814" s="8"/>
      <c r="Z814" s="8"/>
      <c r="AA814" s="8"/>
      <c r="AB814" s="8"/>
      <c r="AC814" s="8"/>
      <c r="AD814" s="8"/>
      <c r="AE814" s="25"/>
      <c r="AF814" s="11"/>
      <c r="AG814" s="25"/>
      <c r="AH814" s="11"/>
      <c r="AI814" s="11">
        <v>8</v>
      </c>
      <c r="AJ814" s="19">
        <v>100</v>
      </c>
      <c r="AK814" s="12">
        <f>(AJ814+AI814)/30*7</f>
        <v>25.2</v>
      </c>
      <c r="AL814" s="6">
        <f>IF(AK814-C814&lt;0,0,AK814-C814)</f>
        <v>0</v>
      </c>
      <c r="AM814" s="6">
        <f>IF(AL814-R814-S814&lt;0,0,AL814-R814-S814)</f>
        <v>0</v>
      </c>
      <c r="AN814" s="5" t="str">
        <f t="shared" si="25"/>
        <v/>
      </c>
      <c r="AO814" s="5">
        <v>0</v>
      </c>
      <c r="AP814" s="9"/>
      <c r="AQ814" s="5" t="s">
        <v>1229</v>
      </c>
      <c r="AR814" s="5" t="s">
        <v>1210</v>
      </c>
      <c r="AS814" s="8"/>
      <c r="AT814" s="8"/>
      <c r="AU814" s="8"/>
      <c r="AV814" s="8"/>
      <c r="AW814" s="8"/>
      <c r="AX814" s="8"/>
      <c r="AY814" s="8"/>
      <c r="AZ814" s="8"/>
    </row>
    <row r="815" spans="1:52">
      <c r="A815" s="5" t="s">
        <v>129</v>
      </c>
      <c r="B815" s="5">
        <v>1847</v>
      </c>
      <c r="C815" s="19">
        <v>777</v>
      </c>
      <c r="E815" s="14"/>
      <c r="F815" s="11"/>
      <c r="G815" s="11"/>
      <c r="H815" s="11"/>
      <c r="I815" s="11"/>
      <c r="J815" s="25"/>
      <c r="K815" s="11"/>
      <c r="L815" s="11"/>
      <c r="M815" s="19">
        <v>0</v>
      </c>
      <c r="O815" s="6"/>
      <c r="P815" s="16">
        <v>0</v>
      </c>
      <c r="Q815" s="16">
        <v>0</v>
      </c>
      <c r="R815" s="22"/>
      <c r="S815" s="22">
        <f t="shared" si="24"/>
        <v>0</v>
      </c>
      <c r="T815" s="5" t="s">
        <v>1210</v>
      </c>
      <c r="U815" s="5" t="s">
        <v>1210</v>
      </c>
      <c r="Y815" s="8"/>
      <c r="Z815" s="8"/>
      <c r="AA815" s="8"/>
      <c r="AB815" s="8"/>
      <c r="AC815" s="8"/>
      <c r="AD815" s="8"/>
      <c r="AE815" s="25"/>
      <c r="AF815" s="11"/>
      <c r="AG815" s="25"/>
      <c r="AH815" s="11"/>
      <c r="AI815" s="11">
        <v>5</v>
      </c>
      <c r="AJ815" s="19">
        <v>114</v>
      </c>
      <c r="AK815" s="12">
        <f>(AJ815+AI815)/30*7</f>
        <v>27.766666666666666</v>
      </c>
      <c r="AL815" s="6">
        <f>IF(AK815-C815&lt;0,0,AK815-C815)</f>
        <v>0</v>
      </c>
      <c r="AM815" s="6">
        <f>IF(AL815-R815-S815&lt;0,0,AL815-R815-S815)</f>
        <v>0</v>
      </c>
      <c r="AN815" s="5" t="str">
        <f t="shared" si="25"/>
        <v/>
      </c>
      <c r="AO815" s="5">
        <v>0</v>
      </c>
      <c r="AP815" s="9"/>
      <c r="AQ815" s="5" t="s">
        <v>1210</v>
      </c>
      <c r="AR815" s="5" t="s">
        <v>1210</v>
      </c>
      <c r="AS815" s="8"/>
      <c r="AT815" s="8"/>
      <c r="AU815" s="8"/>
      <c r="AV815" s="8"/>
      <c r="AW815" s="8"/>
      <c r="AX815" s="8"/>
      <c r="AY815" s="8"/>
      <c r="AZ815" s="8"/>
    </row>
    <row r="816" spans="1:52">
      <c r="A816" s="5" t="s">
        <v>53</v>
      </c>
      <c r="B816" s="5">
        <v>1679</v>
      </c>
      <c r="C816" s="19">
        <v>676</v>
      </c>
      <c r="E816" s="14"/>
      <c r="F816" s="11"/>
      <c r="G816" s="11"/>
      <c r="H816" s="11"/>
      <c r="I816" s="11"/>
      <c r="J816" s="25"/>
      <c r="K816" s="11"/>
      <c r="L816" s="11"/>
      <c r="M816" s="19">
        <v>6</v>
      </c>
      <c r="O816" s="6"/>
      <c r="P816" s="16">
        <v>291</v>
      </c>
      <c r="Q816" s="16">
        <v>0</v>
      </c>
      <c r="R816" s="22"/>
      <c r="S816" s="22">
        <f t="shared" si="24"/>
        <v>0</v>
      </c>
      <c r="T816" s="5" t="s">
        <v>1210</v>
      </c>
      <c r="U816" s="5" t="s">
        <v>1210</v>
      </c>
      <c r="Y816" s="8"/>
      <c r="Z816" s="8"/>
      <c r="AA816" s="8"/>
      <c r="AB816" s="8"/>
      <c r="AC816" s="8"/>
      <c r="AD816" s="8"/>
      <c r="AE816" s="25"/>
      <c r="AF816" s="11"/>
      <c r="AG816" s="25"/>
      <c r="AH816" s="11"/>
      <c r="AI816" s="11">
        <v>5</v>
      </c>
      <c r="AJ816" s="19">
        <v>103</v>
      </c>
      <c r="AK816" s="12">
        <f>(AJ816+AI816)/30*7</f>
        <v>25.2</v>
      </c>
      <c r="AL816" s="6">
        <f>IF(AK816-C816&lt;0,0,AK816-C816)</f>
        <v>0</v>
      </c>
      <c r="AM816" s="6">
        <f>IF(AL816-R816-S816&lt;0,0,AL816-R816-S816)</f>
        <v>0</v>
      </c>
      <c r="AN816" s="5" t="str">
        <f t="shared" si="25"/>
        <v/>
      </c>
      <c r="AO816" s="5">
        <v>0</v>
      </c>
      <c r="AP816" s="9"/>
      <c r="AQ816" s="5" t="s">
        <v>1229</v>
      </c>
      <c r="AR816" s="5" t="s">
        <v>1210</v>
      </c>
      <c r="AS816" s="8"/>
      <c r="AT816" s="8"/>
      <c r="AU816" s="8"/>
      <c r="AV816" s="8"/>
      <c r="AW816" s="8"/>
      <c r="AX816" s="8"/>
      <c r="AY816" s="8"/>
      <c r="AZ816" s="8"/>
    </row>
    <row r="817" spans="1:52">
      <c r="A817" s="5" t="s">
        <v>80</v>
      </c>
      <c r="B817" s="5">
        <v>976</v>
      </c>
      <c r="C817" s="19">
        <v>662</v>
      </c>
      <c r="E817" s="14"/>
      <c r="F817" s="11"/>
      <c r="G817" s="11"/>
      <c r="H817" s="11"/>
      <c r="I817" s="11"/>
      <c r="J817" s="25"/>
      <c r="K817" s="11"/>
      <c r="L817" s="11"/>
      <c r="M817" s="19">
        <v>0</v>
      </c>
      <c r="O817" s="6"/>
      <c r="P817" s="16">
        <v>980</v>
      </c>
      <c r="Q817" s="16">
        <v>0</v>
      </c>
      <c r="R817" s="22"/>
      <c r="S817" s="22">
        <f t="shared" si="24"/>
        <v>0</v>
      </c>
      <c r="T817" s="5" t="s">
        <v>1210</v>
      </c>
      <c r="U817" s="5" t="s">
        <v>1210</v>
      </c>
      <c r="Y817" s="8"/>
      <c r="Z817" s="8"/>
      <c r="AA817" s="8"/>
      <c r="AB817" s="8"/>
      <c r="AC817" s="8"/>
      <c r="AD817" s="8"/>
      <c r="AE817" s="25"/>
      <c r="AF817" s="11"/>
      <c r="AG817" s="25"/>
      <c r="AH817" s="11"/>
      <c r="AI817" s="11">
        <v>34</v>
      </c>
      <c r="AJ817" s="19">
        <v>122</v>
      </c>
      <c r="AK817" s="12">
        <f>(AJ817+AI817)/30*7</f>
        <v>36.4</v>
      </c>
      <c r="AL817" s="6">
        <f>IF(AK817-C817&lt;0,0,AK817-C817)</f>
        <v>0</v>
      </c>
      <c r="AM817" s="6">
        <f>IF(AL817-R817-S817&lt;0,0,AL817-R817-S817)</f>
        <v>0</v>
      </c>
      <c r="AN817" s="5" t="str">
        <f t="shared" si="25"/>
        <v/>
      </c>
      <c r="AO817" s="5">
        <v>0</v>
      </c>
      <c r="AP817" s="9"/>
      <c r="AQ817" s="5" t="s">
        <v>1229</v>
      </c>
      <c r="AR817" s="5" t="s">
        <v>1210</v>
      </c>
      <c r="AS817" s="8"/>
      <c r="AT817" s="8"/>
      <c r="AU817" s="8"/>
      <c r="AV817" s="8"/>
      <c r="AW817" s="8"/>
      <c r="AX817" s="8"/>
      <c r="AY817" s="8"/>
      <c r="AZ817" s="8"/>
    </row>
    <row r="818" spans="1:52">
      <c r="A818" s="5" t="s">
        <v>28</v>
      </c>
      <c r="B818" s="5">
        <v>923</v>
      </c>
      <c r="C818" s="19">
        <v>1000</v>
      </c>
      <c r="E818" s="14"/>
      <c r="F818" s="11"/>
      <c r="G818" s="11"/>
      <c r="H818" s="11"/>
      <c r="I818" s="11"/>
      <c r="J818" s="25"/>
      <c r="K818" s="11"/>
      <c r="L818" s="11"/>
      <c r="M818" s="19">
        <v>2</v>
      </c>
      <c r="O818" s="6"/>
      <c r="P818" s="16">
        <v>394</v>
      </c>
      <c r="Q818" s="16">
        <v>0</v>
      </c>
      <c r="R818" s="22"/>
      <c r="S818" s="22">
        <f t="shared" si="24"/>
        <v>0</v>
      </c>
      <c r="T818" s="5" t="s">
        <v>1210</v>
      </c>
      <c r="U818" s="5" t="s">
        <v>1210</v>
      </c>
      <c r="Y818" s="8"/>
      <c r="Z818" s="8"/>
      <c r="AA818" s="8"/>
      <c r="AB818" s="8"/>
      <c r="AC818" s="8"/>
      <c r="AD818" s="8"/>
      <c r="AE818" s="25"/>
      <c r="AF818" s="11"/>
      <c r="AG818" s="25"/>
      <c r="AH818" s="11"/>
      <c r="AI818" s="11">
        <v>5</v>
      </c>
      <c r="AJ818" s="19">
        <v>106</v>
      </c>
      <c r="AK818" s="12">
        <f>(AJ818+AI818)/30*7</f>
        <v>25.900000000000002</v>
      </c>
      <c r="AL818" s="6">
        <f>IF(AK818-C818&lt;0,0,AK818-C818)</f>
        <v>0</v>
      </c>
      <c r="AM818" s="6">
        <f>IF(AL818-R818-S818&lt;0,0,AL818-R818-S818)</f>
        <v>0</v>
      </c>
      <c r="AN818" s="5" t="str">
        <f t="shared" si="25"/>
        <v/>
      </c>
      <c r="AO818" s="5">
        <v>0</v>
      </c>
      <c r="AP818" s="9"/>
      <c r="AQ818" s="5" t="s">
        <v>1229</v>
      </c>
      <c r="AR818" s="5" t="s">
        <v>1210</v>
      </c>
      <c r="AS818" s="8"/>
      <c r="AT818" s="8"/>
      <c r="AU818" s="8"/>
      <c r="AV818" s="8"/>
      <c r="AW818" s="8"/>
      <c r="AX818" s="8"/>
      <c r="AY818" s="8"/>
      <c r="AZ818" s="8"/>
    </row>
    <row r="819" spans="1:52">
      <c r="A819" s="5" t="s">
        <v>94</v>
      </c>
      <c r="B819" s="5">
        <v>1454</v>
      </c>
      <c r="C819" s="19">
        <v>803</v>
      </c>
      <c r="E819" s="14"/>
      <c r="F819" s="11"/>
      <c r="G819" s="11"/>
      <c r="H819" s="11"/>
      <c r="I819" s="11"/>
      <c r="J819" s="25"/>
      <c r="K819" s="11"/>
      <c r="L819" s="11"/>
      <c r="M819" s="19">
        <v>0</v>
      </c>
      <c r="O819" s="6"/>
      <c r="P819" s="16">
        <v>305</v>
      </c>
      <c r="Q819" s="16">
        <v>0</v>
      </c>
      <c r="R819" s="22"/>
      <c r="S819" s="22">
        <f t="shared" si="24"/>
        <v>0</v>
      </c>
      <c r="U819" s="5" t="s">
        <v>1210</v>
      </c>
      <c r="Y819" s="8"/>
      <c r="Z819" s="8"/>
      <c r="AA819" s="8"/>
      <c r="AB819" s="8"/>
      <c r="AC819" s="8"/>
      <c r="AD819" s="8"/>
      <c r="AE819" s="25"/>
      <c r="AF819" s="11"/>
      <c r="AG819" s="25"/>
      <c r="AH819" s="11"/>
      <c r="AI819" s="11">
        <v>22</v>
      </c>
      <c r="AJ819" s="19">
        <v>131</v>
      </c>
      <c r="AK819" s="12">
        <f>(AJ819+AI819)/30*7</f>
        <v>35.699999999999996</v>
      </c>
      <c r="AL819" s="6">
        <f>IF(AK819-C819&lt;0,0,AK819-C819)</f>
        <v>0</v>
      </c>
      <c r="AM819" s="6">
        <f>IF(AL819-R819-S819&lt;0,0,AL819-R819-S819)</f>
        <v>0</v>
      </c>
      <c r="AN819" s="5" t="str">
        <f t="shared" si="25"/>
        <v/>
      </c>
      <c r="AO819" s="5">
        <v>0</v>
      </c>
      <c r="AP819" s="9"/>
      <c r="AQ819" s="5" t="s">
        <v>1210</v>
      </c>
      <c r="AR819" s="5" t="s">
        <v>1210</v>
      </c>
      <c r="AS819" s="8"/>
      <c r="AT819" s="8"/>
      <c r="AU819" s="8"/>
      <c r="AV819" s="8"/>
      <c r="AW819" s="8"/>
      <c r="AX819" s="8"/>
      <c r="AY819" s="8"/>
      <c r="AZ819" s="8"/>
    </row>
    <row r="820" spans="1:52">
      <c r="A820" s="5" t="s">
        <v>174</v>
      </c>
      <c r="B820" s="5">
        <v>828</v>
      </c>
      <c r="C820" s="19">
        <v>668</v>
      </c>
      <c r="E820" s="14"/>
      <c r="F820" s="11"/>
      <c r="G820" s="11"/>
      <c r="H820" s="11"/>
      <c r="I820" s="11"/>
      <c r="J820" s="25"/>
      <c r="K820" s="11"/>
      <c r="L820" s="11"/>
      <c r="M820" s="19">
        <v>5</v>
      </c>
      <c r="O820" s="6"/>
      <c r="P820" s="16">
        <v>352</v>
      </c>
      <c r="Q820" s="16">
        <v>0</v>
      </c>
      <c r="R820" s="22"/>
      <c r="S820" s="22">
        <f t="shared" si="24"/>
        <v>0</v>
      </c>
      <c r="T820" s="5" t="s">
        <v>1210</v>
      </c>
      <c r="U820" s="5" t="s">
        <v>1210</v>
      </c>
      <c r="Y820" s="8"/>
      <c r="Z820" s="8"/>
      <c r="AA820" s="8"/>
      <c r="AB820" s="8"/>
      <c r="AC820" s="8"/>
      <c r="AD820" s="8"/>
      <c r="AE820" s="25"/>
      <c r="AF820" s="11"/>
      <c r="AG820" s="25"/>
      <c r="AH820" s="11"/>
      <c r="AI820" s="11">
        <v>56</v>
      </c>
      <c r="AJ820" s="19">
        <v>93</v>
      </c>
      <c r="AK820" s="12">
        <f>(AJ820+AI820)/30*7</f>
        <v>34.766666666666666</v>
      </c>
      <c r="AL820" s="6">
        <f>IF(AK820-C820&lt;0,0,AK820-C820)</f>
        <v>0</v>
      </c>
      <c r="AM820" s="6">
        <f>IF(AL820-R820-S820&lt;0,0,AL820-R820-S820)</f>
        <v>0</v>
      </c>
      <c r="AN820" s="5" t="str">
        <f t="shared" si="25"/>
        <v/>
      </c>
      <c r="AO820" s="5">
        <v>0</v>
      </c>
      <c r="AP820" s="9"/>
      <c r="AQ820" s="5" t="s">
        <v>1210</v>
      </c>
      <c r="AR820" s="5" t="s">
        <v>1210</v>
      </c>
      <c r="AS820" s="8"/>
      <c r="AT820" s="8"/>
      <c r="AU820" s="8"/>
      <c r="AV820" s="8"/>
      <c r="AW820" s="8"/>
      <c r="AX820" s="8"/>
      <c r="AY820" s="8"/>
      <c r="AZ820" s="8"/>
    </row>
    <row r="821" spans="1:52">
      <c r="A821" s="5" t="s">
        <v>61</v>
      </c>
      <c r="B821" s="5">
        <v>383</v>
      </c>
      <c r="C821" s="19">
        <v>997</v>
      </c>
      <c r="E821" s="14"/>
      <c r="F821" s="11"/>
      <c r="G821" s="11"/>
      <c r="H821" s="11"/>
      <c r="I821" s="11"/>
      <c r="J821" s="25"/>
      <c r="K821" s="11"/>
      <c r="L821" s="11"/>
      <c r="M821" s="19">
        <v>0</v>
      </c>
      <c r="O821" s="6"/>
      <c r="P821" s="16">
        <v>261</v>
      </c>
      <c r="Q821" s="16">
        <v>698</v>
      </c>
      <c r="R821" s="22"/>
      <c r="S821" s="22">
        <f t="shared" si="24"/>
        <v>0</v>
      </c>
      <c r="T821" s="5" t="s">
        <v>1210</v>
      </c>
      <c r="U821" s="5" t="s">
        <v>1210</v>
      </c>
      <c r="Y821" s="8"/>
      <c r="Z821" s="8"/>
      <c r="AA821" s="8"/>
      <c r="AB821" s="8"/>
      <c r="AC821" s="8"/>
      <c r="AD821" s="8"/>
      <c r="AE821" s="25"/>
      <c r="AF821" s="11"/>
      <c r="AG821" s="25"/>
      <c r="AH821" s="11"/>
      <c r="AI821" s="11">
        <v>38</v>
      </c>
      <c r="AJ821" s="19">
        <v>100</v>
      </c>
      <c r="AK821" s="12">
        <f>(AJ821+AI821)/30*7</f>
        <v>32.199999999999996</v>
      </c>
      <c r="AL821" s="6">
        <f>IF(AK821-C821&lt;0,0,AK821-C821)</f>
        <v>0</v>
      </c>
      <c r="AM821" s="6">
        <f>IF(AL821-R821-S821&lt;0,0,AL821-R821-S821)</f>
        <v>0</v>
      </c>
      <c r="AN821" s="5" t="str">
        <f t="shared" si="25"/>
        <v/>
      </c>
      <c r="AO821" s="5">
        <v>0</v>
      </c>
      <c r="AP821" s="9"/>
      <c r="AQ821" s="5" t="s">
        <v>1210</v>
      </c>
      <c r="AR821" s="5" t="s">
        <v>1210</v>
      </c>
      <c r="AS821" s="8"/>
      <c r="AT821" s="8"/>
      <c r="AU821" s="8"/>
      <c r="AV821" s="8"/>
      <c r="AW821" s="8"/>
      <c r="AX821" s="8"/>
      <c r="AY821" s="8"/>
      <c r="AZ821" s="8"/>
    </row>
    <row r="822" spans="1:52">
      <c r="A822" s="5" t="s">
        <v>86</v>
      </c>
      <c r="B822" s="5">
        <v>1088</v>
      </c>
      <c r="C822" s="19">
        <v>279</v>
      </c>
      <c r="E822" s="14"/>
      <c r="F822" s="11"/>
      <c r="G822" s="11"/>
      <c r="H822" s="11"/>
      <c r="I822" s="11"/>
      <c r="J822" s="25"/>
      <c r="K822" s="11"/>
      <c r="L822" s="11"/>
      <c r="M822" s="19">
        <v>0</v>
      </c>
      <c r="O822" s="6"/>
      <c r="P822" s="16">
        <v>563</v>
      </c>
      <c r="Q822" s="16">
        <v>0</v>
      </c>
      <c r="R822" s="22"/>
      <c r="S822" s="22">
        <f t="shared" si="24"/>
        <v>0</v>
      </c>
      <c r="T822" s="5" t="s">
        <v>1210</v>
      </c>
      <c r="U822" s="5" t="s">
        <v>1210</v>
      </c>
      <c r="Y822" s="8"/>
      <c r="Z822" s="8"/>
      <c r="AA822" s="8"/>
      <c r="AB822" s="8"/>
      <c r="AC822" s="8"/>
      <c r="AD822" s="8"/>
      <c r="AE822" s="25"/>
      <c r="AF822" s="11"/>
      <c r="AG822" s="25"/>
      <c r="AH822" s="11"/>
      <c r="AI822" s="11">
        <v>11</v>
      </c>
      <c r="AJ822" s="19">
        <v>83</v>
      </c>
      <c r="AK822" s="12">
        <f>(AJ822+AI822)/30*7</f>
        <v>21.933333333333334</v>
      </c>
      <c r="AL822" s="6">
        <f>IF(AK822-C822&lt;0,0,AK822-C822)</f>
        <v>0</v>
      </c>
      <c r="AM822" s="6">
        <f>IF(AL822-R822-S822&lt;0,0,AL822-R822-S822)</f>
        <v>0</v>
      </c>
      <c r="AN822" s="5" t="str">
        <f t="shared" si="25"/>
        <v/>
      </c>
      <c r="AO822" s="5">
        <v>0</v>
      </c>
      <c r="AP822" s="9"/>
      <c r="AQ822" s="5" t="s">
        <v>1229</v>
      </c>
      <c r="AR822" s="5" t="s">
        <v>1210</v>
      </c>
      <c r="AS822" s="8"/>
      <c r="AT822" s="8"/>
      <c r="AU822" s="8"/>
      <c r="AV822" s="8"/>
      <c r="AW822" s="8"/>
      <c r="AX822" s="8"/>
      <c r="AY822" s="8"/>
      <c r="AZ822" s="8"/>
    </row>
    <row r="823" spans="1:52">
      <c r="A823" s="5" t="s">
        <v>79</v>
      </c>
      <c r="B823" s="5">
        <v>1456</v>
      </c>
      <c r="C823" s="19">
        <v>588</v>
      </c>
      <c r="E823" s="14"/>
      <c r="F823" s="11"/>
      <c r="G823" s="11"/>
      <c r="H823" s="11"/>
      <c r="I823" s="11"/>
      <c r="J823" s="25"/>
      <c r="K823" s="11"/>
      <c r="L823" s="11"/>
      <c r="M823" s="19">
        <v>0</v>
      </c>
      <c r="O823" s="6"/>
      <c r="P823" s="16">
        <v>882</v>
      </c>
      <c r="Q823" s="16">
        <v>0</v>
      </c>
      <c r="R823" s="22"/>
      <c r="S823" s="22">
        <f t="shared" si="24"/>
        <v>0</v>
      </c>
      <c r="U823" s="5" t="s">
        <v>1210</v>
      </c>
      <c r="Y823" s="8"/>
      <c r="Z823" s="8"/>
      <c r="AA823" s="8"/>
      <c r="AB823" s="8"/>
      <c r="AC823" s="8"/>
      <c r="AD823" s="8"/>
      <c r="AE823" s="25"/>
      <c r="AF823" s="11"/>
      <c r="AG823" s="25"/>
      <c r="AH823" s="11"/>
      <c r="AI823" s="11">
        <v>9</v>
      </c>
      <c r="AJ823" s="19">
        <v>96</v>
      </c>
      <c r="AK823" s="12">
        <f>(AJ823+AI823)/30*7</f>
        <v>24.5</v>
      </c>
      <c r="AL823" s="6">
        <f>IF(AK823-C823&lt;0,0,AK823-C823)</f>
        <v>0</v>
      </c>
      <c r="AM823" s="6">
        <f>IF(AL823-R823-S823&lt;0,0,AL823-R823-S823)</f>
        <v>0</v>
      </c>
      <c r="AN823" s="5" t="str">
        <f t="shared" si="25"/>
        <v/>
      </c>
      <c r="AO823" s="5">
        <v>0</v>
      </c>
      <c r="AP823" s="9"/>
      <c r="AQ823" s="5" t="s">
        <v>1229</v>
      </c>
      <c r="AR823" s="5" t="s">
        <v>1210</v>
      </c>
      <c r="AS823" s="8"/>
      <c r="AT823" s="8"/>
      <c r="AU823" s="8"/>
      <c r="AV823" s="8"/>
      <c r="AW823" s="8"/>
      <c r="AX823" s="8"/>
      <c r="AY823" s="8"/>
      <c r="AZ823" s="8"/>
    </row>
    <row r="824" spans="1:52">
      <c r="A824" s="5" t="s">
        <v>87</v>
      </c>
      <c r="B824" s="5">
        <v>1159</v>
      </c>
      <c r="C824" s="19">
        <v>471</v>
      </c>
      <c r="E824" s="14"/>
      <c r="F824" s="11"/>
      <c r="G824" s="11"/>
      <c r="H824" s="11"/>
      <c r="I824" s="11"/>
      <c r="J824" s="25"/>
      <c r="K824" s="11"/>
      <c r="L824" s="11"/>
      <c r="M824" s="19">
        <v>0</v>
      </c>
      <c r="O824" s="6"/>
      <c r="P824" s="16">
        <v>493</v>
      </c>
      <c r="Q824" s="16">
        <v>0</v>
      </c>
      <c r="R824" s="22"/>
      <c r="S824" s="22">
        <f t="shared" si="24"/>
        <v>0</v>
      </c>
      <c r="T824" s="5" t="s">
        <v>1210</v>
      </c>
      <c r="U824" s="5" t="s">
        <v>1210</v>
      </c>
      <c r="Y824" s="8"/>
      <c r="Z824" s="8"/>
      <c r="AA824" s="8"/>
      <c r="AB824" s="8"/>
      <c r="AC824" s="8"/>
      <c r="AD824" s="8"/>
      <c r="AE824" s="25"/>
      <c r="AF824" s="11"/>
      <c r="AG824" s="25"/>
      <c r="AH824" s="11"/>
      <c r="AI824" s="11">
        <v>17</v>
      </c>
      <c r="AJ824" s="19">
        <v>72</v>
      </c>
      <c r="AK824" s="12">
        <f>(AJ824+AI824)/30*7</f>
        <v>20.766666666666666</v>
      </c>
      <c r="AL824" s="6">
        <f>IF(AK824-C824&lt;0,0,AK824-C824)</f>
        <v>0</v>
      </c>
      <c r="AM824" s="6">
        <f>IF(AL824-R824-S824&lt;0,0,AL824-R824-S824)</f>
        <v>0</v>
      </c>
      <c r="AN824" s="5" t="str">
        <f t="shared" si="25"/>
        <v/>
      </c>
      <c r="AO824" s="5">
        <v>0</v>
      </c>
      <c r="AP824" s="9"/>
      <c r="AQ824" s="5" t="s">
        <v>1210</v>
      </c>
      <c r="AR824" s="5" t="s">
        <v>1210</v>
      </c>
      <c r="AS824" s="8"/>
      <c r="AT824" s="8"/>
      <c r="AU824" s="8"/>
      <c r="AV824" s="8"/>
      <c r="AW824" s="8"/>
      <c r="AX824" s="8"/>
      <c r="AY824" s="8"/>
      <c r="AZ824" s="8"/>
    </row>
    <row r="825" spans="1:52">
      <c r="A825" s="5" t="s">
        <v>83</v>
      </c>
      <c r="B825" s="5">
        <v>1917</v>
      </c>
      <c r="C825" s="19">
        <v>376</v>
      </c>
      <c r="E825" s="14"/>
      <c r="F825" s="11"/>
      <c r="G825" s="11"/>
      <c r="H825" s="11"/>
      <c r="I825" s="11"/>
      <c r="J825" s="25"/>
      <c r="K825" s="11"/>
      <c r="L825" s="11"/>
      <c r="M825" s="19">
        <v>7</v>
      </c>
      <c r="O825" s="6"/>
      <c r="P825" s="16">
        <v>583</v>
      </c>
      <c r="Q825" s="16">
        <v>0</v>
      </c>
      <c r="R825" s="22"/>
      <c r="S825" s="22">
        <f t="shared" si="24"/>
        <v>0</v>
      </c>
      <c r="T825" s="5" t="s">
        <v>1210</v>
      </c>
      <c r="U825" s="5" t="s">
        <v>1210</v>
      </c>
      <c r="Y825" s="8"/>
      <c r="Z825" s="8"/>
      <c r="AA825" s="8"/>
      <c r="AB825" s="8"/>
      <c r="AC825" s="8"/>
      <c r="AD825" s="8"/>
      <c r="AE825" s="25"/>
      <c r="AF825" s="11"/>
      <c r="AG825" s="25"/>
      <c r="AH825" s="11"/>
      <c r="AI825" s="11">
        <v>8</v>
      </c>
      <c r="AJ825" s="19">
        <v>110</v>
      </c>
      <c r="AK825" s="12">
        <f>(AJ825+AI825)/30*7</f>
        <v>27.533333333333331</v>
      </c>
      <c r="AL825" s="6">
        <f>IF(AK825-C825&lt;0,0,AK825-C825)</f>
        <v>0</v>
      </c>
      <c r="AM825" s="6">
        <f>IF(AL825-R825-S825&lt;0,0,AL825-R825-S825)</f>
        <v>0</v>
      </c>
      <c r="AN825" s="5" t="str">
        <f t="shared" si="25"/>
        <v/>
      </c>
      <c r="AO825" s="5">
        <v>0</v>
      </c>
      <c r="AP825" s="9"/>
      <c r="AQ825" s="5" t="s">
        <v>1229</v>
      </c>
      <c r="AR825" s="5" t="s">
        <v>1210</v>
      </c>
      <c r="AS825" s="8"/>
      <c r="AT825" s="8"/>
      <c r="AU825" s="8"/>
      <c r="AV825" s="8"/>
      <c r="AW825" s="8"/>
      <c r="AX825" s="8"/>
      <c r="AY825" s="8"/>
      <c r="AZ825" s="8"/>
    </row>
    <row r="826" spans="1:52">
      <c r="A826" s="5" t="s">
        <v>163</v>
      </c>
      <c r="B826" s="5">
        <v>996</v>
      </c>
      <c r="C826" s="19">
        <v>996</v>
      </c>
      <c r="E826" s="14"/>
      <c r="F826" s="11"/>
      <c r="G826" s="11"/>
      <c r="H826" s="11"/>
      <c r="I826" s="11"/>
      <c r="J826" s="25"/>
      <c r="K826" s="11"/>
      <c r="L826" s="11"/>
      <c r="M826" s="19">
        <v>0</v>
      </c>
      <c r="O826" s="6"/>
      <c r="P826" s="16">
        <v>0</v>
      </c>
      <c r="Q826" s="16">
        <v>0</v>
      </c>
      <c r="R826" s="22"/>
      <c r="S826" s="22">
        <f t="shared" si="24"/>
        <v>0</v>
      </c>
      <c r="T826" s="5" t="s">
        <v>1210</v>
      </c>
      <c r="U826" s="5" t="s">
        <v>1210</v>
      </c>
      <c r="Y826" s="8"/>
      <c r="Z826" s="8"/>
      <c r="AA826" s="8"/>
      <c r="AB826" s="8"/>
      <c r="AC826" s="8"/>
      <c r="AD826" s="8"/>
      <c r="AE826" s="25"/>
      <c r="AF826" s="11"/>
      <c r="AG826" s="25"/>
      <c r="AH826" s="11"/>
      <c r="AI826" s="11">
        <v>38</v>
      </c>
      <c r="AJ826" s="19">
        <v>60</v>
      </c>
      <c r="AK826" s="12">
        <f>(AJ826+AI826)/30*7</f>
        <v>22.866666666666667</v>
      </c>
      <c r="AL826" s="6">
        <f>IF(AK826-C826&lt;0,0,AK826-C826)</f>
        <v>0</v>
      </c>
      <c r="AM826" s="6">
        <f>IF(AL826-R826-S826&lt;0,0,AL826-R826-S826)</f>
        <v>0</v>
      </c>
      <c r="AN826" s="5" t="str">
        <f t="shared" si="25"/>
        <v/>
      </c>
      <c r="AO826" s="5">
        <v>0</v>
      </c>
      <c r="AP826" s="9"/>
      <c r="AQ826" s="5" t="s">
        <v>1210</v>
      </c>
      <c r="AR826" s="5" t="s">
        <v>1210</v>
      </c>
      <c r="AS826" s="8"/>
      <c r="AT826" s="8"/>
      <c r="AU826" s="8"/>
      <c r="AV826" s="8"/>
      <c r="AW826" s="8"/>
      <c r="AX826" s="8"/>
      <c r="AY826" s="8"/>
      <c r="AZ826" s="8"/>
    </row>
    <row r="827" spans="1:52">
      <c r="A827" s="5" t="s">
        <v>108</v>
      </c>
      <c r="B827" s="5">
        <v>1402</v>
      </c>
      <c r="C827" s="19">
        <v>562</v>
      </c>
      <c r="E827" s="14"/>
      <c r="F827" s="11"/>
      <c r="G827" s="11"/>
      <c r="H827" s="11"/>
      <c r="I827" s="11"/>
      <c r="J827" s="25"/>
      <c r="K827" s="11"/>
      <c r="L827" s="11"/>
      <c r="M827" s="19">
        <v>0</v>
      </c>
      <c r="O827" s="6"/>
      <c r="P827" s="16">
        <v>307</v>
      </c>
      <c r="Q827" s="16">
        <v>0</v>
      </c>
      <c r="R827" s="22"/>
      <c r="S827" s="22">
        <f t="shared" si="24"/>
        <v>0</v>
      </c>
      <c r="T827" s="5" t="s">
        <v>1210</v>
      </c>
      <c r="U827" s="5" t="s">
        <v>1210</v>
      </c>
      <c r="Y827" s="8"/>
      <c r="Z827" s="8"/>
      <c r="AA827" s="8"/>
      <c r="AB827" s="8"/>
      <c r="AC827" s="8"/>
      <c r="AD827" s="8"/>
      <c r="AE827" s="25"/>
      <c r="AF827" s="11"/>
      <c r="AG827" s="25"/>
      <c r="AH827" s="11"/>
      <c r="AI827" s="11">
        <v>18</v>
      </c>
      <c r="AJ827" s="19">
        <v>96</v>
      </c>
      <c r="AK827" s="12">
        <f>(AJ827+AI827)/30*7</f>
        <v>26.599999999999998</v>
      </c>
      <c r="AL827" s="6">
        <f>IF(AK827-C827&lt;0,0,AK827-C827)</f>
        <v>0</v>
      </c>
      <c r="AM827" s="6">
        <f>IF(AL827-R827-S827&lt;0,0,AL827-R827-S827)</f>
        <v>0</v>
      </c>
      <c r="AN827" s="5" t="str">
        <f t="shared" si="25"/>
        <v/>
      </c>
      <c r="AO827" s="5">
        <v>0</v>
      </c>
      <c r="AP827" s="9"/>
      <c r="AQ827" s="5" t="s">
        <v>1229</v>
      </c>
      <c r="AR827" s="5" t="s">
        <v>1210</v>
      </c>
      <c r="AS827" s="8"/>
      <c r="AT827" s="8"/>
      <c r="AU827" s="8"/>
      <c r="AV827" s="8"/>
      <c r="AW827" s="8"/>
      <c r="AX827" s="8"/>
      <c r="AY827" s="8"/>
      <c r="AZ827" s="8"/>
    </row>
    <row r="828" spans="1:52">
      <c r="A828" s="5" t="s">
        <v>113</v>
      </c>
      <c r="B828" s="5">
        <v>1401</v>
      </c>
      <c r="C828" s="19">
        <v>215</v>
      </c>
      <c r="E828" s="14"/>
      <c r="F828" s="11"/>
      <c r="G828" s="11"/>
      <c r="H828" s="11"/>
      <c r="I828" s="11"/>
      <c r="J828" s="25"/>
      <c r="K828" s="11"/>
      <c r="L828" s="11"/>
      <c r="M828" s="19">
        <v>1</v>
      </c>
      <c r="O828" s="6"/>
      <c r="P828" s="16">
        <v>908</v>
      </c>
      <c r="Q828" s="16">
        <v>0</v>
      </c>
      <c r="R828" s="22"/>
      <c r="S828" s="22">
        <f t="shared" si="24"/>
        <v>0</v>
      </c>
      <c r="T828" s="5" t="s">
        <v>1210</v>
      </c>
      <c r="U828" s="5" t="s">
        <v>1210</v>
      </c>
      <c r="Y828" s="8"/>
      <c r="Z828" s="8"/>
      <c r="AA828" s="8"/>
      <c r="AB828" s="8"/>
      <c r="AC828" s="8"/>
      <c r="AD828" s="8"/>
      <c r="AE828" s="25"/>
      <c r="AF828" s="11"/>
      <c r="AG828" s="25"/>
      <c r="AH828" s="11"/>
      <c r="AI828" s="11">
        <v>26</v>
      </c>
      <c r="AJ828" s="19">
        <v>108</v>
      </c>
      <c r="AK828" s="12">
        <f>(AJ828+AI828)/30*7</f>
        <v>31.266666666666666</v>
      </c>
      <c r="AL828" s="6">
        <f>IF(AK828-C828&lt;0,0,AK828-C828)</f>
        <v>0</v>
      </c>
      <c r="AM828" s="6">
        <f>IF(AL828-R828-S828&lt;0,0,AL828-R828-S828)</f>
        <v>0</v>
      </c>
      <c r="AN828" s="5" t="str">
        <f t="shared" si="25"/>
        <v/>
      </c>
      <c r="AO828" s="5">
        <v>0</v>
      </c>
      <c r="AP828" s="9"/>
      <c r="AQ828" s="5" t="s">
        <v>1229</v>
      </c>
      <c r="AR828" s="5" t="s">
        <v>1210</v>
      </c>
      <c r="AS828" s="8"/>
      <c r="AT828" s="8"/>
      <c r="AU828" s="8"/>
      <c r="AV828" s="8"/>
      <c r="AW828" s="8"/>
      <c r="AX828" s="8"/>
      <c r="AY828" s="8"/>
      <c r="AZ828" s="8"/>
    </row>
    <row r="829" spans="1:52">
      <c r="A829" s="5" t="s">
        <v>106</v>
      </c>
      <c r="B829" s="5">
        <v>1075</v>
      </c>
      <c r="C829" s="19">
        <v>624</v>
      </c>
      <c r="E829" s="14"/>
      <c r="F829" s="11"/>
      <c r="G829" s="11"/>
      <c r="H829" s="11"/>
      <c r="I829" s="11"/>
      <c r="J829" s="25"/>
      <c r="K829" s="11"/>
      <c r="L829" s="11"/>
      <c r="M829" s="19">
        <v>0</v>
      </c>
      <c r="O829" s="6"/>
      <c r="P829" s="16">
        <v>853</v>
      </c>
      <c r="Q829" s="16">
        <v>271</v>
      </c>
      <c r="R829" s="22"/>
      <c r="S829" s="22">
        <f t="shared" si="24"/>
        <v>0</v>
      </c>
      <c r="T829" s="5" t="s">
        <v>1214</v>
      </c>
      <c r="U829" s="5">
        <v>27</v>
      </c>
      <c r="Y829" s="8"/>
      <c r="Z829" s="8"/>
      <c r="AA829" s="8"/>
      <c r="AB829" s="8"/>
      <c r="AC829" s="8"/>
      <c r="AD829" s="8"/>
      <c r="AE829" s="25"/>
      <c r="AF829" s="11"/>
      <c r="AG829" s="25"/>
      <c r="AH829" s="11"/>
      <c r="AI829" s="11">
        <v>49</v>
      </c>
      <c r="AJ829" s="19">
        <v>62</v>
      </c>
      <c r="AK829" s="12">
        <f>(AJ829+AI829)/30*7</f>
        <v>25.900000000000002</v>
      </c>
      <c r="AL829" s="6">
        <f>IF(AK829-C829&lt;0,0,AK829-C829)</f>
        <v>0</v>
      </c>
      <c r="AM829" s="6">
        <f>IF(AL829-R829-S829&lt;0,0,AL829-R829-S829)</f>
        <v>0</v>
      </c>
      <c r="AN829" s="5" t="str">
        <f t="shared" si="25"/>
        <v/>
      </c>
      <c r="AO829" s="5">
        <v>0</v>
      </c>
      <c r="AP829" s="9"/>
      <c r="AQ829" s="5" t="s">
        <v>1210</v>
      </c>
      <c r="AR829" s="5" t="s">
        <v>1210</v>
      </c>
      <c r="AS829" s="8"/>
      <c r="AT829" s="8"/>
      <c r="AU829" s="8"/>
      <c r="AV829" s="8"/>
      <c r="AW829" s="8"/>
      <c r="AX829" s="8"/>
      <c r="AY829" s="8"/>
      <c r="AZ829" s="8"/>
    </row>
    <row r="830" spans="1:52">
      <c r="A830" s="5" t="s">
        <v>144</v>
      </c>
      <c r="B830" s="5">
        <v>1061</v>
      </c>
      <c r="C830" s="19">
        <v>703</v>
      </c>
      <c r="E830" s="14"/>
      <c r="F830" s="11"/>
      <c r="G830" s="11"/>
      <c r="H830" s="11"/>
      <c r="I830" s="11"/>
      <c r="J830" s="25"/>
      <c r="K830" s="11"/>
      <c r="L830" s="11"/>
      <c r="M830" s="19">
        <v>0</v>
      </c>
      <c r="O830" s="6"/>
      <c r="P830" s="16">
        <v>634</v>
      </c>
      <c r="Q830" s="16">
        <v>312</v>
      </c>
      <c r="R830" s="22"/>
      <c r="S830" s="22">
        <f t="shared" si="24"/>
        <v>0</v>
      </c>
      <c r="T830" s="5" t="s">
        <v>1210</v>
      </c>
      <c r="U830" s="5" t="s">
        <v>1210</v>
      </c>
      <c r="Y830" s="8"/>
      <c r="Z830" s="8"/>
      <c r="AA830" s="8"/>
      <c r="AB830" s="8"/>
      <c r="AC830" s="8"/>
      <c r="AD830" s="8"/>
      <c r="AE830" s="25"/>
      <c r="AF830" s="11"/>
      <c r="AG830" s="25"/>
      <c r="AH830" s="11"/>
      <c r="AI830" s="11">
        <v>83</v>
      </c>
      <c r="AJ830" s="19">
        <v>50</v>
      </c>
      <c r="AK830" s="12">
        <f>(AJ830+AI830)/30*7</f>
        <v>31.033333333333335</v>
      </c>
      <c r="AL830" s="6">
        <f>IF(AK830-C830&lt;0,0,AK830-C830)</f>
        <v>0</v>
      </c>
      <c r="AM830" s="6">
        <f>IF(AL830-R830-S830&lt;0,0,AL830-R830-S830)</f>
        <v>0</v>
      </c>
      <c r="AN830" s="5" t="str">
        <f t="shared" si="25"/>
        <v/>
      </c>
      <c r="AO830" s="5">
        <v>0</v>
      </c>
      <c r="AP830" s="9"/>
      <c r="AQ830" s="5" t="s">
        <v>1210</v>
      </c>
      <c r="AR830" s="5" t="s">
        <v>1210</v>
      </c>
      <c r="AS830" s="8"/>
      <c r="AT830" s="8"/>
      <c r="AU830" s="8"/>
      <c r="AV830" s="8"/>
      <c r="AW830" s="8"/>
      <c r="AX830" s="8"/>
      <c r="AY830" s="8"/>
      <c r="AZ830" s="8"/>
    </row>
    <row r="831" spans="1:52">
      <c r="A831" s="5" t="s">
        <v>195</v>
      </c>
      <c r="B831" s="5">
        <v>1004</v>
      </c>
      <c r="C831" s="19">
        <v>426</v>
      </c>
      <c r="E831" s="14"/>
      <c r="F831" s="11"/>
      <c r="G831" s="11"/>
      <c r="H831" s="11"/>
      <c r="I831" s="11"/>
      <c r="J831" s="25"/>
      <c r="K831" s="11"/>
      <c r="L831" s="11"/>
      <c r="M831" s="19">
        <v>8</v>
      </c>
      <c r="O831" s="6"/>
      <c r="P831" s="16">
        <v>888</v>
      </c>
      <c r="Q831" s="16">
        <v>660</v>
      </c>
      <c r="R831" s="22"/>
      <c r="S831" s="22">
        <f t="shared" si="24"/>
        <v>0</v>
      </c>
      <c r="T831" s="5" t="s">
        <v>1210</v>
      </c>
      <c r="U831" s="5" t="s">
        <v>1210</v>
      </c>
      <c r="Y831" s="8"/>
      <c r="Z831" s="8"/>
      <c r="AA831" s="8"/>
      <c r="AB831" s="8"/>
      <c r="AC831" s="8"/>
      <c r="AD831" s="8"/>
      <c r="AE831" s="25"/>
      <c r="AF831" s="11"/>
      <c r="AG831" s="25"/>
      <c r="AH831" s="11"/>
      <c r="AI831" s="11">
        <v>10</v>
      </c>
      <c r="AJ831" s="19">
        <v>50</v>
      </c>
      <c r="AK831" s="12">
        <f>(AJ831+AI831)/30*7</f>
        <v>14</v>
      </c>
      <c r="AL831" s="6">
        <f>IF(AK831-C831&lt;0,0,AK831-C831)</f>
        <v>0</v>
      </c>
      <c r="AM831" s="6">
        <f>IF(AL831-R831-S831&lt;0,0,AL831-R831-S831)</f>
        <v>0</v>
      </c>
      <c r="AN831" s="5" t="str">
        <f t="shared" si="25"/>
        <v/>
      </c>
      <c r="AO831" s="5">
        <v>0</v>
      </c>
      <c r="AP831" s="9"/>
      <c r="AQ831" s="5" t="s">
        <v>1210</v>
      </c>
      <c r="AR831" s="5" t="s">
        <v>1210</v>
      </c>
      <c r="AS831" s="8"/>
      <c r="AT831" s="8"/>
      <c r="AU831" s="8"/>
      <c r="AV831" s="8"/>
      <c r="AW831" s="8"/>
      <c r="AX831" s="8"/>
      <c r="AY831" s="8"/>
      <c r="AZ831" s="8"/>
    </row>
    <row r="832" spans="1:52">
      <c r="A832" s="5" t="s">
        <v>215</v>
      </c>
      <c r="B832" s="5">
        <v>2042</v>
      </c>
      <c r="C832" s="19">
        <v>777</v>
      </c>
      <c r="E832" s="14"/>
      <c r="F832" s="11"/>
      <c r="G832" s="11"/>
      <c r="H832" s="11"/>
      <c r="I832" s="11"/>
      <c r="J832" s="25"/>
      <c r="K832" s="11"/>
      <c r="L832" s="11"/>
      <c r="M832" s="19">
        <v>8</v>
      </c>
      <c r="O832" s="6"/>
      <c r="P832" s="16">
        <v>820</v>
      </c>
      <c r="Q832" s="16">
        <v>0</v>
      </c>
      <c r="R832" s="22"/>
      <c r="S832" s="22">
        <f t="shared" si="24"/>
        <v>0</v>
      </c>
      <c r="T832" s="5" t="s">
        <v>1210</v>
      </c>
      <c r="U832" s="5" t="s">
        <v>1210</v>
      </c>
      <c r="Y832" s="8"/>
      <c r="Z832" s="8"/>
      <c r="AA832" s="8"/>
      <c r="AB832" s="8"/>
      <c r="AC832" s="8"/>
      <c r="AD832" s="8"/>
      <c r="AE832" s="25"/>
      <c r="AF832" s="11"/>
      <c r="AG832" s="25"/>
      <c r="AH832" s="11"/>
      <c r="AI832" s="11">
        <v>3</v>
      </c>
      <c r="AJ832" s="19">
        <v>74</v>
      </c>
      <c r="AK832" s="12">
        <f>(AJ832+AI832)/30*7</f>
        <v>17.966666666666669</v>
      </c>
      <c r="AL832" s="6">
        <f>IF(AK832-C832&lt;0,0,AK832-C832)</f>
        <v>0</v>
      </c>
      <c r="AM832" s="6">
        <f>IF(AL832-R832-S832&lt;0,0,AL832-R832-S832)</f>
        <v>0</v>
      </c>
      <c r="AN832" s="5" t="str">
        <f t="shared" si="25"/>
        <v/>
      </c>
      <c r="AO832" s="5">
        <v>0</v>
      </c>
      <c r="AP832" s="9"/>
      <c r="AQ832" s="5" t="s">
        <v>1229</v>
      </c>
      <c r="AR832" s="5" t="s">
        <v>1210</v>
      </c>
      <c r="AS832" s="8"/>
      <c r="AT832" s="8"/>
      <c r="AU832" s="8"/>
      <c r="AV832" s="8"/>
      <c r="AW832" s="8"/>
      <c r="AX832" s="8"/>
      <c r="AY832" s="8"/>
      <c r="AZ832" s="8"/>
    </row>
    <row r="833" spans="1:52">
      <c r="A833" s="5" t="s">
        <v>235</v>
      </c>
      <c r="B833" s="5">
        <v>1954</v>
      </c>
      <c r="C833" s="19">
        <v>292</v>
      </c>
      <c r="E833" s="14"/>
      <c r="F833" s="11"/>
      <c r="G833" s="11"/>
      <c r="H833" s="11"/>
      <c r="I833" s="11"/>
      <c r="J833" s="25"/>
      <c r="K833" s="11"/>
      <c r="L833" s="11"/>
      <c r="M833" s="19">
        <v>0</v>
      </c>
      <c r="O833" s="6"/>
      <c r="P833" s="16">
        <v>480</v>
      </c>
      <c r="Q833" s="16">
        <v>943</v>
      </c>
      <c r="R833" s="22"/>
      <c r="S833" s="22">
        <f t="shared" si="24"/>
        <v>0</v>
      </c>
      <c r="T833" s="5" t="s">
        <v>1210</v>
      </c>
      <c r="U833" s="5" t="s">
        <v>1210</v>
      </c>
      <c r="Y833" s="8"/>
      <c r="Z833" s="8"/>
      <c r="AA833" s="8"/>
      <c r="AB833" s="8"/>
      <c r="AC833" s="8"/>
      <c r="AD833" s="8"/>
      <c r="AE833" s="25"/>
      <c r="AF833" s="11"/>
      <c r="AG833" s="25"/>
      <c r="AH833" s="11"/>
      <c r="AI833" s="11">
        <v>8</v>
      </c>
      <c r="AJ833" s="19">
        <v>62</v>
      </c>
      <c r="AK833" s="12">
        <f>(AJ833+AI833)/30*7</f>
        <v>16.333333333333336</v>
      </c>
      <c r="AL833" s="6">
        <f>IF(AK833-C833&lt;0,0,AK833-C833)</f>
        <v>0</v>
      </c>
      <c r="AM833" s="6">
        <f>IF(AL833-R833-S833&lt;0,0,AL833-R833-S833)</f>
        <v>0</v>
      </c>
      <c r="AN833" s="5" t="str">
        <f t="shared" si="25"/>
        <v/>
      </c>
      <c r="AO833" s="5">
        <v>0</v>
      </c>
      <c r="AP833" s="9"/>
      <c r="AQ833" s="5" t="s">
        <v>1229</v>
      </c>
      <c r="AR833" s="5" t="s">
        <v>1210</v>
      </c>
      <c r="AS833" s="8"/>
      <c r="AT833" s="8"/>
      <c r="AU833" s="8"/>
      <c r="AV833" s="8"/>
      <c r="AW833" s="8"/>
      <c r="AX833" s="8"/>
      <c r="AY833" s="8"/>
      <c r="AZ833" s="8"/>
    </row>
    <row r="834" spans="1:52">
      <c r="A834" s="5" t="s">
        <v>149</v>
      </c>
      <c r="B834" s="5">
        <v>1100</v>
      </c>
      <c r="C834" s="19">
        <v>738</v>
      </c>
      <c r="E834" s="14"/>
      <c r="F834" s="11"/>
      <c r="G834" s="11"/>
      <c r="H834" s="11"/>
      <c r="I834" s="11"/>
      <c r="J834" s="25"/>
      <c r="K834" s="11"/>
      <c r="L834" s="11"/>
      <c r="M834" s="19">
        <v>0</v>
      </c>
      <c r="O834" s="6"/>
      <c r="P834" s="16">
        <v>353</v>
      </c>
      <c r="Q834" s="16">
        <v>0</v>
      </c>
      <c r="R834" s="22"/>
      <c r="S834" s="22">
        <f t="shared" si="24"/>
        <v>0</v>
      </c>
      <c r="T834" s="5" t="s">
        <v>1210</v>
      </c>
      <c r="U834" s="5" t="s">
        <v>1210</v>
      </c>
      <c r="Y834" s="8"/>
      <c r="Z834" s="8"/>
      <c r="AA834" s="8"/>
      <c r="AB834" s="8"/>
      <c r="AC834" s="8"/>
      <c r="AD834" s="8"/>
      <c r="AE834" s="25"/>
      <c r="AF834" s="11"/>
      <c r="AG834" s="25"/>
      <c r="AH834" s="11"/>
      <c r="AI834" s="11">
        <v>49</v>
      </c>
      <c r="AJ834" s="19">
        <v>56</v>
      </c>
      <c r="AK834" s="12">
        <f>(AJ834+AI834)/30*7</f>
        <v>24.5</v>
      </c>
      <c r="AL834" s="6">
        <f>IF(AK834-C834&lt;0,0,AK834-C834)</f>
        <v>0</v>
      </c>
      <c r="AM834" s="6">
        <f>IF(AL834-R834-S834&lt;0,0,AL834-R834-S834)</f>
        <v>0</v>
      </c>
      <c r="AN834" s="5" t="str">
        <f t="shared" si="25"/>
        <v/>
      </c>
      <c r="AO834" s="5">
        <v>0</v>
      </c>
      <c r="AP834" s="9"/>
      <c r="AQ834" s="5" t="s">
        <v>1210</v>
      </c>
      <c r="AR834" s="5" t="s">
        <v>1210</v>
      </c>
      <c r="AS834" s="8"/>
      <c r="AT834" s="8"/>
      <c r="AU834" s="8"/>
      <c r="AV834" s="8"/>
      <c r="AW834" s="8"/>
      <c r="AX834" s="8"/>
      <c r="AY834" s="8"/>
      <c r="AZ834" s="8"/>
    </row>
    <row r="835" spans="1:52">
      <c r="A835" s="5" t="s">
        <v>179</v>
      </c>
      <c r="B835" s="5">
        <v>1565</v>
      </c>
      <c r="C835" s="19">
        <v>467</v>
      </c>
      <c r="E835" s="14"/>
      <c r="F835" s="11"/>
      <c r="G835" s="11"/>
      <c r="H835" s="11"/>
      <c r="I835" s="11"/>
      <c r="J835" s="25"/>
      <c r="K835" s="11"/>
      <c r="L835" s="11"/>
      <c r="M835" s="19">
        <v>0</v>
      </c>
      <c r="O835" s="6"/>
      <c r="P835" s="16">
        <v>314</v>
      </c>
      <c r="Q835" s="16">
        <v>0</v>
      </c>
      <c r="R835" s="22"/>
      <c r="S835" s="22">
        <f t="shared" si="24"/>
        <v>0</v>
      </c>
      <c r="U835" s="5" t="s">
        <v>1210</v>
      </c>
      <c r="Y835" s="8"/>
      <c r="Z835" s="8"/>
      <c r="AA835" s="8"/>
      <c r="AB835" s="8"/>
      <c r="AC835" s="8"/>
      <c r="AD835" s="8"/>
      <c r="AE835" s="25"/>
      <c r="AF835" s="11"/>
      <c r="AG835" s="25"/>
      <c r="AH835" s="11"/>
      <c r="AI835" s="11">
        <v>64</v>
      </c>
      <c r="AJ835" s="19">
        <v>29</v>
      </c>
      <c r="AK835" s="12">
        <f>(AJ835+AI835)/30*7</f>
        <v>21.7</v>
      </c>
      <c r="AL835" s="6">
        <f>IF(AK835-C835&lt;0,0,AK835-C835)</f>
        <v>0</v>
      </c>
      <c r="AM835" s="6">
        <f>IF(AL835-R835-S835&lt;0,0,AL835-R835-S835)</f>
        <v>0</v>
      </c>
      <c r="AN835" s="5" t="str">
        <f t="shared" si="25"/>
        <v/>
      </c>
      <c r="AO835" s="5">
        <v>0</v>
      </c>
      <c r="AP835" s="9"/>
      <c r="AQ835" s="5" t="s">
        <v>1210</v>
      </c>
      <c r="AR835" s="5" t="s">
        <v>1210</v>
      </c>
      <c r="AS835" s="8"/>
      <c r="AT835" s="8"/>
      <c r="AU835" s="8"/>
      <c r="AV835" s="8"/>
      <c r="AW835" s="8"/>
      <c r="AX835" s="8"/>
      <c r="AY835" s="8"/>
      <c r="AZ835" s="8"/>
    </row>
    <row r="836" spans="1:52">
      <c r="A836" s="5" t="s">
        <v>309</v>
      </c>
      <c r="B836" s="5">
        <v>954</v>
      </c>
      <c r="C836" s="19">
        <v>548</v>
      </c>
      <c r="E836" s="14"/>
      <c r="F836" s="11"/>
      <c r="G836" s="11"/>
      <c r="H836" s="11"/>
      <c r="I836" s="11"/>
      <c r="J836" s="25"/>
      <c r="K836" s="11"/>
      <c r="L836" s="11"/>
      <c r="M836" s="19">
        <v>4</v>
      </c>
      <c r="O836" s="6"/>
      <c r="P836" s="16">
        <v>441</v>
      </c>
      <c r="Q836" s="16">
        <v>939</v>
      </c>
      <c r="R836" s="22"/>
      <c r="S836" s="22">
        <f t="shared" ref="S836:S899" si="26">IF(AL836&gt;0,IF(Q836&gt;=AL836,ROUND(AL836,0),Q836),0)</f>
        <v>0</v>
      </c>
      <c r="T836" s="5" t="s">
        <v>1222</v>
      </c>
      <c r="U836" s="5">
        <v>25</v>
      </c>
      <c r="Y836" s="8"/>
      <c r="Z836" s="8"/>
      <c r="AA836" s="8"/>
      <c r="AB836" s="8"/>
      <c r="AC836" s="8"/>
      <c r="AD836" s="8"/>
      <c r="AE836" s="25"/>
      <c r="AF836" s="11"/>
      <c r="AG836" s="25"/>
      <c r="AH836" s="11"/>
      <c r="AI836" s="11">
        <v>61</v>
      </c>
      <c r="AJ836" s="19">
        <v>86</v>
      </c>
      <c r="AK836" s="12">
        <f>(AJ836+AI836)/30*7</f>
        <v>34.300000000000004</v>
      </c>
      <c r="AL836" s="6">
        <f>IF(AK836-C836&lt;0,0,AK836-C836)</f>
        <v>0</v>
      </c>
      <c r="AM836" s="6">
        <f>IF(AL836-R836-S836&lt;0,0,AL836-R836-S836)</f>
        <v>0</v>
      </c>
      <c r="AN836" s="5" t="str">
        <f t="shared" ref="AN836:AN899" si="27">IF(AM836&gt;0,IF(LEN(U836)=0,IF(ROUND(AM836-AO836,0)&gt;0,ROUND(AM836-AO836,0),""),IF(U836+AO836&gt;=AM836,"",ROUND(AM836-U836-AO836,0))),"")</f>
        <v/>
      </c>
      <c r="AO836" s="5">
        <v>0</v>
      </c>
      <c r="AP836" s="9"/>
      <c r="AQ836" s="5" t="s">
        <v>1210</v>
      </c>
      <c r="AR836" s="5" t="s">
        <v>1210</v>
      </c>
      <c r="AS836" s="8"/>
      <c r="AT836" s="8"/>
      <c r="AU836" s="8"/>
      <c r="AV836" s="8"/>
      <c r="AW836" s="8"/>
      <c r="AX836" s="8"/>
      <c r="AY836" s="8"/>
      <c r="AZ836" s="8"/>
    </row>
    <row r="837" spans="1:52">
      <c r="A837" s="5" t="s">
        <v>228</v>
      </c>
      <c r="B837" s="5">
        <v>1204</v>
      </c>
      <c r="C837" s="19">
        <v>967</v>
      </c>
      <c r="E837" s="14"/>
      <c r="F837" s="11"/>
      <c r="G837" s="11"/>
      <c r="H837" s="11"/>
      <c r="I837" s="11"/>
      <c r="J837" s="25"/>
      <c r="K837" s="11"/>
      <c r="L837" s="11"/>
      <c r="M837" s="19">
        <v>9</v>
      </c>
      <c r="O837" s="6"/>
      <c r="P837" s="16">
        <v>688</v>
      </c>
      <c r="Q837" s="16">
        <v>0</v>
      </c>
      <c r="R837" s="22"/>
      <c r="S837" s="22">
        <f t="shared" si="26"/>
        <v>0</v>
      </c>
      <c r="T837" s="5">
        <v>1801</v>
      </c>
      <c r="U837" s="5">
        <v>431</v>
      </c>
      <c r="Y837" s="8"/>
      <c r="Z837" s="8"/>
      <c r="AA837" s="8"/>
      <c r="AB837" s="8"/>
      <c r="AC837" s="8"/>
      <c r="AD837" s="8"/>
      <c r="AE837" s="25"/>
      <c r="AF837" s="11"/>
      <c r="AG837" s="25"/>
      <c r="AH837" s="11"/>
      <c r="AI837" s="11">
        <v>30</v>
      </c>
      <c r="AJ837" s="19">
        <v>40</v>
      </c>
      <c r="AK837" s="12">
        <f>(AJ837+AI837)/30*7</f>
        <v>16.333333333333336</v>
      </c>
      <c r="AL837" s="6">
        <f>IF(AK837-C837&lt;0,0,AK837-C837)</f>
        <v>0</v>
      </c>
      <c r="AM837" s="6">
        <f>IF(AL837-R837-S837&lt;0,0,AL837-R837-S837)</f>
        <v>0</v>
      </c>
      <c r="AN837" s="5" t="str">
        <f t="shared" si="27"/>
        <v/>
      </c>
      <c r="AO837" s="5">
        <v>0</v>
      </c>
      <c r="AP837" s="9"/>
      <c r="AQ837" s="5" t="s">
        <v>1210</v>
      </c>
      <c r="AR837" s="5" t="s">
        <v>1210</v>
      </c>
      <c r="AS837" s="8"/>
      <c r="AT837" s="8"/>
      <c r="AU837" s="8"/>
      <c r="AV837" s="8"/>
      <c r="AW837" s="8"/>
      <c r="AX837" s="8"/>
      <c r="AY837" s="8"/>
      <c r="AZ837" s="8"/>
    </row>
    <row r="838" spans="1:52">
      <c r="A838" s="5" t="s">
        <v>146</v>
      </c>
      <c r="B838" s="5">
        <v>1018</v>
      </c>
      <c r="C838" s="19">
        <v>376</v>
      </c>
      <c r="E838" s="14"/>
      <c r="F838" s="11"/>
      <c r="G838" s="11"/>
      <c r="H838" s="11"/>
      <c r="I838" s="11"/>
      <c r="J838" s="25"/>
      <c r="K838" s="11"/>
      <c r="L838" s="11"/>
      <c r="M838" s="19">
        <v>0</v>
      </c>
      <c r="O838" s="6"/>
      <c r="P838" s="16">
        <v>369</v>
      </c>
      <c r="Q838" s="16">
        <v>0</v>
      </c>
      <c r="R838" s="22"/>
      <c r="S838" s="22">
        <f t="shared" si="26"/>
        <v>0</v>
      </c>
      <c r="T838" s="5" t="s">
        <v>1210</v>
      </c>
      <c r="U838" s="5" t="s">
        <v>1210</v>
      </c>
      <c r="Y838" s="8"/>
      <c r="Z838" s="8"/>
      <c r="AA838" s="8"/>
      <c r="AB838" s="8"/>
      <c r="AC838" s="8"/>
      <c r="AD838" s="8"/>
      <c r="AE838" s="25"/>
      <c r="AF838" s="11"/>
      <c r="AG838" s="25"/>
      <c r="AH838" s="11"/>
      <c r="AI838" s="11">
        <v>31</v>
      </c>
      <c r="AJ838" s="19">
        <v>81</v>
      </c>
      <c r="AK838" s="12">
        <f>(AJ838+AI838)/30*7</f>
        <v>26.133333333333333</v>
      </c>
      <c r="AL838" s="6">
        <f>IF(AK838-C838&lt;0,0,AK838-C838)</f>
        <v>0</v>
      </c>
      <c r="AM838" s="6">
        <f>IF(AL838-R838-S838&lt;0,0,AL838-R838-S838)</f>
        <v>0</v>
      </c>
      <c r="AN838" s="5" t="str">
        <f t="shared" si="27"/>
        <v/>
      </c>
      <c r="AO838" s="5">
        <v>0</v>
      </c>
      <c r="AP838" s="9"/>
      <c r="AQ838" s="5" t="s">
        <v>1210</v>
      </c>
      <c r="AR838" s="5" t="s">
        <v>1210</v>
      </c>
      <c r="AS838" s="8"/>
      <c r="AT838" s="8"/>
      <c r="AU838" s="8"/>
      <c r="AV838" s="8"/>
      <c r="AW838" s="8"/>
      <c r="AX838" s="8"/>
      <c r="AY838" s="8"/>
      <c r="AZ838" s="8"/>
    </row>
    <row r="839" spans="1:52">
      <c r="A839" s="5" t="s">
        <v>153</v>
      </c>
      <c r="B839" s="5">
        <v>781</v>
      </c>
      <c r="C839" s="19">
        <v>860</v>
      </c>
      <c r="E839" s="14"/>
      <c r="F839" s="11"/>
      <c r="G839" s="11"/>
      <c r="H839" s="11"/>
      <c r="I839" s="11"/>
      <c r="J839" s="25"/>
      <c r="K839" s="11"/>
      <c r="L839" s="11"/>
      <c r="M839" s="19">
        <v>0</v>
      </c>
      <c r="O839" s="6"/>
      <c r="P839" s="16">
        <v>423</v>
      </c>
      <c r="Q839" s="16">
        <v>683</v>
      </c>
      <c r="R839" s="22"/>
      <c r="S839" s="22">
        <f t="shared" si="26"/>
        <v>0</v>
      </c>
      <c r="T839" s="5" t="s">
        <v>1217</v>
      </c>
      <c r="U839" s="5">
        <v>39</v>
      </c>
      <c r="Y839" s="8"/>
      <c r="Z839" s="8"/>
      <c r="AA839" s="8"/>
      <c r="AB839" s="8"/>
      <c r="AC839" s="8"/>
      <c r="AD839" s="8"/>
      <c r="AE839" s="25"/>
      <c r="AF839" s="11"/>
      <c r="AG839" s="25"/>
      <c r="AH839" s="11"/>
      <c r="AI839" s="11">
        <v>9</v>
      </c>
      <c r="AJ839" s="19">
        <v>46</v>
      </c>
      <c r="AK839" s="12">
        <f>(AJ839+AI839)/30*7</f>
        <v>12.833333333333332</v>
      </c>
      <c r="AL839" s="6">
        <f>IF(AK839-C839&lt;0,0,AK839-C839)</f>
        <v>0</v>
      </c>
      <c r="AM839" s="6">
        <f>IF(AL839-R839-S839&lt;0,0,AL839-R839-S839)</f>
        <v>0</v>
      </c>
      <c r="AN839" s="5" t="str">
        <f t="shared" si="27"/>
        <v/>
      </c>
      <c r="AO839" s="5">
        <v>0</v>
      </c>
      <c r="AP839" s="9"/>
      <c r="AQ839" s="5" t="s">
        <v>1210</v>
      </c>
      <c r="AR839" s="5" t="s">
        <v>1210</v>
      </c>
      <c r="AS839" s="8"/>
      <c r="AT839" s="8"/>
      <c r="AU839" s="8"/>
      <c r="AV839" s="8"/>
      <c r="AW839" s="8"/>
      <c r="AX839" s="8"/>
      <c r="AY839" s="8"/>
      <c r="AZ839" s="8"/>
    </row>
    <row r="840" spans="1:52">
      <c r="A840" s="5" t="s">
        <v>185</v>
      </c>
      <c r="B840" s="5">
        <v>1744</v>
      </c>
      <c r="C840" s="19">
        <v>565</v>
      </c>
      <c r="E840" s="14"/>
      <c r="F840" s="11"/>
      <c r="G840" s="11"/>
      <c r="H840" s="11"/>
      <c r="I840" s="11"/>
      <c r="J840" s="25"/>
      <c r="K840" s="11"/>
      <c r="L840" s="11"/>
      <c r="M840" s="19">
        <v>0</v>
      </c>
      <c r="O840" s="6"/>
      <c r="P840" s="16">
        <v>509</v>
      </c>
      <c r="Q840" s="16">
        <v>0</v>
      </c>
      <c r="R840" s="22"/>
      <c r="S840" s="22">
        <f t="shared" si="26"/>
        <v>0</v>
      </c>
      <c r="T840" s="5" t="s">
        <v>1210</v>
      </c>
      <c r="U840" s="5" t="s">
        <v>1210</v>
      </c>
      <c r="Y840" s="8"/>
      <c r="Z840" s="8"/>
      <c r="AA840" s="8"/>
      <c r="AB840" s="8"/>
      <c r="AC840" s="8"/>
      <c r="AD840" s="8"/>
      <c r="AE840" s="25"/>
      <c r="AF840" s="11"/>
      <c r="AG840" s="25"/>
      <c r="AH840" s="11"/>
      <c r="AI840" s="11">
        <v>20</v>
      </c>
      <c r="AJ840" s="19">
        <v>46</v>
      </c>
      <c r="AK840" s="12">
        <f>(AJ840+AI840)/30*7</f>
        <v>15.400000000000002</v>
      </c>
      <c r="AL840" s="6">
        <f>IF(AK840-C840&lt;0,0,AK840-C840)</f>
        <v>0</v>
      </c>
      <c r="AM840" s="6">
        <f>IF(AL840-R840-S840&lt;0,0,AL840-R840-S840)</f>
        <v>0</v>
      </c>
      <c r="AN840" s="5" t="str">
        <f t="shared" si="27"/>
        <v/>
      </c>
      <c r="AO840" s="5">
        <v>0</v>
      </c>
      <c r="AP840" s="9"/>
      <c r="AQ840" s="5" t="s">
        <v>1210</v>
      </c>
      <c r="AR840" s="5" t="s">
        <v>1210</v>
      </c>
      <c r="AS840" s="8"/>
      <c r="AT840" s="8"/>
      <c r="AU840" s="8"/>
      <c r="AV840" s="8"/>
      <c r="AW840" s="8"/>
      <c r="AX840" s="8"/>
      <c r="AY840" s="8"/>
      <c r="AZ840" s="8"/>
    </row>
    <row r="841" spans="1:52">
      <c r="A841" s="5" t="s">
        <v>186</v>
      </c>
      <c r="B841" s="5">
        <v>1729</v>
      </c>
      <c r="C841" s="19">
        <v>349</v>
      </c>
      <c r="E841" s="14"/>
      <c r="F841" s="11"/>
      <c r="G841" s="11"/>
      <c r="H841" s="11"/>
      <c r="I841" s="11"/>
      <c r="J841" s="25"/>
      <c r="K841" s="11"/>
      <c r="L841" s="11"/>
      <c r="M841" s="19">
        <v>2</v>
      </c>
      <c r="O841" s="6"/>
      <c r="P841" s="16">
        <v>919</v>
      </c>
      <c r="Q841" s="16">
        <v>0</v>
      </c>
      <c r="R841" s="22"/>
      <c r="S841" s="22">
        <f t="shared" si="26"/>
        <v>0</v>
      </c>
      <c r="T841" s="5" t="s">
        <v>1210</v>
      </c>
      <c r="U841" s="5" t="s">
        <v>1210</v>
      </c>
      <c r="Y841" s="8"/>
      <c r="Z841" s="8"/>
      <c r="AA841" s="8"/>
      <c r="AB841" s="8"/>
      <c r="AC841" s="8"/>
      <c r="AD841" s="8"/>
      <c r="AE841" s="25"/>
      <c r="AF841" s="11"/>
      <c r="AG841" s="25"/>
      <c r="AH841" s="11"/>
      <c r="AI841" s="11">
        <v>88</v>
      </c>
      <c r="AJ841" s="19">
        <v>70</v>
      </c>
      <c r="AK841" s="12">
        <f>(AJ841+AI841)/30*7</f>
        <v>36.866666666666667</v>
      </c>
      <c r="AL841" s="6">
        <f>IF(AK841-C841&lt;0,0,AK841-C841)</f>
        <v>0</v>
      </c>
      <c r="AM841" s="6">
        <f>IF(AL841-R841-S841&lt;0,0,AL841-R841-S841)</f>
        <v>0</v>
      </c>
      <c r="AN841" s="5" t="str">
        <f t="shared" si="27"/>
        <v/>
      </c>
      <c r="AO841" s="5">
        <v>0</v>
      </c>
      <c r="AP841" s="9"/>
      <c r="AQ841" s="5" t="s">
        <v>1210</v>
      </c>
      <c r="AR841" s="5" t="s">
        <v>1210</v>
      </c>
      <c r="AS841" s="8"/>
      <c r="AT841" s="8"/>
      <c r="AU841" s="8"/>
      <c r="AV841" s="8"/>
      <c r="AW841" s="8"/>
      <c r="AX841" s="8"/>
      <c r="AY841" s="8"/>
      <c r="AZ841" s="8"/>
    </row>
    <row r="842" spans="1:52">
      <c r="A842" s="5" t="s">
        <v>344</v>
      </c>
      <c r="B842" s="5">
        <v>1646</v>
      </c>
      <c r="C842" s="19">
        <v>323</v>
      </c>
      <c r="E842" s="14"/>
      <c r="F842" s="11"/>
      <c r="G842" s="11"/>
      <c r="H842" s="11"/>
      <c r="I842" s="11"/>
      <c r="J842" s="25"/>
      <c r="K842" s="11"/>
      <c r="L842" s="11"/>
      <c r="M842" s="19">
        <v>4</v>
      </c>
      <c r="O842" s="6"/>
      <c r="P842" s="16">
        <v>565</v>
      </c>
      <c r="Q842" s="16">
        <v>573</v>
      </c>
      <c r="R842" s="22"/>
      <c r="S842" s="22">
        <f t="shared" si="26"/>
        <v>0</v>
      </c>
      <c r="T842" s="5" t="s">
        <v>1210</v>
      </c>
      <c r="U842" s="5" t="s">
        <v>1210</v>
      </c>
      <c r="Y842" s="8"/>
      <c r="Z842" s="8"/>
      <c r="AA842" s="8"/>
      <c r="AB842" s="8"/>
      <c r="AC842" s="8"/>
      <c r="AD842" s="8"/>
      <c r="AE842" s="25"/>
      <c r="AF842" s="11"/>
      <c r="AG842" s="25"/>
      <c r="AH842" s="11"/>
      <c r="AI842" s="11">
        <v>42</v>
      </c>
      <c r="AJ842" s="19">
        <v>21</v>
      </c>
      <c r="AK842" s="12">
        <f>(AJ842+AI842)/30*7</f>
        <v>14.700000000000001</v>
      </c>
      <c r="AL842" s="6">
        <f>IF(AK842-C842&lt;0,0,AK842-C842)</f>
        <v>0</v>
      </c>
      <c r="AM842" s="6">
        <f>IF(AL842-R842-S842&lt;0,0,AL842-R842-S842)</f>
        <v>0</v>
      </c>
      <c r="AN842" s="5" t="str">
        <f t="shared" si="27"/>
        <v/>
      </c>
      <c r="AO842" s="5">
        <v>0</v>
      </c>
      <c r="AP842" s="9"/>
      <c r="AQ842" s="5" t="s">
        <v>1229</v>
      </c>
      <c r="AR842" s="5" t="s">
        <v>1210</v>
      </c>
      <c r="AS842" s="8"/>
      <c r="AT842" s="8"/>
      <c r="AU842" s="8"/>
      <c r="AV842" s="8"/>
      <c r="AW842" s="8"/>
      <c r="AX842" s="8"/>
      <c r="AY842" s="8"/>
      <c r="AZ842" s="8"/>
    </row>
    <row r="843" spans="1:52">
      <c r="A843" s="5" t="s">
        <v>138</v>
      </c>
      <c r="B843" s="5">
        <v>1562</v>
      </c>
      <c r="C843" s="19">
        <v>910</v>
      </c>
      <c r="E843" s="14"/>
      <c r="F843" s="11"/>
      <c r="G843" s="11"/>
      <c r="H843" s="11"/>
      <c r="I843" s="11"/>
      <c r="J843" s="25"/>
      <c r="K843" s="11"/>
      <c r="L843" s="11"/>
      <c r="M843" s="19">
        <v>0</v>
      </c>
      <c r="O843" s="6"/>
      <c r="P843" s="16">
        <v>285</v>
      </c>
      <c r="Q843" s="16">
        <v>614</v>
      </c>
      <c r="R843" s="22"/>
      <c r="S843" s="22">
        <f t="shared" si="26"/>
        <v>0</v>
      </c>
      <c r="U843" s="5" t="s">
        <v>1210</v>
      </c>
      <c r="Y843" s="8"/>
      <c r="Z843" s="8"/>
      <c r="AA843" s="8"/>
      <c r="AB843" s="8"/>
      <c r="AC843" s="8"/>
      <c r="AD843" s="8"/>
      <c r="AE843" s="25"/>
      <c r="AF843" s="11"/>
      <c r="AG843" s="25"/>
      <c r="AH843" s="11"/>
      <c r="AI843" s="11">
        <v>57</v>
      </c>
      <c r="AJ843" s="19">
        <v>46</v>
      </c>
      <c r="AK843" s="12">
        <f>(AJ843+AI843)/30*7</f>
        <v>24.033333333333331</v>
      </c>
      <c r="AL843" s="6">
        <f>IF(AK843-C843&lt;0,0,AK843-C843)</f>
        <v>0</v>
      </c>
      <c r="AM843" s="6">
        <f>IF(AL843-R843-S843&lt;0,0,AL843-R843-S843)</f>
        <v>0</v>
      </c>
      <c r="AN843" s="5" t="str">
        <f t="shared" si="27"/>
        <v/>
      </c>
      <c r="AO843" s="5">
        <v>0</v>
      </c>
      <c r="AP843" s="9"/>
      <c r="AQ843" s="5" t="s">
        <v>1210</v>
      </c>
      <c r="AR843" s="5" t="s">
        <v>1210</v>
      </c>
      <c r="AS843" s="8"/>
      <c r="AT843" s="8"/>
      <c r="AU843" s="8"/>
      <c r="AV843" s="8"/>
      <c r="AW843" s="8"/>
      <c r="AX843" s="8"/>
      <c r="AY843" s="8"/>
      <c r="AZ843" s="8"/>
    </row>
    <row r="844" spans="1:52">
      <c r="A844" s="5" t="s">
        <v>202</v>
      </c>
      <c r="B844" s="5">
        <v>791</v>
      </c>
      <c r="C844" s="19">
        <v>207</v>
      </c>
      <c r="E844" s="14"/>
      <c r="F844" s="11"/>
      <c r="G844" s="11"/>
      <c r="H844" s="11"/>
      <c r="I844" s="11"/>
      <c r="J844" s="25"/>
      <c r="K844" s="11"/>
      <c r="L844" s="11"/>
      <c r="M844" s="19">
        <v>0</v>
      </c>
      <c r="O844" s="6"/>
      <c r="P844" s="16">
        <v>707</v>
      </c>
      <c r="Q844" s="16">
        <v>412</v>
      </c>
      <c r="R844" s="22"/>
      <c r="S844" s="22">
        <f t="shared" si="26"/>
        <v>0</v>
      </c>
      <c r="T844" s="5" t="s">
        <v>1210</v>
      </c>
      <c r="U844" s="5" t="s">
        <v>1210</v>
      </c>
      <c r="Y844" s="8"/>
      <c r="Z844" s="8"/>
      <c r="AA844" s="8"/>
      <c r="AB844" s="8"/>
      <c r="AC844" s="8"/>
      <c r="AD844" s="8"/>
      <c r="AE844" s="25"/>
      <c r="AF844" s="11"/>
      <c r="AG844" s="25"/>
      <c r="AH844" s="11"/>
      <c r="AI844" s="11">
        <v>83</v>
      </c>
      <c r="AJ844" s="19">
        <v>49</v>
      </c>
      <c r="AK844" s="12">
        <f>(AJ844+AI844)/30*7</f>
        <v>30.800000000000004</v>
      </c>
      <c r="AL844" s="6">
        <f>IF(AK844-C844&lt;0,0,AK844-C844)</f>
        <v>0</v>
      </c>
      <c r="AM844" s="6">
        <f>IF(AL844-R844-S844&lt;0,0,AL844-R844-S844)</f>
        <v>0</v>
      </c>
      <c r="AN844" s="5" t="str">
        <f t="shared" si="27"/>
        <v/>
      </c>
      <c r="AO844" s="5">
        <v>0</v>
      </c>
      <c r="AP844" s="9"/>
      <c r="AQ844" s="5" t="s">
        <v>1210</v>
      </c>
      <c r="AR844" s="5" t="s">
        <v>1210</v>
      </c>
      <c r="AS844" s="8"/>
      <c r="AT844" s="8"/>
      <c r="AU844" s="8"/>
      <c r="AV844" s="8"/>
      <c r="AW844" s="8"/>
      <c r="AX844" s="8"/>
      <c r="AY844" s="8"/>
      <c r="AZ844" s="8"/>
    </row>
    <row r="845" spans="1:52">
      <c r="A845" s="5" t="s">
        <v>217</v>
      </c>
      <c r="B845" s="5">
        <v>1111</v>
      </c>
      <c r="C845" s="19">
        <v>660</v>
      </c>
      <c r="E845" s="14"/>
      <c r="F845" s="11"/>
      <c r="G845" s="11"/>
      <c r="H845" s="11"/>
      <c r="I845" s="11"/>
      <c r="J845" s="25"/>
      <c r="K845" s="11"/>
      <c r="L845" s="11"/>
      <c r="M845" s="19">
        <v>9</v>
      </c>
      <c r="O845" s="6"/>
      <c r="P845" s="16">
        <v>708</v>
      </c>
      <c r="Q845" s="16">
        <v>0</v>
      </c>
      <c r="R845" s="22"/>
      <c r="S845" s="22">
        <f t="shared" si="26"/>
        <v>0</v>
      </c>
      <c r="T845" s="5" t="s">
        <v>1210</v>
      </c>
      <c r="U845" s="5" t="s">
        <v>1210</v>
      </c>
      <c r="Y845" s="8"/>
      <c r="Z845" s="8"/>
      <c r="AA845" s="8"/>
      <c r="AB845" s="8"/>
      <c r="AC845" s="8"/>
      <c r="AD845" s="8"/>
      <c r="AE845" s="25"/>
      <c r="AF845" s="11"/>
      <c r="AG845" s="25"/>
      <c r="AH845" s="11"/>
      <c r="AI845" s="11">
        <v>4</v>
      </c>
      <c r="AJ845" s="19">
        <v>50</v>
      </c>
      <c r="AK845" s="12">
        <f>(AJ845+AI845)/30*7</f>
        <v>12.6</v>
      </c>
      <c r="AL845" s="6">
        <f>IF(AK845-C845&lt;0,0,AK845-C845)</f>
        <v>0</v>
      </c>
      <c r="AM845" s="6">
        <f>IF(AL845-R845-S845&lt;0,0,AL845-R845-S845)</f>
        <v>0</v>
      </c>
      <c r="AN845" s="5" t="str">
        <f t="shared" si="27"/>
        <v/>
      </c>
      <c r="AO845" s="5">
        <v>0</v>
      </c>
      <c r="AP845" s="9"/>
      <c r="AQ845" s="5" t="s">
        <v>1210</v>
      </c>
      <c r="AR845" s="5" t="s">
        <v>1210</v>
      </c>
      <c r="AS845" s="8"/>
      <c r="AT845" s="8"/>
      <c r="AU845" s="8"/>
      <c r="AV845" s="8"/>
      <c r="AW845" s="8"/>
      <c r="AX845" s="8"/>
      <c r="AY845" s="8"/>
      <c r="AZ845" s="8"/>
    </row>
    <row r="846" spans="1:52">
      <c r="A846" s="5" t="s">
        <v>204</v>
      </c>
      <c r="B846" s="5">
        <v>795</v>
      </c>
      <c r="C846" s="19">
        <v>656</v>
      </c>
      <c r="E846" s="14"/>
      <c r="F846" s="11"/>
      <c r="G846" s="11"/>
      <c r="H846" s="11"/>
      <c r="I846" s="11"/>
      <c r="J846" s="25"/>
      <c r="K846" s="11"/>
      <c r="L846" s="11"/>
      <c r="M846" s="19">
        <v>0</v>
      </c>
      <c r="O846" s="6"/>
      <c r="P846" s="16">
        <v>953</v>
      </c>
      <c r="Q846" s="16">
        <v>0</v>
      </c>
      <c r="R846" s="22"/>
      <c r="S846" s="22">
        <f t="shared" si="26"/>
        <v>0</v>
      </c>
      <c r="T846" s="5" t="s">
        <v>1210</v>
      </c>
      <c r="U846" s="5" t="s">
        <v>1210</v>
      </c>
      <c r="Y846" s="8"/>
      <c r="Z846" s="8"/>
      <c r="AA846" s="8"/>
      <c r="AB846" s="8"/>
      <c r="AC846" s="8"/>
      <c r="AD846" s="8"/>
      <c r="AE846" s="25"/>
      <c r="AF846" s="11"/>
      <c r="AG846" s="25"/>
      <c r="AH846" s="11"/>
      <c r="AI846" s="11">
        <v>23</v>
      </c>
      <c r="AJ846" s="19">
        <v>35</v>
      </c>
      <c r="AK846" s="12">
        <f>(AJ846+AI846)/30*7</f>
        <v>13.533333333333333</v>
      </c>
      <c r="AL846" s="6">
        <f>IF(AK846-C846&lt;0,0,AK846-C846)</f>
        <v>0</v>
      </c>
      <c r="AM846" s="6">
        <f>IF(AL846-R846-S846&lt;0,0,AL846-R846-S846)</f>
        <v>0</v>
      </c>
      <c r="AN846" s="5" t="str">
        <f t="shared" si="27"/>
        <v/>
      </c>
      <c r="AO846" s="5">
        <v>0</v>
      </c>
      <c r="AP846" s="9"/>
      <c r="AQ846" s="5" t="s">
        <v>1210</v>
      </c>
      <c r="AR846" s="5" t="s">
        <v>1210</v>
      </c>
      <c r="AS846" s="8"/>
      <c r="AT846" s="8"/>
      <c r="AU846" s="8"/>
      <c r="AV846" s="8"/>
      <c r="AW846" s="8"/>
      <c r="AX846" s="8"/>
      <c r="AY846" s="8"/>
      <c r="AZ846" s="8"/>
    </row>
    <row r="847" spans="1:52">
      <c r="A847" s="5" t="s">
        <v>127</v>
      </c>
      <c r="B847" s="5">
        <v>908</v>
      </c>
      <c r="C847" s="19">
        <v>343</v>
      </c>
      <c r="E847" s="14"/>
      <c r="F847" s="11"/>
      <c r="G847" s="11"/>
      <c r="H847" s="11"/>
      <c r="I847" s="11"/>
      <c r="J847" s="25"/>
      <c r="K847" s="11"/>
      <c r="L847" s="11"/>
      <c r="M847" s="19">
        <v>10</v>
      </c>
      <c r="O847" s="6"/>
      <c r="P847" s="16">
        <v>453</v>
      </c>
      <c r="Q847" s="16">
        <v>0</v>
      </c>
      <c r="R847" s="22"/>
      <c r="S847" s="22">
        <f t="shared" si="26"/>
        <v>0</v>
      </c>
      <c r="T847" s="5" t="s">
        <v>1210</v>
      </c>
      <c r="U847" s="5" t="s">
        <v>1210</v>
      </c>
      <c r="Y847" s="8"/>
      <c r="Z847" s="8"/>
      <c r="AA847" s="8"/>
      <c r="AB847" s="8"/>
      <c r="AC847" s="8"/>
      <c r="AD847" s="8"/>
      <c r="AE847" s="25"/>
      <c r="AF847" s="11"/>
      <c r="AG847" s="25"/>
      <c r="AH847" s="11"/>
      <c r="AI847" s="11">
        <v>33</v>
      </c>
      <c r="AJ847" s="19">
        <v>49</v>
      </c>
      <c r="AK847" s="12">
        <f>(AJ847+AI847)/30*7</f>
        <v>19.133333333333333</v>
      </c>
      <c r="AL847" s="6">
        <f>IF(AK847-C847&lt;0,0,AK847-C847)</f>
        <v>0</v>
      </c>
      <c r="AM847" s="6">
        <f>IF(AL847-R847-S847&lt;0,0,AL847-R847-S847)</f>
        <v>0</v>
      </c>
      <c r="AN847" s="5" t="str">
        <f t="shared" si="27"/>
        <v/>
      </c>
      <c r="AO847" s="5">
        <v>0</v>
      </c>
      <c r="AP847" s="9"/>
      <c r="AQ847" s="5" t="s">
        <v>1229</v>
      </c>
      <c r="AR847" s="5" t="s">
        <v>1210</v>
      </c>
      <c r="AS847" s="8"/>
      <c r="AT847" s="8"/>
      <c r="AU847" s="8"/>
      <c r="AV847" s="8"/>
      <c r="AW847" s="8"/>
      <c r="AX847" s="8"/>
      <c r="AY847" s="8"/>
      <c r="AZ847" s="8"/>
    </row>
    <row r="848" spans="1:52">
      <c r="A848" s="5" t="s">
        <v>194</v>
      </c>
      <c r="B848" s="5">
        <v>1341</v>
      </c>
      <c r="C848" s="19">
        <v>955</v>
      </c>
      <c r="E848" s="14"/>
      <c r="F848" s="11"/>
      <c r="G848" s="11"/>
      <c r="H848" s="11"/>
      <c r="I848" s="11"/>
      <c r="J848" s="25"/>
      <c r="K848" s="11"/>
      <c r="L848" s="11"/>
      <c r="M848" s="19">
        <v>4</v>
      </c>
      <c r="O848" s="6"/>
      <c r="P848" s="16">
        <v>884</v>
      </c>
      <c r="Q848" s="16">
        <v>0</v>
      </c>
      <c r="R848" s="22"/>
      <c r="S848" s="22">
        <f t="shared" si="26"/>
        <v>0</v>
      </c>
      <c r="T848" s="5" t="s">
        <v>1210</v>
      </c>
      <c r="U848" s="5" t="s">
        <v>1210</v>
      </c>
      <c r="Y848" s="8"/>
      <c r="Z848" s="8"/>
      <c r="AA848" s="8"/>
      <c r="AB848" s="8"/>
      <c r="AC848" s="8"/>
      <c r="AD848" s="8"/>
      <c r="AE848" s="25"/>
      <c r="AF848" s="11"/>
      <c r="AG848" s="25"/>
      <c r="AH848" s="11"/>
      <c r="AI848" s="11">
        <v>5</v>
      </c>
      <c r="AJ848" s="19">
        <v>42</v>
      </c>
      <c r="AK848" s="12">
        <f>(AJ848+AI848)/30*7</f>
        <v>10.966666666666667</v>
      </c>
      <c r="AL848" s="6">
        <f>IF(AK848-C848&lt;0,0,AK848-C848)</f>
        <v>0</v>
      </c>
      <c r="AM848" s="6">
        <f>IF(AL848-R848-S848&lt;0,0,AL848-R848-S848)</f>
        <v>0</v>
      </c>
      <c r="AN848" s="5" t="str">
        <f t="shared" si="27"/>
        <v/>
      </c>
      <c r="AO848" s="5">
        <v>0</v>
      </c>
      <c r="AP848" s="9"/>
      <c r="AQ848" s="5" t="s">
        <v>1229</v>
      </c>
      <c r="AR848" s="5" t="s">
        <v>1210</v>
      </c>
      <c r="AS848" s="8"/>
      <c r="AT848" s="8"/>
      <c r="AU848" s="8"/>
      <c r="AV848" s="8"/>
      <c r="AW848" s="8"/>
      <c r="AX848" s="8"/>
      <c r="AY848" s="8"/>
      <c r="AZ848" s="8"/>
    </row>
    <row r="849" spans="1:52">
      <c r="A849" s="5" t="s">
        <v>301</v>
      </c>
      <c r="B849" s="5">
        <v>1613</v>
      </c>
      <c r="C849" s="19">
        <v>639</v>
      </c>
      <c r="E849" s="14"/>
      <c r="F849" s="11"/>
      <c r="G849" s="11"/>
      <c r="H849" s="11"/>
      <c r="I849" s="11"/>
      <c r="J849" s="25"/>
      <c r="K849" s="11"/>
      <c r="L849" s="11"/>
      <c r="M849" s="19">
        <v>6</v>
      </c>
      <c r="O849" s="6"/>
      <c r="P849" s="16">
        <v>848</v>
      </c>
      <c r="Q849" s="16">
        <v>0</v>
      </c>
      <c r="R849" s="22"/>
      <c r="S849" s="22">
        <f t="shared" si="26"/>
        <v>0</v>
      </c>
      <c r="T849" s="5" t="s">
        <v>1210</v>
      </c>
      <c r="U849" s="5" t="s">
        <v>1210</v>
      </c>
      <c r="Y849" s="8"/>
      <c r="Z849" s="8"/>
      <c r="AA849" s="8"/>
      <c r="AB849" s="8"/>
      <c r="AC849" s="8"/>
      <c r="AD849" s="8"/>
      <c r="AE849" s="25"/>
      <c r="AF849" s="11"/>
      <c r="AG849" s="25"/>
      <c r="AH849" s="11"/>
      <c r="AI849" s="11">
        <v>3</v>
      </c>
      <c r="AJ849" s="19">
        <v>48</v>
      </c>
      <c r="AK849" s="12">
        <f>(AJ849+AI849)/30*7</f>
        <v>11.9</v>
      </c>
      <c r="AL849" s="6">
        <f>IF(AK849-C849&lt;0,0,AK849-C849)</f>
        <v>0</v>
      </c>
      <c r="AM849" s="6">
        <f>IF(AL849-R849-S849&lt;0,0,AL849-R849-S849)</f>
        <v>0</v>
      </c>
      <c r="AN849" s="5" t="str">
        <f t="shared" si="27"/>
        <v/>
      </c>
      <c r="AO849" s="5">
        <v>0</v>
      </c>
      <c r="AP849" s="9"/>
      <c r="AQ849" s="5" t="s">
        <v>1229</v>
      </c>
      <c r="AR849" s="5" t="s">
        <v>1210</v>
      </c>
      <c r="AS849" s="8"/>
      <c r="AT849" s="8"/>
      <c r="AU849" s="8"/>
      <c r="AV849" s="8"/>
      <c r="AW849" s="8"/>
      <c r="AX849" s="8"/>
      <c r="AY849" s="8"/>
      <c r="AZ849" s="8"/>
    </row>
    <row r="850" spans="1:52">
      <c r="A850" s="5" t="s">
        <v>198</v>
      </c>
      <c r="B850" s="5">
        <v>1325</v>
      </c>
      <c r="C850" s="19">
        <v>231</v>
      </c>
      <c r="E850" s="14"/>
      <c r="F850" s="11"/>
      <c r="G850" s="11"/>
      <c r="H850" s="11"/>
      <c r="I850" s="11"/>
      <c r="J850" s="25"/>
      <c r="K850" s="11"/>
      <c r="L850" s="11"/>
      <c r="M850" s="19">
        <v>7</v>
      </c>
      <c r="O850" s="6"/>
      <c r="P850" s="16">
        <v>338</v>
      </c>
      <c r="Q850" s="16">
        <v>0</v>
      </c>
      <c r="R850" s="22"/>
      <c r="S850" s="22">
        <f t="shared" si="26"/>
        <v>0</v>
      </c>
      <c r="T850" s="5" t="s">
        <v>1210</v>
      </c>
      <c r="U850" s="5" t="s">
        <v>1210</v>
      </c>
      <c r="Y850" s="8"/>
      <c r="Z850" s="8"/>
      <c r="AA850" s="8"/>
      <c r="AB850" s="8"/>
      <c r="AC850" s="8"/>
      <c r="AD850" s="8"/>
      <c r="AE850" s="25"/>
      <c r="AF850" s="11"/>
      <c r="AG850" s="25"/>
      <c r="AH850" s="11"/>
      <c r="AI850" s="11">
        <v>38</v>
      </c>
      <c r="AJ850" s="19">
        <v>43</v>
      </c>
      <c r="AK850" s="12">
        <f>(AJ850+AI850)/30*7</f>
        <v>18.900000000000002</v>
      </c>
      <c r="AL850" s="6">
        <f>IF(AK850-C850&lt;0,0,AK850-C850)</f>
        <v>0</v>
      </c>
      <c r="AM850" s="6">
        <f>IF(AL850-R850-S850&lt;0,0,AL850-R850-S850)</f>
        <v>0</v>
      </c>
      <c r="AN850" s="5" t="str">
        <f t="shared" si="27"/>
        <v/>
      </c>
      <c r="AO850" s="5">
        <v>0</v>
      </c>
      <c r="AP850" s="9"/>
      <c r="AQ850" s="5" t="s">
        <v>1210</v>
      </c>
      <c r="AR850" s="5" t="s">
        <v>1210</v>
      </c>
      <c r="AS850" s="8"/>
      <c r="AT850" s="8"/>
      <c r="AU850" s="8"/>
      <c r="AV850" s="8"/>
      <c r="AW850" s="8"/>
      <c r="AX850" s="8"/>
      <c r="AY850" s="8"/>
      <c r="AZ850" s="8"/>
    </row>
    <row r="851" spans="1:52">
      <c r="A851" s="5" t="s">
        <v>172</v>
      </c>
      <c r="B851" s="5">
        <v>1374</v>
      </c>
      <c r="C851" s="19">
        <v>278</v>
      </c>
      <c r="E851" s="14"/>
      <c r="F851" s="11"/>
      <c r="G851" s="11"/>
      <c r="H851" s="11"/>
      <c r="I851" s="11"/>
      <c r="J851" s="25"/>
      <c r="K851" s="11"/>
      <c r="L851" s="11"/>
      <c r="M851" s="19">
        <v>1</v>
      </c>
      <c r="O851" s="6"/>
      <c r="P851" s="16">
        <v>766</v>
      </c>
      <c r="Q851" s="16">
        <v>0</v>
      </c>
      <c r="R851" s="22"/>
      <c r="S851" s="22">
        <f t="shared" si="26"/>
        <v>0</v>
      </c>
      <c r="T851" s="5" t="s">
        <v>1210</v>
      </c>
      <c r="U851" s="5" t="s">
        <v>1210</v>
      </c>
      <c r="Y851" s="8"/>
      <c r="Z851" s="8"/>
      <c r="AA851" s="8"/>
      <c r="AB851" s="8"/>
      <c r="AC851" s="8"/>
      <c r="AD851" s="8"/>
      <c r="AE851" s="25"/>
      <c r="AF851" s="11"/>
      <c r="AG851" s="25"/>
      <c r="AH851" s="11"/>
      <c r="AI851" s="11">
        <v>56</v>
      </c>
      <c r="AJ851" s="19">
        <v>32</v>
      </c>
      <c r="AK851" s="12">
        <f>(AJ851+AI851)/30*7</f>
        <v>20.533333333333331</v>
      </c>
      <c r="AL851" s="6">
        <f>IF(AK851-C851&lt;0,0,AK851-C851)</f>
        <v>0</v>
      </c>
      <c r="AM851" s="6">
        <f>IF(AL851-R851-S851&lt;0,0,AL851-R851-S851)</f>
        <v>0</v>
      </c>
      <c r="AN851" s="5" t="str">
        <f t="shared" si="27"/>
        <v/>
      </c>
      <c r="AO851" s="5">
        <v>0</v>
      </c>
      <c r="AP851" s="9"/>
      <c r="AQ851" s="5" t="s">
        <v>1210</v>
      </c>
      <c r="AR851" s="5" t="s">
        <v>1210</v>
      </c>
      <c r="AS851" s="8"/>
      <c r="AT851" s="8"/>
      <c r="AU851" s="8"/>
      <c r="AV851" s="8"/>
      <c r="AW851" s="8"/>
      <c r="AX851" s="8"/>
      <c r="AY851" s="8"/>
      <c r="AZ851" s="8"/>
    </row>
    <row r="852" spans="1:52">
      <c r="A852" s="5" t="s">
        <v>471</v>
      </c>
      <c r="B852" s="5">
        <v>1921</v>
      </c>
      <c r="C852" s="19">
        <v>702</v>
      </c>
      <c r="E852" s="14"/>
      <c r="F852" s="11"/>
      <c r="G852" s="11"/>
      <c r="H852" s="11"/>
      <c r="I852" s="11"/>
      <c r="J852" s="25"/>
      <c r="K852" s="11"/>
      <c r="L852" s="11"/>
      <c r="M852" s="19">
        <v>0</v>
      </c>
      <c r="O852" s="6"/>
      <c r="P852" s="16">
        <v>602</v>
      </c>
      <c r="Q852" s="16">
        <v>0</v>
      </c>
      <c r="R852" s="22"/>
      <c r="S852" s="22">
        <f t="shared" si="26"/>
        <v>0</v>
      </c>
      <c r="T852" s="5" t="s">
        <v>1210</v>
      </c>
      <c r="U852" s="5" t="s">
        <v>1210</v>
      </c>
      <c r="Y852" s="8"/>
      <c r="Z852" s="8"/>
      <c r="AA852" s="8"/>
      <c r="AB852" s="8"/>
      <c r="AC852" s="8"/>
      <c r="AD852" s="8"/>
      <c r="AE852" s="25"/>
      <c r="AF852" s="11"/>
      <c r="AG852" s="25"/>
      <c r="AH852" s="11"/>
      <c r="AI852" s="11">
        <v>49</v>
      </c>
      <c r="AJ852" s="19">
        <v>28</v>
      </c>
      <c r="AK852" s="12">
        <f>(AJ852+AI852)/30*7</f>
        <v>17.966666666666669</v>
      </c>
      <c r="AL852" s="6">
        <f>IF(AK852-C852&lt;0,0,AK852-C852)</f>
        <v>0</v>
      </c>
      <c r="AM852" s="6">
        <f>IF(AL852-R852-S852&lt;0,0,AL852-R852-S852)</f>
        <v>0</v>
      </c>
      <c r="AN852" s="5" t="str">
        <f t="shared" si="27"/>
        <v/>
      </c>
      <c r="AO852" s="5">
        <v>0</v>
      </c>
      <c r="AP852" s="9"/>
      <c r="AQ852" s="5" t="s">
        <v>1210</v>
      </c>
      <c r="AR852" s="5" t="s">
        <v>1210</v>
      </c>
      <c r="AS852" s="8"/>
      <c r="AT852" s="8"/>
      <c r="AU852" s="8"/>
      <c r="AV852" s="8"/>
      <c r="AW852" s="8"/>
      <c r="AX852" s="8"/>
      <c r="AY852" s="8"/>
      <c r="AZ852" s="8"/>
    </row>
    <row r="853" spans="1:52">
      <c r="A853" s="5" t="s">
        <v>207</v>
      </c>
      <c r="B853" s="5">
        <v>782</v>
      </c>
      <c r="C853" s="19">
        <v>916</v>
      </c>
      <c r="E853" s="14"/>
      <c r="F853" s="11"/>
      <c r="G853" s="11"/>
      <c r="H853" s="11"/>
      <c r="I853" s="11"/>
      <c r="J853" s="25"/>
      <c r="K853" s="11"/>
      <c r="L853" s="11"/>
      <c r="M853" s="19">
        <v>0</v>
      </c>
      <c r="O853" s="6"/>
      <c r="P853" s="16">
        <v>739</v>
      </c>
      <c r="Q853" s="16">
        <v>0</v>
      </c>
      <c r="R853" s="22"/>
      <c r="S853" s="22">
        <f t="shared" si="26"/>
        <v>0</v>
      </c>
      <c r="T853" s="5" t="s">
        <v>1210</v>
      </c>
      <c r="U853" s="5" t="s">
        <v>1210</v>
      </c>
      <c r="Y853" s="8"/>
      <c r="Z853" s="8"/>
      <c r="AA853" s="8"/>
      <c r="AB853" s="8"/>
      <c r="AC853" s="8"/>
      <c r="AD853" s="8"/>
      <c r="AE853" s="25"/>
      <c r="AF853" s="11"/>
      <c r="AG853" s="25"/>
      <c r="AH853" s="11"/>
      <c r="AI853" s="11">
        <v>70</v>
      </c>
      <c r="AJ853" s="19">
        <v>26</v>
      </c>
      <c r="AK853" s="12">
        <f>(AJ853+AI853)/30*7</f>
        <v>22.400000000000002</v>
      </c>
      <c r="AL853" s="6">
        <f>IF(AK853-C853&lt;0,0,AK853-C853)</f>
        <v>0</v>
      </c>
      <c r="AM853" s="6">
        <f>IF(AL853-R853-S853&lt;0,0,AL853-R853-S853)</f>
        <v>0</v>
      </c>
      <c r="AN853" s="5" t="str">
        <f t="shared" si="27"/>
        <v/>
      </c>
      <c r="AO853" s="5">
        <v>0</v>
      </c>
      <c r="AP853" s="9"/>
      <c r="AQ853" s="5" t="s">
        <v>1210</v>
      </c>
      <c r="AR853" s="5" t="s">
        <v>1210</v>
      </c>
      <c r="AS853" s="8"/>
      <c r="AT853" s="8"/>
      <c r="AU853" s="8"/>
      <c r="AV853" s="8"/>
      <c r="AW853" s="8"/>
      <c r="AX853" s="8"/>
      <c r="AY853" s="8"/>
      <c r="AZ853" s="8"/>
    </row>
    <row r="854" spans="1:52">
      <c r="A854" s="5" t="s">
        <v>214</v>
      </c>
      <c r="B854" s="5">
        <v>794</v>
      </c>
      <c r="C854" s="19">
        <v>885</v>
      </c>
      <c r="E854" s="14"/>
      <c r="F854" s="11"/>
      <c r="G854" s="11"/>
      <c r="H854" s="11"/>
      <c r="I854" s="11"/>
      <c r="J854" s="25"/>
      <c r="K854" s="11"/>
      <c r="L854" s="11"/>
      <c r="M854" s="19">
        <v>0</v>
      </c>
      <c r="O854" s="6"/>
      <c r="P854" s="16">
        <v>891</v>
      </c>
      <c r="Q854" s="16">
        <v>554</v>
      </c>
      <c r="R854" s="22"/>
      <c r="S854" s="22">
        <f t="shared" si="26"/>
        <v>0</v>
      </c>
      <c r="T854" s="5" t="s">
        <v>1210</v>
      </c>
      <c r="U854" s="5" t="s">
        <v>1210</v>
      </c>
      <c r="Y854" s="8"/>
      <c r="Z854" s="8"/>
      <c r="AA854" s="8"/>
      <c r="AB854" s="8"/>
      <c r="AC854" s="8"/>
      <c r="AD854" s="8"/>
      <c r="AE854" s="25"/>
      <c r="AF854" s="11"/>
      <c r="AG854" s="25"/>
      <c r="AH854" s="11"/>
      <c r="AI854" s="11">
        <v>20</v>
      </c>
      <c r="AJ854" s="19">
        <v>47</v>
      </c>
      <c r="AK854" s="12">
        <f>(AJ854+AI854)/30*7</f>
        <v>15.633333333333333</v>
      </c>
      <c r="AL854" s="6">
        <f>IF(AK854-C854&lt;0,0,AK854-C854)</f>
        <v>0</v>
      </c>
      <c r="AM854" s="6">
        <f>IF(AL854-R854-S854&lt;0,0,AL854-R854-S854)</f>
        <v>0</v>
      </c>
      <c r="AN854" s="5" t="str">
        <f t="shared" si="27"/>
        <v/>
      </c>
      <c r="AO854" s="5">
        <v>0</v>
      </c>
      <c r="AP854" s="9"/>
      <c r="AQ854" s="5" t="s">
        <v>1210</v>
      </c>
      <c r="AR854" s="5" t="s">
        <v>1210</v>
      </c>
      <c r="AS854" s="8"/>
      <c r="AT854" s="8"/>
      <c r="AU854" s="8"/>
      <c r="AV854" s="8"/>
      <c r="AW854" s="8"/>
      <c r="AX854" s="8"/>
      <c r="AY854" s="8"/>
      <c r="AZ854" s="8"/>
    </row>
    <row r="855" spans="1:52">
      <c r="A855" s="5" t="s">
        <v>262</v>
      </c>
      <c r="B855" s="5">
        <v>1332</v>
      </c>
      <c r="C855" s="19">
        <v>950</v>
      </c>
      <c r="E855" s="14"/>
      <c r="F855" s="11"/>
      <c r="G855" s="11"/>
      <c r="H855" s="11"/>
      <c r="I855" s="11"/>
      <c r="J855" s="25"/>
      <c r="K855" s="11"/>
      <c r="L855" s="11"/>
      <c r="M855" s="19">
        <v>0</v>
      </c>
      <c r="O855" s="6"/>
      <c r="P855" s="16">
        <v>995</v>
      </c>
      <c r="Q855" s="16">
        <v>0</v>
      </c>
      <c r="R855" s="22"/>
      <c r="S855" s="22">
        <f t="shared" si="26"/>
        <v>0</v>
      </c>
      <c r="T855" s="5" t="s">
        <v>1210</v>
      </c>
      <c r="U855" s="5" t="s">
        <v>1210</v>
      </c>
      <c r="Y855" s="8"/>
      <c r="Z855" s="8"/>
      <c r="AA855" s="8"/>
      <c r="AB855" s="8"/>
      <c r="AC855" s="8"/>
      <c r="AD855" s="8"/>
      <c r="AE855" s="25"/>
      <c r="AF855" s="11"/>
      <c r="AG855" s="25"/>
      <c r="AH855" s="11"/>
      <c r="AI855" s="11">
        <v>25</v>
      </c>
      <c r="AJ855" s="19">
        <v>26</v>
      </c>
      <c r="AK855" s="12">
        <f>(AJ855+AI855)/30*7</f>
        <v>11.9</v>
      </c>
      <c r="AL855" s="6">
        <f>IF(AK855-C855&lt;0,0,AK855-C855)</f>
        <v>0</v>
      </c>
      <c r="AM855" s="6">
        <f>IF(AL855-R855-S855&lt;0,0,AL855-R855-S855)</f>
        <v>0</v>
      </c>
      <c r="AN855" s="5" t="str">
        <f t="shared" si="27"/>
        <v/>
      </c>
      <c r="AO855" s="5">
        <v>0</v>
      </c>
      <c r="AP855" s="9"/>
      <c r="AQ855" s="5" t="s">
        <v>1210</v>
      </c>
      <c r="AR855" s="5" t="s">
        <v>1210</v>
      </c>
      <c r="AS855" s="8"/>
      <c r="AT855" s="8"/>
      <c r="AU855" s="8"/>
      <c r="AV855" s="8"/>
      <c r="AW855" s="8"/>
      <c r="AX855" s="8"/>
      <c r="AY855" s="8"/>
      <c r="AZ855" s="8"/>
    </row>
    <row r="856" spans="1:52">
      <c r="A856" s="5" t="s">
        <v>99</v>
      </c>
      <c r="B856" s="5">
        <v>1827</v>
      </c>
      <c r="C856" s="19">
        <v>723</v>
      </c>
      <c r="E856" s="14"/>
      <c r="F856" s="11"/>
      <c r="G856" s="11"/>
      <c r="H856" s="11"/>
      <c r="I856" s="11"/>
      <c r="J856" s="25"/>
      <c r="K856" s="11"/>
      <c r="L856" s="11"/>
      <c r="M856" s="19">
        <v>0</v>
      </c>
      <c r="O856" s="6"/>
      <c r="P856" s="16">
        <v>525</v>
      </c>
      <c r="Q856" s="16">
        <v>0</v>
      </c>
      <c r="R856" s="22"/>
      <c r="S856" s="22">
        <f t="shared" si="26"/>
        <v>0</v>
      </c>
      <c r="T856" s="5" t="s">
        <v>1210</v>
      </c>
      <c r="U856" s="5" t="s">
        <v>1210</v>
      </c>
      <c r="Y856" s="8"/>
      <c r="Z856" s="8"/>
      <c r="AA856" s="8"/>
      <c r="AB856" s="8"/>
      <c r="AC856" s="8"/>
      <c r="AD856" s="8"/>
      <c r="AE856" s="25"/>
      <c r="AF856" s="11"/>
      <c r="AG856" s="25"/>
      <c r="AH856" s="11"/>
      <c r="AI856" s="11">
        <v>11</v>
      </c>
      <c r="AJ856" s="19">
        <v>38</v>
      </c>
      <c r="AK856" s="12">
        <f>(AJ856+AI856)/30*7</f>
        <v>11.433333333333334</v>
      </c>
      <c r="AL856" s="6">
        <f>IF(AK856-C856&lt;0,0,AK856-C856)</f>
        <v>0</v>
      </c>
      <c r="AM856" s="6">
        <f>IF(AL856-R856-S856&lt;0,0,AL856-R856-S856)</f>
        <v>0</v>
      </c>
      <c r="AN856" s="5" t="str">
        <f t="shared" si="27"/>
        <v/>
      </c>
      <c r="AO856" s="5">
        <v>0</v>
      </c>
      <c r="AP856" s="9"/>
      <c r="AQ856" s="5" t="s">
        <v>1210</v>
      </c>
      <c r="AR856" s="5" t="s">
        <v>1210</v>
      </c>
      <c r="AS856" s="8"/>
      <c r="AT856" s="8"/>
      <c r="AU856" s="8"/>
      <c r="AV856" s="8"/>
      <c r="AW856" s="8"/>
      <c r="AX856" s="8"/>
      <c r="AY856" s="8"/>
      <c r="AZ856" s="8"/>
    </row>
    <row r="857" spans="1:52">
      <c r="A857" s="5" t="s">
        <v>259</v>
      </c>
      <c r="B857" s="5">
        <v>980</v>
      </c>
      <c r="C857" s="19">
        <v>225</v>
      </c>
      <c r="E857" s="14"/>
      <c r="F857" s="11"/>
      <c r="G857" s="11"/>
      <c r="H857" s="11"/>
      <c r="I857" s="11"/>
      <c r="J857" s="25"/>
      <c r="K857" s="11"/>
      <c r="L857" s="11"/>
      <c r="M857" s="19">
        <v>9</v>
      </c>
      <c r="O857" s="6"/>
      <c r="P857" s="16">
        <v>625</v>
      </c>
      <c r="Q857" s="16">
        <v>810</v>
      </c>
      <c r="R857" s="22"/>
      <c r="S857" s="22">
        <f t="shared" si="26"/>
        <v>0</v>
      </c>
      <c r="T857" s="5" t="s">
        <v>1210</v>
      </c>
      <c r="U857" s="5" t="s">
        <v>1210</v>
      </c>
      <c r="Y857" s="8"/>
      <c r="Z857" s="8"/>
      <c r="AA857" s="8"/>
      <c r="AB857" s="8"/>
      <c r="AC857" s="8"/>
      <c r="AD857" s="8"/>
      <c r="AE857" s="25"/>
      <c r="AF857" s="11"/>
      <c r="AG857" s="25"/>
      <c r="AH857" s="11"/>
      <c r="AI857" s="11">
        <v>72</v>
      </c>
      <c r="AJ857" s="19">
        <v>36</v>
      </c>
      <c r="AK857" s="12">
        <f>(AJ857+AI857)/30*7</f>
        <v>25.2</v>
      </c>
      <c r="AL857" s="6">
        <f>IF(AK857-C857&lt;0,0,AK857-C857)</f>
        <v>0</v>
      </c>
      <c r="AM857" s="6">
        <f>IF(AL857-R857-S857&lt;0,0,AL857-R857-S857)</f>
        <v>0</v>
      </c>
      <c r="AN857" s="5" t="str">
        <f t="shared" si="27"/>
        <v/>
      </c>
      <c r="AO857" s="5">
        <v>0</v>
      </c>
      <c r="AP857" s="9"/>
      <c r="AQ857" s="5" t="s">
        <v>1210</v>
      </c>
      <c r="AR857" s="5" t="s">
        <v>1210</v>
      </c>
      <c r="AS857" s="8"/>
      <c r="AT857" s="8"/>
      <c r="AU857" s="8"/>
      <c r="AV857" s="8"/>
      <c r="AW857" s="8"/>
      <c r="AX857" s="8"/>
      <c r="AY857" s="8"/>
      <c r="AZ857" s="8"/>
    </row>
    <row r="858" spans="1:52">
      <c r="A858" s="5" t="s">
        <v>178</v>
      </c>
      <c r="B858" s="5">
        <v>1035</v>
      </c>
      <c r="C858" s="19">
        <v>621</v>
      </c>
      <c r="E858" s="14"/>
      <c r="F858" s="11"/>
      <c r="G858" s="11"/>
      <c r="H858" s="11"/>
      <c r="I858" s="11"/>
      <c r="J858" s="25"/>
      <c r="K858" s="11"/>
      <c r="L858" s="11"/>
      <c r="M858" s="19">
        <v>0</v>
      </c>
      <c r="O858" s="6"/>
      <c r="P858" s="16">
        <v>802</v>
      </c>
      <c r="Q858" s="16">
        <v>0</v>
      </c>
      <c r="R858" s="22"/>
      <c r="S858" s="22">
        <f t="shared" si="26"/>
        <v>0</v>
      </c>
      <c r="T858" s="5" t="s">
        <v>1210</v>
      </c>
      <c r="U858" s="5" t="s">
        <v>1210</v>
      </c>
      <c r="Y858" s="8"/>
      <c r="Z858" s="8"/>
      <c r="AA858" s="8"/>
      <c r="AB858" s="8"/>
      <c r="AC858" s="8"/>
      <c r="AD858" s="8"/>
      <c r="AE858" s="25"/>
      <c r="AF858" s="11"/>
      <c r="AG858" s="25"/>
      <c r="AH858" s="11"/>
      <c r="AI858" s="11">
        <v>56</v>
      </c>
      <c r="AJ858" s="19">
        <v>46</v>
      </c>
      <c r="AK858" s="12">
        <f>(AJ858+AI858)/30*7</f>
        <v>23.8</v>
      </c>
      <c r="AL858" s="6">
        <f>IF(AK858-C858&lt;0,0,AK858-C858)</f>
        <v>0</v>
      </c>
      <c r="AM858" s="6">
        <f>IF(AL858-R858-S858&lt;0,0,AL858-R858-S858)</f>
        <v>0</v>
      </c>
      <c r="AN858" s="5" t="str">
        <f t="shared" si="27"/>
        <v/>
      </c>
      <c r="AO858" s="5">
        <v>0</v>
      </c>
      <c r="AP858" s="9"/>
      <c r="AQ858" s="5" t="s">
        <v>1210</v>
      </c>
      <c r="AR858" s="5" t="s">
        <v>1210</v>
      </c>
      <c r="AS858" s="8"/>
      <c r="AT858" s="8"/>
      <c r="AU858" s="8"/>
      <c r="AV858" s="8"/>
      <c r="AW858" s="8"/>
      <c r="AX858" s="8"/>
      <c r="AY858" s="8"/>
      <c r="AZ858" s="8"/>
    </row>
    <row r="859" spans="1:52">
      <c r="A859" s="5" t="s">
        <v>212</v>
      </c>
      <c r="B859" s="5">
        <v>1158</v>
      </c>
      <c r="C859" s="19">
        <v>595</v>
      </c>
      <c r="E859" s="14"/>
      <c r="F859" s="11"/>
      <c r="G859" s="11"/>
      <c r="H859" s="11"/>
      <c r="I859" s="11"/>
      <c r="J859" s="25"/>
      <c r="K859" s="11"/>
      <c r="L859" s="11"/>
      <c r="M859" s="19">
        <v>0</v>
      </c>
      <c r="O859" s="6"/>
      <c r="P859" s="16">
        <v>603</v>
      </c>
      <c r="Q859" s="16">
        <v>0</v>
      </c>
      <c r="R859" s="22"/>
      <c r="S859" s="22">
        <f t="shared" si="26"/>
        <v>0</v>
      </c>
      <c r="T859" s="5" t="s">
        <v>1210</v>
      </c>
      <c r="U859" s="5" t="s">
        <v>1210</v>
      </c>
      <c r="Y859" s="8"/>
      <c r="Z859" s="8"/>
      <c r="AA859" s="8"/>
      <c r="AB859" s="8"/>
      <c r="AC859" s="8"/>
      <c r="AD859" s="8"/>
      <c r="AE859" s="25"/>
      <c r="AF859" s="11"/>
      <c r="AG859" s="25"/>
      <c r="AH859" s="11"/>
      <c r="AI859" s="11">
        <v>80</v>
      </c>
      <c r="AJ859" s="19">
        <v>34</v>
      </c>
      <c r="AK859" s="12">
        <f>(AJ859+AI859)/30*7</f>
        <v>26.599999999999998</v>
      </c>
      <c r="AL859" s="6">
        <f>IF(AK859-C859&lt;0,0,AK859-C859)</f>
        <v>0</v>
      </c>
      <c r="AM859" s="6">
        <f>IF(AL859-R859-S859&lt;0,0,AL859-R859-S859)</f>
        <v>0</v>
      </c>
      <c r="AN859" s="5" t="str">
        <f t="shared" si="27"/>
        <v/>
      </c>
      <c r="AO859" s="5">
        <v>0</v>
      </c>
      <c r="AP859" s="9"/>
      <c r="AQ859" s="5" t="s">
        <v>1210</v>
      </c>
      <c r="AR859" s="5" t="s">
        <v>1210</v>
      </c>
      <c r="AS859" s="8"/>
      <c r="AT859" s="8"/>
      <c r="AU859" s="8"/>
      <c r="AV859" s="8"/>
      <c r="AW859" s="8"/>
      <c r="AX859" s="8"/>
      <c r="AY859" s="8"/>
      <c r="AZ859" s="8"/>
    </row>
    <row r="860" spans="1:52">
      <c r="A860" s="5" t="s">
        <v>183</v>
      </c>
      <c r="B860" s="5">
        <v>687</v>
      </c>
      <c r="C860" s="19">
        <v>828</v>
      </c>
      <c r="E860" s="14"/>
      <c r="F860" s="11"/>
      <c r="G860" s="11"/>
      <c r="H860" s="11"/>
      <c r="I860" s="11"/>
      <c r="J860" s="25"/>
      <c r="K860" s="11"/>
      <c r="L860" s="11"/>
      <c r="M860" s="19">
        <v>0</v>
      </c>
      <c r="O860" s="6"/>
      <c r="P860" s="16">
        <v>926</v>
      </c>
      <c r="Q860" s="16">
        <v>0</v>
      </c>
      <c r="R860" s="22"/>
      <c r="S860" s="22">
        <f t="shared" si="26"/>
        <v>0</v>
      </c>
      <c r="T860" s="5" t="s">
        <v>1210</v>
      </c>
      <c r="U860" s="5" t="s">
        <v>1210</v>
      </c>
      <c r="Y860" s="8"/>
      <c r="Z860" s="8"/>
      <c r="AA860" s="8"/>
      <c r="AB860" s="8"/>
      <c r="AC860" s="8"/>
      <c r="AD860" s="8"/>
      <c r="AE860" s="25"/>
      <c r="AF860" s="11"/>
      <c r="AG860" s="25"/>
      <c r="AH860" s="11"/>
      <c r="AI860" s="11">
        <v>17</v>
      </c>
      <c r="AJ860" s="19">
        <v>49</v>
      </c>
      <c r="AK860" s="12">
        <f>(AJ860+AI860)/30*7</f>
        <v>15.400000000000002</v>
      </c>
      <c r="AL860" s="6">
        <f>IF(AK860-C860&lt;0,0,AK860-C860)</f>
        <v>0</v>
      </c>
      <c r="AM860" s="6">
        <f>IF(AL860-R860-S860&lt;0,0,AL860-R860-S860)</f>
        <v>0</v>
      </c>
      <c r="AN860" s="5" t="str">
        <f t="shared" si="27"/>
        <v/>
      </c>
      <c r="AO860" s="5">
        <v>0</v>
      </c>
      <c r="AP860" s="9"/>
      <c r="AQ860" s="5" t="s">
        <v>1210</v>
      </c>
      <c r="AR860" s="5" t="s">
        <v>1210</v>
      </c>
      <c r="AS860" s="8"/>
      <c r="AT860" s="8"/>
      <c r="AU860" s="8"/>
      <c r="AV860" s="8"/>
      <c r="AW860" s="8"/>
      <c r="AX860" s="8"/>
      <c r="AY860" s="8"/>
      <c r="AZ860" s="8"/>
    </row>
    <row r="861" spans="1:52">
      <c r="A861" s="5" t="s">
        <v>468</v>
      </c>
      <c r="B861" s="5">
        <v>2198</v>
      </c>
      <c r="C861" s="19">
        <v>667</v>
      </c>
      <c r="E861" s="14"/>
      <c r="F861" s="11"/>
      <c r="G861" s="11"/>
      <c r="H861" s="11"/>
      <c r="I861" s="11"/>
      <c r="J861" s="25"/>
      <c r="K861" s="11"/>
      <c r="L861" s="11"/>
      <c r="M861" s="19">
        <v>0</v>
      </c>
      <c r="O861" s="6"/>
      <c r="P861" s="16">
        <v>595</v>
      </c>
      <c r="Q861" s="16">
        <v>0</v>
      </c>
      <c r="R861" s="22"/>
      <c r="S861" s="22">
        <f t="shared" si="26"/>
        <v>0</v>
      </c>
      <c r="T861" s="5" t="s">
        <v>1210</v>
      </c>
      <c r="U861" s="5" t="s">
        <v>1210</v>
      </c>
      <c r="Y861" s="8"/>
      <c r="Z861" s="8"/>
      <c r="AA861" s="8"/>
      <c r="AB861" s="8"/>
      <c r="AC861" s="8"/>
      <c r="AD861" s="8"/>
      <c r="AE861" s="25"/>
      <c r="AF861" s="11"/>
      <c r="AG861" s="25"/>
      <c r="AH861" s="11"/>
      <c r="AI861" s="11">
        <v>46</v>
      </c>
      <c r="AJ861" s="19">
        <v>46</v>
      </c>
      <c r="AK861" s="12">
        <f>(AJ861+AI861)/30*7</f>
        <v>21.466666666666669</v>
      </c>
      <c r="AL861" s="6">
        <f>IF(AK861-C861&lt;0,0,AK861-C861)</f>
        <v>0</v>
      </c>
      <c r="AM861" s="6">
        <f>IF(AL861-R861-S861&lt;0,0,AL861-R861-S861)</f>
        <v>0</v>
      </c>
      <c r="AN861" s="5" t="str">
        <f t="shared" si="27"/>
        <v/>
      </c>
      <c r="AO861" s="5">
        <v>0</v>
      </c>
      <c r="AP861" s="9"/>
      <c r="AQ861" s="5" t="s">
        <v>1210</v>
      </c>
      <c r="AR861" s="5" t="s">
        <v>1210</v>
      </c>
      <c r="AS861" s="8"/>
      <c r="AT861" s="8"/>
      <c r="AU861" s="8"/>
      <c r="AV861" s="8"/>
      <c r="AW861" s="8"/>
      <c r="AX861" s="8"/>
      <c r="AY861" s="8"/>
      <c r="AZ861" s="8"/>
    </row>
    <row r="862" spans="1:52">
      <c r="A862" s="5" t="s">
        <v>268</v>
      </c>
      <c r="B862" s="5">
        <v>986</v>
      </c>
      <c r="C862" s="19">
        <v>927</v>
      </c>
      <c r="E862" s="14"/>
      <c r="F862" s="11"/>
      <c r="G862" s="11"/>
      <c r="H862" s="11"/>
      <c r="I862" s="11"/>
      <c r="J862" s="25"/>
      <c r="K862" s="11"/>
      <c r="L862" s="11"/>
      <c r="M862" s="19">
        <v>0</v>
      </c>
      <c r="O862" s="6"/>
      <c r="P862" s="16">
        <v>279</v>
      </c>
      <c r="Q862" s="16">
        <v>0</v>
      </c>
      <c r="R862" s="22"/>
      <c r="S862" s="22">
        <f t="shared" si="26"/>
        <v>0</v>
      </c>
      <c r="T862" s="5" t="s">
        <v>1220</v>
      </c>
      <c r="U862" s="5">
        <v>21</v>
      </c>
      <c r="Y862" s="8"/>
      <c r="Z862" s="8"/>
      <c r="AA862" s="8"/>
      <c r="AB862" s="8"/>
      <c r="AC862" s="8"/>
      <c r="AD862" s="8"/>
      <c r="AE862" s="25"/>
      <c r="AF862" s="11"/>
      <c r="AG862" s="25"/>
      <c r="AH862" s="11"/>
      <c r="AI862" s="11">
        <v>52</v>
      </c>
      <c r="AJ862" s="19">
        <v>48</v>
      </c>
      <c r="AK862" s="12">
        <f>(AJ862+AI862)/30*7</f>
        <v>23.333333333333336</v>
      </c>
      <c r="AL862" s="6">
        <f>IF(AK862-C862&lt;0,0,AK862-C862)</f>
        <v>0</v>
      </c>
      <c r="AM862" s="6">
        <f>IF(AL862-R862-S862&lt;0,0,AL862-R862-S862)</f>
        <v>0</v>
      </c>
      <c r="AN862" s="5" t="str">
        <f t="shared" si="27"/>
        <v/>
      </c>
      <c r="AO862" s="5">
        <v>0</v>
      </c>
      <c r="AP862" s="9"/>
      <c r="AQ862" s="5" t="s">
        <v>1210</v>
      </c>
      <c r="AR862" s="5" t="s">
        <v>1210</v>
      </c>
      <c r="AS862" s="8"/>
      <c r="AT862" s="8"/>
      <c r="AU862" s="8"/>
      <c r="AV862" s="8"/>
      <c r="AW862" s="8"/>
      <c r="AX862" s="8"/>
      <c r="AY862" s="8"/>
      <c r="AZ862" s="8"/>
    </row>
    <row r="863" spans="1:52">
      <c r="A863" s="5" t="s">
        <v>1074</v>
      </c>
      <c r="B863" s="5">
        <v>1898</v>
      </c>
      <c r="C863" s="19">
        <v>579</v>
      </c>
      <c r="E863" s="14"/>
      <c r="F863" s="11"/>
      <c r="G863" s="11"/>
      <c r="H863" s="11"/>
      <c r="I863" s="11"/>
      <c r="J863" s="25"/>
      <c r="K863" s="11"/>
      <c r="L863" s="11"/>
      <c r="M863" s="19">
        <v>0</v>
      </c>
      <c r="O863" s="6"/>
      <c r="P863" s="16">
        <v>444</v>
      </c>
      <c r="Q863" s="16">
        <v>355</v>
      </c>
      <c r="R863" s="22"/>
      <c r="S863" s="22">
        <f t="shared" si="26"/>
        <v>0</v>
      </c>
      <c r="T863" s="5" t="s">
        <v>1210</v>
      </c>
      <c r="U863" s="5" t="s">
        <v>1210</v>
      </c>
      <c r="Y863" s="8"/>
      <c r="Z863" s="8"/>
      <c r="AA863" s="8"/>
      <c r="AB863" s="8"/>
      <c r="AC863" s="8"/>
      <c r="AD863" s="8"/>
      <c r="AE863" s="25"/>
      <c r="AF863" s="11"/>
      <c r="AG863" s="25"/>
      <c r="AH863" s="11"/>
      <c r="AI863" s="11">
        <v>35</v>
      </c>
      <c r="AJ863" s="19">
        <v>1</v>
      </c>
      <c r="AK863" s="12">
        <f>(AJ863+AI863)/30*7</f>
        <v>8.4</v>
      </c>
      <c r="AL863" s="6">
        <f>IF(AK863-C863&lt;0,0,AK863-C863)</f>
        <v>0</v>
      </c>
      <c r="AM863" s="6">
        <f>IF(AL863-R863-S863&lt;0,0,AL863-R863-S863)</f>
        <v>0</v>
      </c>
      <c r="AN863" s="5" t="str">
        <f t="shared" si="27"/>
        <v/>
      </c>
      <c r="AO863" s="5">
        <v>0</v>
      </c>
      <c r="AP863" s="9"/>
      <c r="AQ863" s="5" t="s">
        <v>1229</v>
      </c>
      <c r="AR863" s="5" t="s">
        <v>1210</v>
      </c>
      <c r="AS863" s="8"/>
      <c r="AT863" s="8"/>
      <c r="AU863" s="8"/>
      <c r="AV863" s="8"/>
      <c r="AW863" s="8"/>
      <c r="AX863" s="8"/>
      <c r="AY863" s="8"/>
      <c r="AZ863" s="8"/>
    </row>
    <row r="864" spans="1:52">
      <c r="A864" s="5" t="s">
        <v>308</v>
      </c>
      <c r="B864" s="5">
        <v>1074</v>
      </c>
      <c r="C864" s="19">
        <v>543</v>
      </c>
      <c r="E864" s="14"/>
      <c r="F864" s="11"/>
      <c r="G864" s="11"/>
      <c r="H864" s="11"/>
      <c r="I864" s="11"/>
      <c r="J864" s="25"/>
      <c r="K864" s="11"/>
      <c r="L864" s="11"/>
      <c r="M864" s="19">
        <v>0</v>
      </c>
      <c r="O864" s="6"/>
      <c r="P864" s="16">
        <v>292</v>
      </c>
      <c r="Q864" s="16">
        <v>366</v>
      </c>
      <c r="R864" s="22"/>
      <c r="S864" s="22">
        <f t="shared" si="26"/>
        <v>0</v>
      </c>
      <c r="T864" s="5" t="s">
        <v>1210</v>
      </c>
      <c r="U864" s="5" t="s">
        <v>1210</v>
      </c>
      <c r="Y864" s="8"/>
      <c r="Z864" s="8"/>
      <c r="AA864" s="8"/>
      <c r="AB864" s="8"/>
      <c r="AC864" s="8"/>
      <c r="AD864" s="8"/>
      <c r="AE864" s="25"/>
      <c r="AF864" s="11"/>
      <c r="AG864" s="25"/>
      <c r="AH864" s="11"/>
      <c r="AI864" s="11">
        <v>27</v>
      </c>
      <c r="AJ864" s="19">
        <v>48</v>
      </c>
      <c r="AK864" s="12">
        <f>(AJ864+AI864)/30*7</f>
        <v>17.5</v>
      </c>
      <c r="AL864" s="6">
        <f>IF(AK864-C864&lt;0,0,AK864-C864)</f>
        <v>0</v>
      </c>
      <c r="AM864" s="6">
        <f>IF(AL864-R864-S864&lt;0,0,AL864-R864-S864)</f>
        <v>0</v>
      </c>
      <c r="AN864" s="5" t="str">
        <f t="shared" si="27"/>
        <v/>
      </c>
      <c r="AO864" s="5">
        <v>0</v>
      </c>
      <c r="AP864" s="9"/>
      <c r="AQ864" s="5" t="s">
        <v>1210</v>
      </c>
      <c r="AR864" s="5" t="s">
        <v>1210</v>
      </c>
      <c r="AS864" s="8"/>
      <c r="AT864" s="8"/>
      <c r="AU864" s="8"/>
      <c r="AV864" s="8"/>
      <c r="AW864" s="8"/>
      <c r="AX864" s="8"/>
      <c r="AY864" s="8"/>
      <c r="AZ864" s="8"/>
    </row>
    <row r="865" spans="1:52">
      <c r="A865" s="5" t="s">
        <v>227</v>
      </c>
      <c r="B865" s="5">
        <v>1362</v>
      </c>
      <c r="C865" s="19">
        <v>273</v>
      </c>
      <c r="E865" s="14"/>
      <c r="F865" s="11"/>
      <c r="G865" s="11"/>
      <c r="H865" s="11"/>
      <c r="I865" s="11"/>
      <c r="J865" s="25"/>
      <c r="K865" s="11"/>
      <c r="L865" s="11"/>
      <c r="M865" s="19">
        <v>0</v>
      </c>
      <c r="O865" s="6"/>
      <c r="P865" s="16">
        <v>413</v>
      </c>
      <c r="Q865" s="16">
        <v>0</v>
      </c>
      <c r="R865" s="22"/>
      <c r="S865" s="22">
        <f t="shared" si="26"/>
        <v>0</v>
      </c>
      <c r="T865" s="5" t="s">
        <v>1210</v>
      </c>
      <c r="U865" s="5" t="s">
        <v>1210</v>
      </c>
      <c r="Y865" s="8"/>
      <c r="Z865" s="8"/>
      <c r="AA865" s="8"/>
      <c r="AB865" s="8"/>
      <c r="AC865" s="8"/>
      <c r="AD865" s="8"/>
      <c r="AE865" s="25"/>
      <c r="AF865" s="11"/>
      <c r="AG865" s="25"/>
      <c r="AH865" s="11"/>
      <c r="AI865" s="11">
        <v>60</v>
      </c>
      <c r="AJ865" s="19">
        <v>31</v>
      </c>
      <c r="AK865" s="12">
        <f>(AJ865+AI865)/30*7</f>
        <v>21.233333333333334</v>
      </c>
      <c r="AL865" s="6">
        <f>IF(AK865-C865&lt;0,0,AK865-C865)</f>
        <v>0</v>
      </c>
      <c r="AM865" s="6">
        <f>IF(AL865-R865-S865&lt;0,0,AL865-R865-S865)</f>
        <v>0</v>
      </c>
      <c r="AN865" s="5" t="str">
        <f t="shared" si="27"/>
        <v/>
      </c>
      <c r="AO865" s="5">
        <v>0</v>
      </c>
      <c r="AP865" s="9"/>
      <c r="AQ865" s="5" t="s">
        <v>1210</v>
      </c>
      <c r="AR865" s="5" t="s">
        <v>1230</v>
      </c>
      <c r="AS865" s="8"/>
      <c r="AT865" s="8"/>
      <c r="AU865" s="8"/>
      <c r="AV865" s="8"/>
      <c r="AW865" s="8"/>
      <c r="AX865" s="8"/>
      <c r="AY865" s="8"/>
      <c r="AZ865" s="8"/>
    </row>
    <row r="866" spans="1:52">
      <c r="A866" s="5" t="s">
        <v>117</v>
      </c>
      <c r="B866" s="5">
        <v>477</v>
      </c>
      <c r="C866" s="19">
        <v>773</v>
      </c>
      <c r="E866" s="14"/>
      <c r="F866" s="11"/>
      <c r="G866" s="11"/>
      <c r="H866" s="11"/>
      <c r="I866" s="11"/>
      <c r="J866" s="25"/>
      <c r="K866" s="11"/>
      <c r="L866" s="11"/>
      <c r="M866" s="19">
        <v>0</v>
      </c>
      <c r="O866" s="6"/>
      <c r="P866" s="16">
        <v>371</v>
      </c>
      <c r="Q866" s="16">
        <v>893</v>
      </c>
      <c r="R866" s="22"/>
      <c r="S866" s="22">
        <f t="shared" si="26"/>
        <v>0</v>
      </c>
      <c r="T866" s="5" t="s">
        <v>1210</v>
      </c>
      <c r="U866" s="5" t="s">
        <v>1210</v>
      </c>
      <c r="Y866" s="8"/>
      <c r="Z866" s="8"/>
      <c r="AA866" s="8"/>
      <c r="AB866" s="8"/>
      <c r="AC866" s="8"/>
      <c r="AD866" s="8"/>
      <c r="AE866" s="25"/>
      <c r="AF866" s="11"/>
      <c r="AG866" s="25"/>
      <c r="AH866" s="11"/>
      <c r="AI866" s="11">
        <v>49</v>
      </c>
      <c r="AJ866" s="19">
        <v>54</v>
      </c>
      <c r="AK866" s="12">
        <f>(AJ866+AI866)/30*7</f>
        <v>24.033333333333331</v>
      </c>
      <c r="AL866" s="6">
        <f>IF(AK866-C866&lt;0,0,AK866-C866)</f>
        <v>0</v>
      </c>
      <c r="AM866" s="6">
        <f>IF(AL866-R866-S866&lt;0,0,AL866-R866-S866)</f>
        <v>0</v>
      </c>
      <c r="AN866" s="5" t="str">
        <f t="shared" si="27"/>
        <v/>
      </c>
      <c r="AO866" s="5">
        <v>0</v>
      </c>
      <c r="AP866" s="9"/>
      <c r="AQ866" s="5" t="s">
        <v>1210</v>
      </c>
      <c r="AR866" s="5" t="s">
        <v>1210</v>
      </c>
      <c r="AS866" s="8"/>
      <c r="AT866" s="8"/>
      <c r="AU866" s="8"/>
      <c r="AV866" s="8"/>
      <c r="AW866" s="8"/>
      <c r="AX866" s="8"/>
      <c r="AY866" s="8"/>
      <c r="AZ866" s="8"/>
    </row>
    <row r="867" spans="1:52">
      <c r="A867" s="5" t="s">
        <v>238</v>
      </c>
      <c r="B867" s="5">
        <v>1294</v>
      </c>
      <c r="C867" s="19">
        <v>571</v>
      </c>
      <c r="E867" s="14"/>
      <c r="F867" s="11"/>
      <c r="G867" s="11"/>
      <c r="H867" s="11"/>
      <c r="I867" s="11"/>
      <c r="J867" s="25"/>
      <c r="K867" s="11"/>
      <c r="L867" s="11"/>
      <c r="M867" s="19">
        <v>6</v>
      </c>
      <c r="O867" s="6"/>
      <c r="P867" s="16">
        <v>753</v>
      </c>
      <c r="Q867" s="16">
        <v>0</v>
      </c>
      <c r="R867" s="22"/>
      <c r="S867" s="22">
        <f t="shared" si="26"/>
        <v>0</v>
      </c>
      <c r="T867" s="5" t="s">
        <v>1210</v>
      </c>
      <c r="U867" s="5" t="s">
        <v>1210</v>
      </c>
      <c r="Y867" s="8"/>
      <c r="Z867" s="8"/>
      <c r="AA867" s="8"/>
      <c r="AB867" s="8"/>
      <c r="AC867" s="8"/>
      <c r="AD867" s="8"/>
      <c r="AE867" s="25"/>
      <c r="AF867" s="11"/>
      <c r="AG867" s="25"/>
      <c r="AH867" s="11"/>
      <c r="AI867" s="11">
        <v>61</v>
      </c>
      <c r="AJ867" s="19">
        <v>30</v>
      </c>
      <c r="AK867" s="12">
        <f>(AJ867+AI867)/30*7</f>
        <v>21.233333333333334</v>
      </c>
      <c r="AL867" s="6">
        <f>IF(AK867-C867&lt;0,0,AK867-C867)</f>
        <v>0</v>
      </c>
      <c r="AM867" s="6">
        <f>IF(AL867-R867-S867&lt;0,0,AL867-R867-S867)</f>
        <v>0</v>
      </c>
      <c r="AN867" s="5" t="str">
        <f t="shared" si="27"/>
        <v/>
      </c>
      <c r="AO867" s="5">
        <v>0</v>
      </c>
      <c r="AP867" s="9"/>
      <c r="AQ867" s="5" t="s">
        <v>1210</v>
      </c>
      <c r="AR867" s="5" t="s">
        <v>1210</v>
      </c>
      <c r="AS867" s="8"/>
      <c r="AT867" s="8"/>
      <c r="AU867" s="8"/>
      <c r="AV867" s="8"/>
      <c r="AW867" s="8"/>
      <c r="AX867" s="8"/>
      <c r="AY867" s="8"/>
      <c r="AZ867" s="8"/>
    </row>
    <row r="868" spans="1:52">
      <c r="A868" s="5" t="s">
        <v>777</v>
      </c>
      <c r="B868" s="5">
        <v>1895</v>
      </c>
      <c r="C868" s="19">
        <v>285</v>
      </c>
      <c r="E868" s="14"/>
      <c r="F868" s="11"/>
      <c r="G868" s="11"/>
      <c r="H868" s="11"/>
      <c r="I868" s="11"/>
      <c r="J868" s="25"/>
      <c r="K868" s="11"/>
      <c r="L868" s="11"/>
      <c r="M868" s="19">
        <v>0</v>
      </c>
      <c r="O868" s="6"/>
      <c r="P868" s="16">
        <v>460</v>
      </c>
      <c r="Q868" s="16">
        <v>0</v>
      </c>
      <c r="R868" s="22"/>
      <c r="S868" s="22">
        <f t="shared" si="26"/>
        <v>0</v>
      </c>
      <c r="T868" s="5" t="s">
        <v>1210</v>
      </c>
      <c r="U868" s="5" t="s">
        <v>1210</v>
      </c>
      <c r="Y868" s="8"/>
      <c r="Z868" s="8"/>
      <c r="AA868" s="8"/>
      <c r="AB868" s="8"/>
      <c r="AC868" s="8"/>
      <c r="AD868" s="8"/>
      <c r="AE868" s="25"/>
      <c r="AF868" s="11"/>
      <c r="AG868" s="25"/>
      <c r="AH868" s="11"/>
      <c r="AI868" s="11">
        <v>85</v>
      </c>
      <c r="AJ868" s="19">
        <v>13</v>
      </c>
      <c r="AK868" s="12">
        <f>(AJ868+AI868)/30*7</f>
        <v>22.866666666666667</v>
      </c>
      <c r="AL868" s="6">
        <f>IF(AK868-C868&lt;0,0,AK868-C868)</f>
        <v>0</v>
      </c>
      <c r="AM868" s="6">
        <f>IF(AL868-R868-S868&lt;0,0,AL868-R868-S868)</f>
        <v>0</v>
      </c>
      <c r="AN868" s="5" t="str">
        <f t="shared" si="27"/>
        <v/>
      </c>
      <c r="AO868" s="5">
        <v>0</v>
      </c>
      <c r="AP868" s="9"/>
      <c r="AQ868" s="5" t="s">
        <v>1210</v>
      </c>
      <c r="AR868" s="5" t="s">
        <v>1210</v>
      </c>
      <c r="AS868" s="8"/>
      <c r="AT868" s="8"/>
      <c r="AU868" s="8"/>
      <c r="AV868" s="8"/>
      <c r="AW868" s="8"/>
      <c r="AX868" s="8"/>
      <c r="AY868" s="8"/>
      <c r="AZ868" s="8"/>
    </row>
    <row r="869" spans="1:52">
      <c r="A869" s="5" t="s">
        <v>210</v>
      </c>
      <c r="B869" s="5">
        <v>741</v>
      </c>
      <c r="C869" s="19">
        <v>772</v>
      </c>
      <c r="E869" s="14"/>
      <c r="F869" s="11"/>
      <c r="G869" s="11"/>
      <c r="H869" s="11"/>
      <c r="I869" s="11"/>
      <c r="J869" s="25"/>
      <c r="K869" s="11"/>
      <c r="L869" s="11"/>
      <c r="M869" s="19">
        <v>0</v>
      </c>
      <c r="O869" s="6"/>
      <c r="P869" s="16">
        <v>551</v>
      </c>
      <c r="Q869" s="16">
        <v>0</v>
      </c>
      <c r="R869" s="22"/>
      <c r="S869" s="22">
        <f t="shared" si="26"/>
        <v>0</v>
      </c>
      <c r="T869" s="5" t="s">
        <v>1210</v>
      </c>
      <c r="U869" s="5" t="s">
        <v>1210</v>
      </c>
      <c r="Y869" s="8"/>
      <c r="Z869" s="8"/>
      <c r="AA869" s="8"/>
      <c r="AB869" s="8"/>
      <c r="AC869" s="8"/>
      <c r="AD869" s="8"/>
      <c r="AE869" s="25"/>
      <c r="AF869" s="11"/>
      <c r="AG869" s="25"/>
      <c r="AH869" s="11"/>
      <c r="AI869" s="11">
        <v>92</v>
      </c>
      <c r="AJ869" s="19">
        <v>10</v>
      </c>
      <c r="AK869" s="12">
        <f>(AJ869+AI869)/30*7</f>
        <v>23.8</v>
      </c>
      <c r="AL869" s="6">
        <f>IF(AK869-C869&lt;0,0,AK869-C869)</f>
        <v>0</v>
      </c>
      <c r="AM869" s="6">
        <f>IF(AL869-R869-S869&lt;0,0,AL869-R869-S869)</f>
        <v>0</v>
      </c>
      <c r="AN869" s="5" t="str">
        <f t="shared" si="27"/>
        <v/>
      </c>
      <c r="AO869" s="5">
        <v>0</v>
      </c>
      <c r="AP869" s="9"/>
      <c r="AQ869" s="5" t="s">
        <v>1210</v>
      </c>
      <c r="AR869" s="5" t="s">
        <v>1210</v>
      </c>
      <c r="AS869" s="8"/>
      <c r="AT869" s="8"/>
      <c r="AU869" s="8"/>
      <c r="AV869" s="8"/>
      <c r="AW869" s="8"/>
      <c r="AX869" s="8"/>
      <c r="AY869" s="8"/>
      <c r="AZ869" s="8"/>
    </row>
    <row r="870" spans="1:52">
      <c r="A870" s="5" t="s">
        <v>293</v>
      </c>
      <c r="B870" s="5">
        <v>666</v>
      </c>
      <c r="C870" s="19">
        <v>960</v>
      </c>
      <c r="E870" s="14"/>
      <c r="F870" s="11"/>
      <c r="G870" s="11"/>
      <c r="H870" s="11"/>
      <c r="I870" s="11"/>
      <c r="J870" s="25"/>
      <c r="K870" s="11"/>
      <c r="L870" s="11"/>
      <c r="M870" s="19">
        <v>0</v>
      </c>
      <c r="O870" s="6"/>
      <c r="P870" s="16">
        <v>233</v>
      </c>
      <c r="Q870" s="16">
        <v>878</v>
      </c>
      <c r="R870" s="22"/>
      <c r="S870" s="22">
        <f t="shared" si="26"/>
        <v>0</v>
      </c>
      <c r="T870" s="5" t="s">
        <v>1210</v>
      </c>
      <c r="U870" s="5" t="s">
        <v>1210</v>
      </c>
      <c r="Y870" s="8"/>
      <c r="Z870" s="8"/>
      <c r="AA870" s="8"/>
      <c r="AB870" s="8"/>
      <c r="AC870" s="8"/>
      <c r="AD870" s="8"/>
      <c r="AE870" s="25"/>
      <c r="AF870" s="11"/>
      <c r="AG870" s="25"/>
      <c r="AH870" s="11"/>
      <c r="AI870" s="11">
        <v>33</v>
      </c>
      <c r="AJ870" s="19">
        <v>61</v>
      </c>
      <c r="AK870" s="12">
        <f>(AJ870+AI870)/30*7</f>
        <v>21.933333333333334</v>
      </c>
      <c r="AL870" s="6">
        <f>IF(AK870-C870&lt;0,0,AK870-C870)</f>
        <v>0</v>
      </c>
      <c r="AM870" s="6">
        <f>IF(AL870-R870-S870&lt;0,0,AL870-R870-S870)</f>
        <v>0</v>
      </c>
      <c r="AN870" s="5" t="str">
        <f t="shared" si="27"/>
        <v/>
      </c>
      <c r="AO870" s="5">
        <v>0</v>
      </c>
      <c r="AP870" s="9"/>
      <c r="AQ870" s="5" t="s">
        <v>1210</v>
      </c>
      <c r="AR870" s="5" t="s">
        <v>1210</v>
      </c>
      <c r="AS870" s="8"/>
      <c r="AT870" s="8"/>
      <c r="AU870" s="8"/>
      <c r="AV870" s="8"/>
      <c r="AW870" s="8"/>
      <c r="AX870" s="8"/>
      <c r="AY870" s="8"/>
      <c r="AZ870" s="8"/>
    </row>
    <row r="871" spans="1:52">
      <c r="A871" s="5" t="s">
        <v>197</v>
      </c>
      <c r="B871" s="5">
        <v>707</v>
      </c>
      <c r="C871" s="19">
        <v>812</v>
      </c>
      <c r="E871" s="14"/>
      <c r="F871" s="11"/>
      <c r="G871" s="11"/>
      <c r="H871" s="11"/>
      <c r="I871" s="11"/>
      <c r="J871" s="25"/>
      <c r="K871" s="11"/>
      <c r="L871" s="11"/>
      <c r="M871" s="19">
        <v>3</v>
      </c>
      <c r="O871" s="6"/>
      <c r="P871" s="16">
        <v>510</v>
      </c>
      <c r="Q871" s="16">
        <v>388</v>
      </c>
      <c r="R871" s="22"/>
      <c r="S871" s="22">
        <f t="shared" si="26"/>
        <v>0</v>
      </c>
      <c r="T871" s="5" t="s">
        <v>1210</v>
      </c>
      <c r="U871" s="5" t="s">
        <v>1210</v>
      </c>
      <c r="Y871" s="8"/>
      <c r="Z871" s="8"/>
      <c r="AA871" s="8"/>
      <c r="AB871" s="8"/>
      <c r="AC871" s="8"/>
      <c r="AD871" s="8"/>
      <c r="AE871" s="25"/>
      <c r="AF871" s="11"/>
      <c r="AG871" s="25"/>
      <c r="AH871" s="11"/>
      <c r="AI871" s="11">
        <v>15</v>
      </c>
      <c r="AJ871" s="19">
        <v>29</v>
      </c>
      <c r="AK871" s="12">
        <f>(AJ871+AI871)/30*7</f>
        <v>10.266666666666666</v>
      </c>
      <c r="AL871" s="6">
        <f>IF(AK871-C871&lt;0,0,AK871-C871)</f>
        <v>0</v>
      </c>
      <c r="AM871" s="6">
        <f>IF(AL871-R871-S871&lt;0,0,AL871-R871-S871)</f>
        <v>0</v>
      </c>
      <c r="AN871" s="5" t="str">
        <f t="shared" si="27"/>
        <v/>
      </c>
      <c r="AO871" s="5">
        <v>0</v>
      </c>
      <c r="AP871" s="9"/>
      <c r="AQ871" s="5" t="s">
        <v>1210</v>
      </c>
      <c r="AR871" s="5" t="s">
        <v>1210</v>
      </c>
      <c r="AS871" s="8"/>
      <c r="AT871" s="8"/>
      <c r="AU871" s="8"/>
      <c r="AV871" s="8"/>
      <c r="AW871" s="8"/>
      <c r="AX871" s="8"/>
      <c r="AY871" s="8"/>
      <c r="AZ871" s="8"/>
    </row>
    <row r="872" spans="1:52">
      <c r="A872" s="5" t="s">
        <v>241</v>
      </c>
      <c r="B872" s="5">
        <v>325</v>
      </c>
      <c r="C872" s="19">
        <v>445</v>
      </c>
      <c r="E872" s="14"/>
      <c r="F872" s="11"/>
      <c r="G872" s="11"/>
      <c r="H872" s="11"/>
      <c r="I872" s="11"/>
      <c r="J872" s="25"/>
      <c r="K872" s="11"/>
      <c r="L872" s="11"/>
      <c r="M872" s="19">
        <v>0</v>
      </c>
      <c r="O872" s="6"/>
      <c r="P872" s="16">
        <v>505</v>
      </c>
      <c r="Q872" s="16">
        <v>0</v>
      </c>
      <c r="R872" s="22"/>
      <c r="S872" s="22">
        <f t="shared" si="26"/>
        <v>0</v>
      </c>
      <c r="T872" s="5" t="s">
        <v>1210</v>
      </c>
      <c r="U872" s="5" t="s">
        <v>1210</v>
      </c>
      <c r="Y872" s="8"/>
      <c r="Z872" s="8"/>
      <c r="AA872" s="8"/>
      <c r="AB872" s="8"/>
      <c r="AC872" s="8"/>
      <c r="AD872" s="8"/>
      <c r="AE872" s="25"/>
      <c r="AF872" s="11"/>
      <c r="AG872" s="25"/>
      <c r="AH872" s="11"/>
      <c r="AI872" s="11">
        <v>31</v>
      </c>
      <c r="AJ872" s="19">
        <v>46</v>
      </c>
      <c r="AK872" s="12">
        <f>(AJ872+AI872)/30*7</f>
        <v>17.966666666666669</v>
      </c>
      <c r="AL872" s="6">
        <f>IF(AK872-C872&lt;0,0,AK872-C872)</f>
        <v>0</v>
      </c>
      <c r="AM872" s="6">
        <f>IF(AL872-R872-S872&lt;0,0,AL872-R872-S872)</f>
        <v>0</v>
      </c>
      <c r="AN872" s="5" t="str">
        <f t="shared" si="27"/>
        <v/>
      </c>
      <c r="AO872" s="5">
        <v>0</v>
      </c>
      <c r="AP872" s="9"/>
      <c r="AQ872" s="5" t="s">
        <v>1210</v>
      </c>
      <c r="AR872" s="5" t="s">
        <v>1210</v>
      </c>
      <c r="AS872" s="8"/>
      <c r="AT872" s="8"/>
      <c r="AU872" s="8"/>
      <c r="AV872" s="8"/>
      <c r="AW872" s="8"/>
      <c r="AX872" s="8"/>
      <c r="AY872" s="8"/>
      <c r="AZ872" s="8"/>
    </row>
    <row r="873" spans="1:52">
      <c r="A873" s="5" t="s">
        <v>315</v>
      </c>
      <c r="B873" s="5">
        <v>1306</v>
      </c>
      <c r="C873" s="19">
        <v>650</v>
      </c>
      <c r="E873" s="14"/>
      <c r="F873" s="11"/>
      <c r="G873" s="11"/>
      <c r="H873" s="11"/>
      <c r="I873" s="11"/>
      <c r="J873" s="25"/>
      <c r="K873" s="11"/>
      <c r="L873" s="11"/>
      <c r="M873" s="19">
        <v>3</v>
      </c>
      <c r="O873" s="6"/>
      <c r="P873" s="16">
        <v>866</v>
      </c>
      <c r="Q873" s="16">
        <v>0</v>
      </c>
      <c r="R873" s="22"/>
      <c r="S873" s="22">
        <f t="shared" si="26"/>
        <v>0</v>
      </c>
      <c r="T873" s="5" t="s">
        <v>1210</v>
      </c>
      <c r="U873" s="5" t="s">
        <v>1210</v>
      </c>
      <c r="Y873" s="8"/>
      <c r="Z873" s="8"/>
      <c r="AA873" s="8"/>
      <c r="AB873" s="8"/>
      <c r="AC873" s="8"/>
      <c r="AD873" s="8"/>
      <c r="AE873" s="25"/>
      <c r="AF873" s="11"/>
      <c r="AG873" s="25"/>
      <c r="AH873" s="11"/>
      <c r="AI873" s="11">
        <v>9</v>
      </c>
      <c r="AJ873" s="19">
        <v>31</v>
      </c>
      <c r="AK873" s="12">
        <f>(AJ873+AI873)/30*7</f>
        <v>9.3333333333333321</v>
      </c>
      <c r="AL873" s="6">
        <f>IF(AK873-C873&lt;0,0,AK873-C873)</f>
        <v>0</v>
      </c>
      <c r="AM873" s="6">
        <f>IF(AL873-R873-S873&lt;0,0,AL873-R873-S873)</f>
        <v>0</v>
      </c>
      <c r="AN873" s="5" t="str">
        <f t="shared" si="27"/>
        <v/>
      </c>
      <c r="AO873" s="5">
        <v>0</v>
      </c>
      <c r="AP873" s="9"/>
      <c r="AQ873" s="5" t="s">
        <v>1210</v>
      </c>
      <c r="AR873" s="5" t="s">
        <v>1210</v>
      </c>
      <c r="AS873" s="8"/>
      <c r="AT873" s="8"/>
      <c r="AU873" s="8"/>
      <c r="AV873" s="8"/>
      <c r="AW873" s="8"/>
      <c r="AX873" s="8"/>
      <c r="AY873" s="8"/>
      <c r="AZ873" s="8"/>
    </row>
    <row r="874" spans="1:52">
      <c r="A874" s="5" t="s">
        <v>196</v>
      </c>
      <c r="B874" s="5">
        <v>652</v>
      </c>
      <c r="C874" s="19">
        <v>207</v>
      </c>
      <c r="E874" s="14"/>
      <c r="F874" s="11"/>
      <c r="G874" s="11"/>
      <c r="H874" s="11"/>
      <c r="I874" s="11"/>
      <c r="J874" s="25"/>
      <c r="K874" s="11"/>
      <c r="L874" s="11"/>
      <c r="M874" s="19">
        <v>0</v>
      </c>
      <c r="O874" s="6"/>
      <c r="P874" s="16">
        <v>450</v>
      </c>
      <c r="Q874" s="16">
        <v>367</v>
      </c>
      <c r="R874" s="22"/>
      <c r="S874" s="22">
        <f t="shared" si="26"/>
        <v>0</v>
      </c>
      <c r="T874" s="5" t="s">
        <v>1210</v>
      </c>
      <c r="U874" s="5" t="s">
        <v>1210</v>
      </c>
      <c r="Y874" s="8"/>
      <c r="Z874" s="8"/>
      <c r="AA874" s="8"/>
      <c r="AB874" s="8"/>
      <c r="AC874" s="8"/>
      <c r="AD874" s="8"/>
      <c r="AE874" s="25"/>
      <c r="AF874" s="11"/>
      <c r="AG874" s="25"/>
      <c r="AH874" s="11"/>
      <c r="AI874" s="11">
        <v>71</v>
      </c>
      <c r="AJ874" s="19">
        <v>6</v>
      </c>
      <c r="AK874" s="12">
        <f>(AJ874+AI874)/30*7</f>
        <v>17.966666666666669</v>
      </c>
      <c r="AL874" s="6">
        <f>IF(AK874-C874&lt;0,0,AK874-C874)</f>
        <v>0</v>
      </c>
      <c r="AM874" s="6">
        <f>IF(AL874-R874-S874&lt;0,0,AL874-R874-S874)</f>
        <v>0</v>
      </c>
      <c r="AN874" s="5" t="str">
        <f t="shared" si="27"/>
        <v/>
      </c>
      <c r="AO874" s="5">
        <v>0</v>
      </c>
      <c r="AP874" s="9"/>
      <c r="AQ874" s="5" t="s">
        <v>1210</v>
      </c>
      <c r="AR874" s="5" t="s">
        <v>1210</v>
      </c>
      <c r="AS874" s="8"/>
      <c r="AT874" s="8"/>
      <c r="AU874" s="8"/>
      <c r="AV874" s="8"/>
      <c r="AW874" s="8"/>
      <c r="AX874" s="8"/>
      <c r="AY874" s="8"/>
      <c r="AZ874" s="8"/>
    </row>
    <row r="875" spans="1:52">
      <c r="A875" s="5" t="s">
        <v>369</v>
      </c>
      <c r="B875" s="5">
        <v>1721</v>
      </c>
      <c r="C875" s="19">
        <v>825</v>
      </c>
      <c r="E875" s="14"/>
      <c r="F875" s="11"/>
      <c r="G875" s="11"/>
      <c r="H875" s="11"/>
      <c r="I875" s="11"/>
      <c r="J875" s="25"/>
      <c r="K875" s="11"/>
      <c r="L875" s="11"/>
      <c r="M875" s="19">
        <v>9</v>
      </c>
      <c r="O875" s="6"/>
      <c r="P875" s="16">
        <v>621</v>
      </c>
      <c r="Q875" s="16">
        <v>0</v>
      </c>
      <c r="R875" s="22"/>
      <c r="S875" s="22">
        <f t="shared" si="26"/>
        <v>0</v>
      </c>
      <c r="U875" s="5" t="s">
        <v>1210</v>
      </c>
      <c r="Y875" s="8"/>
      <c r="Z875" s="8"/>
      <c r="AA875" s="8"/>
      <c r="AB875" s="8"/>
      <c r="AC875" s="8"/>
      <c r="AD875" s="8"/>
      <c r="AE875" s="25"/>
      <c r="AF875" s="11"/>
      <c r="AG875" s="25"/>
      <c r="AH875" s="11"/>
      <c r="AI875" s="11">
        <v>80</v>
      </c>
      <c r="AJ875" s="19">
        <v>14</v>
      </c>
      <c r="AK875" s="12">
        <f>(AJ875+AI875)/30*7</f>
        <v>21.933333333333334</v>
      </c>
      <c r="AL875" s="6">
        <f>IF(AK875-C875&lt;0,0,AK875-C875)</f>
        <v>0</v>
      </c>
      <c r="AM875" s="6">
        <f>IF(AL875-R875-S875&lt;0,0,AL875-R875-S875)</f>
        <v>0</v>
      </c>
      <c r="AN875" s="5" t="str">
        <f t="shared" si="27"/>
        <v/>
      </c>
      <c r="AO875" s="5">
        <v>0</v>
      </c>
      <c r="AP875" s="9"/>
      <c r="AQ875" s="5" t="s">
        <v>1210</v>
      </c>
      <c r="AR875" s="5" t="s">
        <v>1230</v>
      </c>
      <c r="AS875" s="8"/>
      <c r="AT875" s="8"/>
      <c r="AU875" s="8"/>
      <c r="AV875" s="8"/>
      <c r="AW875" s="8"/>
      <c r="AX875" s="8"/>
      <c r="AY875" s="8"/>
      <c r="AZ875" s="8"/>
    </row>
    <row r="876" spans="1:52">
      <c r="A876" s="5" t="s">
        <v>299</v>
      </c>
      <c r="B876" s="5">
        <v>2100</v>
      </c>
      <c r="C876" s="19">
        <v>999</v>
      </c>
      <c r="E876" s="14"/>
      <c r="F876" s="11"/>
      <c r="G876" s="11"/>
      <c r="H876" s="11"/>
      <c r="I876" s="11"/>
      <c r="J876" s="25"/>
      <c r="K876" s="11"/>
      <c r="L876" s="11"/>
      <c r="M876" s="19">
        <v>0</v>
      </c>
      <c r="O876" s="6"/>
      <c r="P876" s="16">
        <v>571</v>
      </c>
      <c r="Q876" s="16">
        <v>0</v>
      </c>
      <c r="R876" s="22"/>
      <c r="S876" s="22">
        <f t="shared" si="26"/>
        <v>0</v>
      </c>
      <c r="T876" s="5" t="s">
        <v>1210</v>
      </c>
      <c r="U876" s="5" t="s">
        <v>1210</v>
      </c>
      <c r="Y876" s="8"/>
      <c r="Z876" s="8"/>
      <c r="AA876" s="8"/>
      <c r="AB876" s="8"/>
      <c r="AC876" s="8"/>
      <c r="AD876" s="8"/>
      <c r="AE876" s="25"/>
      <c r="AF876" s="11"/>
      <c r="AG876" s="25"/>
      <c r="AH876" s="11"/>
      <c r="AI876" s="11">
        <v>74</v>
      </c>
      <c r="AJ876" s="19">
        <v>57</v>
      </c>
      <c r="AK876" s="12">
        <f>(AJ876+AI876)/30*7</f>
        <v>30.566666666666663</v>
      </c>
      <c r="AL876" s="6">
        <f>IF(AK876-C876&lt;0,0,AK876-C876)</f>
        <v>0</v>
      </c>
      <c r="AM876" s="6">
        <f>IF(AL876-R876-S876&lt;0,0,AL876-R876-S876)</f>
        <v>0</v>
      </c>
      <c r="AN876" s="5" t="str">
        <f t="shared" si="27"/>
        <v/>
      </c>
      <c r="AO876" s="5">
        <v>0</v>
      </c>
      <c r="AP876" s="9"/>
      <c r="AQ876" s="5" t="s">
        <v>1210</v>
      </c>
      <c r="AR876" s="5" t="s">
        <v>1210</v>
      </c>
      <c r="AS876" s="8"/>
      <c r="AT876" s="8"/>
      <c r="AU876" s="8"/>
      <c r="AV876" s="8"/>
      <c r="AW876" s="8"/>
      <c r="AX876" s="8"/>
      <c r="AY876" s="8"/>
      <c r="AZ876" s="8"/>
    </row>
    <row r="877" spans="1:52">
      <c r="A877" s="5" t="s">
        <v>913</v>
      </c>
      <c r="B877" s="5">
        <v>1894</v>
      </c>
      <c r="C877" s="19">
        <v>325</v>
      </c>
      <c r="E877" s="14"/>
      <c r="F877" s="11"/>
      <c r="G877" s="11"/>
      <c r="H877" s="11"/>
      <c r="I877" s="11"/>
      <c r="J877" s="25"/>
      <c r="K877" s="11"/>
      <c r="L877" s="11"/>
      <c r="M877" s="19">
        <v>0</v>
      </c>
      <c r="O877" s="6"/>
      <c r="P877" s="16">
        <v>766</v>
      </c>
      <c r="Q877" s="16">
        <v>0</v>
      </c>
      <c r="R877" s="22"/>
      <c r="S877" s="22">
        <f t="shared" si="26"/>
        <v>0</v>
      </c>
      <c r="T877" s="5" t="s">
        <v>1210</v>
      </c>
      <c r="U877" s="5" t="s">
        <v>1210</v>
      </c>
      <c r="Y877" s="8"/>
      <c r="Z877" s="8"/>
      <c r="AA877" s="8"/>
      <c r="AB877" s="8"/>
      <c r="AC877" s="8"/>
      <c r="AD877" s="8"/>
      <c r="AE877" s="25"/>
      <c r="AF877" s="11"/>
      <c r="AG877" s="25"/>
      <c r="AH877" s="11"/>
      <c r="AI877" s="11">
        <v>3</v>
      </c>
      <c r="AJ877" s="19">
        <v>6</v>
      </c>
      <c r="AK877" s="12">
        <f>(AJ877+AI877)/30*7</f>
        <v>2.1</v>
      </c>
      <c r="AL877" s="6">
        <f>IF(AK877-C877&lt;0,0,AK877-C877)</f>
        <v>0</v>
      </c>
      <c r="AM877" s="6">
        <f>IF(AL877-R877-S877&lt;0,0,AL877-R877-S877)</f>
        <v>0</v>
      </c>
      <c r="AN877" s="5" t="str">
        <f t="shared" si="27"/>
        <v/>
      </c>
      <c r="AO877" s="5">
        <v>0</v>
      </c>
      <c r="AP877" s="9"/>
      <c r="AQ877" s="5" t="s">
        <v>1229</v>
      </c>
      <c r="AS877" s="8"/>
      <c r="AT877" s="8"/>
      <c r="AU877" s="8"/>
      <c r="AV877" s="8"/>
      <c r="AW877" s="8"/>
      <c r="AX877" s="8"/>
      <c r="AY877" s="8"/>
      <c r="AZ877" s="8"/>
    </row>
    <row r="878" spans="1:52">
      <c r="A878" s="5" t="s">
        <v>257</v>
      </c>
      <c r="B878" s="5">
        <v>1841</v>
      </c>
      <c r="C878" s="19">
        <v>318</v>
      </c>
      <c r="E878" s="14"/>
      <c r="F878" s="11"/>
      <c r="G878" s="11"/>
      <c r="H878" s="11"/>
      <c r="I878" s="11"/>
      <c r="J878" s="25"/>
      <c r="K878" s="11"/>
      <c r="L878" s="11"/>
      <c r="M878" s="19">
        <v>0</v>
      </c>
      <c r="O878" s="6"/>
      <c r="P878" s="16">
        <v>280</v>
      </c>
      <c r="Q878" s="16">
        <v>220</v>
      </c>
      <c r="R878" s="22"/>
      <c r="S878" s="22">
        <f t="shared" si="26"/>
        <v>0</v>
      </c>
      <c r="T878" s="5" t="s">
        <v>1210</v>
      </c>
      <c r="U878" s="5" t="s">
        <v>1210</v>
      </c>
      <c r="Y878" s="8"/>
      <c r="Z878" s="8"/>
      <c r="AA878" s="8"/>
      <c r="AB878" s="8"/>
      <c r="AC878" s="8"/>
      <c r="AD878" s="8"/>
      <c r="AE878" s="25"/>
      <c r="AF878" s="11"/>
      <c r="AG878" s="25"/>
      <c r="AH878" s="11"/>
      <c r="AI878" s="11">
        <v>18</v>
      </c>
      <c r="AJ878" s="19">
        <v>51</v>
      </c>
      <c r="AK878" s="12">
        <f>(AJ878+AI878)/30*7</f>
        <v>16.099999999999998</v>
      </c>
      <c r="AL878" s="6">
        <f>IF(AK878-C878&lt;0,0,AK878-C878)</f>
        <v>0</v>
      </c>
      <c r="AM878" s="6">
        <f>IF(AL878-R878-S878&lt;0,0,AL878-R878-S878)</f>
        <v>0</v>
      </c>
      <c r="AN878" s="5" t="str">
        <f t="shared" si="27"/>
        <v/>
      </c>
      <c r="AO878" s="5">
        <v>0</v>
      </c>
      <c r="AP878" s="9"/>
      <c r="AQ878" s="5" t="s">
        <v>1210</v>
      </c>
      <c r="AR878" s="5" t="s">
        <v>1210</v>
      </c>
      <c r="AS878" s="8"/>
      <c r="AT878" s="8"/>
      <c r="AU878" s="8"/>
      <c r="AV878" s="8"/>
      <c r="AW878" s="8"/>
      <c r="AX878" s="8"/>
      <c r="AY878" s="8"/>
      <c r="AZ878" s="8"/>
    </row>
    <row r="879" spans="1:52">
      <c r="A879" s="5" t="s">
        <v>256</v>
      </c>
      <c r="B879" s="5">
        <v>374</v>
      </c>
      <c r="C879" s="19">
        <v>435</v>
      </c>
      <c r="E879" s="14"/>
      <c r="F879" s="11"/>
      <c r="G879" s="11"/>
      <c r="H879" s="11"/>
      <c r="I879" s="11"/>
      <c r="J879" s="25"/>
      <c r="K879" s="11"/>
      <c r="L879" s="11"/>
      <c r="M879" s="19">
        <v>0</v>
      </c>
      <c r="O879" s="6"/>
      <c r="P879" s="16">
        <v>473</v>
      </c>
      <c r="Q879" s="16">
        <v>645</v>
      </c>
      <c r="R879" s="22"/>
      <c r="S879" s="22">
        <f t="shared" si="26"/>
        <v>0</v>
      </c>
      <c r="T879" s="5" t="s">
        <v>1210</v>
      </c>
      <c r="U879" s="5" t="s">
        <v>1210</v>
      </c>
      <c r="Y879" s="8"/>
      <c r="Z879" s="8"/>
      <c r="AA879" s="8"/>
      <c r="AB879" s="8"/>
      <c r="AC879" s="8"/>
      <c r="AD879" s="8"/>
      <c r="AE879" s="25"/>
      <c r="AF879" s="11"/>
      <c r="AG879" s="25"/>
      <c r="AH879" s="11"/>
      <c r="AI879" s="11">
        <v>9</v>
      </c>
      <c r="AJ879" s="19">
        <v>6</v>
      </c>
      <c r="AK879" s="12">
        <f>(AJ879+AI879)/30*7</f>
        <v>3.5</v>
      </c>
      <c r="AL879" s="6">
        <f>IF(AK879-C879&lt;0,0,AK879-C879)</f>
        <v>0</v>
      </c>
      <c r="AM879" s="6">
        <f>IF(AL879-R879-S879&lt;0,0,AL879-R879-S879)</f>
        <v>0</v>
      </c>
      <c r="AN879" s="5" t="str">
        <f t="shared" si="27"/>
        <v/>
      </c>
      <c r="AO879" s="5">
        <v>0</v>
      </c>
      <c r="AP879" s="9"/>
      <c r="AQ879" s="5" t="s">
        <v>1210</v>
      </c>
      <c r="AR879" s="5" t="s">
        <v>1230</v>
      </c>
      <c r="AS879" s="8"/>
      <c r="AT879" s="8"/>
      <c r="AU879" s="8"/>
      <c r="AV879" s="8"/>
      <c r="AW879" s="8"/>
      <c r="AX879" s="8"/>
      <c r="AY879" s="8"/>
      <c r="AZ879" s="8"/>
    </row>
    <row r="880" spans="1:52">
      <c r="A880" s="5" t="s">
        <v>475</v>
      </c>
      <c r="B880" s="5">
        <v>1965</v>
      </c>
      <c r="C880" s="19">
        <v>864</v>
      </c>
      <c r="E880" s="14"/>
      <c r="F880" s="11"/>
      <c r="G880" s="11"/>
      <c r="H880" s="11"/>
      <c r="I880" s="11"/>
      <c r="J880" s="25"/>
      <c r="K880" s="11"/>
      <c r="L880" s="11"/>
      <c r="M880" s="19">
        <v>8</v>
      </c>
      <c r="O880" s="6"/>
      <c r="P880" s="16">
        <v>340</v>
      </c>
      <c r="Q880" s="16">
        <v>0</v>
      </c>
      <c r="R880" s="22"/>
      <c r="S880" s="22">
        <f t="shared" si="26"/>
        <v>0</v>
      </c>
      <c r="T880" s="5" t="s">
        <v>1210</v>
      </c>
      <c r="U880" s="5" t="s">
        <v>1210</v>
      </c>
      <c r="Y880" s="8"/>
      <c r="Z880" s="8"/>
      <c r="AA880" s="8"/>
      <c r="AB880" s="8"/>
      <c r="AC880" s="8"/>
      <c r="AD880" s="8"/>
      <c r="AE880" s="25"/>
      <c r="AF880" s="11"/>
      <c r="AG880" s="25"/>
      <c r="AH880" s="11"/>
      <c r="AI880" s="11">
        <v>48</v>
      </c>
      <c r="AJ880" s="19">
        <v>22</v>
      </c>
      <c r="AK880" s="12">
        <f>(AJ880+AI880)/30*7</f>
        <v>16.333333333333336</v>
      </c>
      <c r="AL880" s="6">
        <f>IF(AK880-C880&lt;0,0,AK880-C880)</f>
        <v>0</v>
      </c>
      <c r="AM880" s="6">
        <f>IF(AL880-R880-S880&lt;0,0,AL880-R880-S880)</f>
        <v>0</v>
      </c>
      <c r="AN880" s="5" t="str">
        <f t="shared" si="27"/>
        <v/>
      </c>
      <c r="AO880" s="5">
        <v>0</v>
      </c>
      <c r="AP880" s="9"/>
      <c r="AQ880" s="5" t="s">
        <v>1210</v>
      </c>
      <c r="AR880" s="5" t="s">
        <v>1210</v>
      </c>
      <c r="AS880" s="8"/>
      <c r="AT880" s="8"/>
      <c r="AU880" s="8"/>
      <c r="AV880" s="8"/>
      <c r="AW880" s="8"/>
      <c r="AX880" s="8"/>
      <c r="AY880" s="8"/>
      <c r="AZ880" s="8"/>
    </row>
    <row r="881" spans="1:52">
      <c r="A881" s="5" t="s">
        <v>477</v>
      </c>
      <c r="B881" s="5">
        <v>2170</v>
      </c>
      <c r="C881" s="19">
        <v>636</v>
      </c>
      <c r="E881" s="14"/>
      <c r="F881" s="11"/>
      <c r="G881" s="11"/>
      <c r="H881" s="11"/>
      <c r="I881" s="11"/>
      <c r="J881" s="25"/>
      <c r="K881" s="11"/>
      <c r="L881" s="11"/>
      <c r="M881" s="19">
        <v>0</v>
      </c>
      <c r="O881" s="6"/>
      <c r="P881" s="16">
        <v>249</v>
      </c>
      <c r="Q881" s="16">
        <v>0</v>
      </c>
      <c r="R881" s="22"/>
      <c r="S881" s="22">
        <f t="shared" si="26"/>
        <v>0</v>
      </c>
      <c r="T881" s="5" t="s">
        <v>1210</v>
      </c>
      <c r="U881" s="5" t="s">
        <v>1210</v>
      </c>
      <c r="Y881" s="8"/>
      <c r="Z881" s="8"/>
      <c r="AA881" s="8"/>
      <c r="AB881" s="8"/>
      <c r="AC881" s="8"/>
      <c r="AD881" s="8"/>
      <c r="AE881" s="25"/>
      <c r="AF881" s="11"/>
      <c r="AG881" s="25"/>
      <c r="AH881" s="11"/>
      <c r="AI881" s="11">
        <v>4</v>
      </c>
      <c r="AJ881" s="19">
        <v>26</v>
      </c>
      <c r="AK881" s="12">
        <f>(AJ881+AI881)/30*7</f>
        <v>7</v>
      </c>
      <c r="AL881" s="6">
        <f>IF(AK881-C881&lt;0,0,AK881-C881)</f>
        <v>0</v>
      </c>
      <c r="AM881" s="6">
        <f>IF(AL881-R881-S881&lt;0,0,AL881-R881-S881)</f>
        <v>0</v>
      </c>
      <c r="AN881" s="5" t="str">
        <f t="shared" si="27"/>
        <v/>
      </c>
      <c r="AO881" s="5">
        <v>0</v>
      </c>
      <c r="AP881" s="9"/>
      <c r="AQ881" s="5" t="s">
        <v>1210</v>
      </c>
      <c r="AR881" s="5" t="s">
        <v>1210</v>
      </c>
      <c r="AS881" s="8"/>
      <c r="AT881" s="8"/>
      <c r="AU881" s="8"/>
      <c r="AV881" s="8"/>
      <c r="AW881" s="8"/>
      <c r="AX881" s="8"/>
      <c r="AY881" s="8"/>
      <c r="AZ881" s="8"/>
    </row>
    <row r="882" spans="1:52">
      <c r="A882" s="5" t="s">
        <v>211</v>
      </c>
      <c r="B882" s="5">
        <v>506</v>
      </c>
      <c r="C882" s="19">
        <v>918</v>
      </c>
      <c r="E882" s="14"/>
      <c r="F882" s="11"/>
      <c r="G882" s="11"/>
      <c r="H882" s="11"/>
      <c r="I882" s="11"/>
      <c r="J882" s="25"/>
      <c r="K882" s="11"/>
      <c r="L882" s="11"/>
      <c r="M882" s="19">
        <v>0</v>
      </c>
      <c r="O882" s="6"/>
      <c r="P882" s="16">
        <v>718</v>
      </c>
      <c r="Q882" s="16">
        <v>0</v>
      </c>
      <c r="R882" s="22"/>
      <c r="S882" s="22">
        <f t="shared" si="26"/>
        <v>0</v>
      </c>
      <c r="T882" s="5" t="s">
        <v>1210</v>
      </c>
      <c r="U882" s="5" t="s">
        <v>1210</v>
      </c>
      <c r="Y882" s="8"/>
      <c r="Z882" s="8"/>
      <c r="AA882" s="8"/>
      <c r="AB882" s="8"/>
      <c r="AC882" s="8"/>
      <c r="AD882" s="8"/>
      <c r="AE882" s="25"/>
      <c r="AF882" s="11"/>
      <c r="AG882" s="25"/>
      <c r="AH882" s="11"/>
      <c r="AI882" s="11">
        <v>47</v>
      </c>
      <c r="AJ882" s="19">
        <v>27</v>
      </c>
      <c r="AK882" s="12">
        <f>(AJ882+AI882)/30*7</f>
        <v>17.266666666666666</v>
      </c>
      <c r="AL882" s="6">
        <f>IF(AK882-C882&lt;0,0,AK882-C882)</f>
        <v>0</v>
      </c>
      <c r="AM882" s="6">
        <f>IF(AL882-R882-S882&lt;0,0,AL882-R882-S882)</f>
        <v>0</v>
      </c>
      <c r="AN882" s="5" t="str">
        <f t="shared" si="27"/>
        <v/>
      </c>
      <c r="AO882" s="5">
        <v>0</v>
      </c>
      <c r="AP882" s="9"/>
      <c r="AQ882" s="5" t="s">
        <v>1210</v>
      </c>
      <c r="AR882" s="5" t="s">
        <v>1210</v>
      </c>
      <c r="AS882" s="8"/>
      <c r="AT882" s="8"/>
      <c r="AU882" s="8"/>
      <c r="AV882" s="8"/>
      <c r="AW882" s="8"/>
      <c r="AX882" s="8"/>
      <c r="AY882" s="8"/>
      <c r="AZ882" s="8"/>
    </row>
    <row r="883" spans="1:52">
      <c r="A883" s="5" t="s">
        <v>237</v>
      </c>
      <c r="B883" s="5">
        <v>1042</v>
      </c>
      <c r="C883" s="19">
        <v>884</v>
      </c>
      <c r="E883" s="14"/>
      <c r="F883" s="11"/>
      <c r="G883" s="11"/>
      <c r="H883" s="11"/>
      <c r="I883" s="11"/>
      <c r="J883" s="25"/>
      <c r="K883" s="11"/>
      <c r="L883" s="11"/>
      <c r="M883" s="19">
        <v>1</v>
      </c>
      <c r="O883" s="6"/>
      <c r="P883" s="16">
        <v>838</v>
      </c>
      <c r="Q883" s="16">
        <v>0</v>
      </c>
      <c r="R883" s="22"/>
      <c r="S883" s="22">
        <f t="shared" si="26"/>
        <v>0</v>
      </c>
      <c r="T883" s="5">
        <v>683</v>
      </c>
      <c r="U883" s="5">
        <v>935</v>
      </c>
      <c r="Y883" s="8"/>
      <c r="Z883" s="8"/>
      <c r="AA883" s="8"/>
      <c r="AB883" s="8"/>
      <c r="AC883" s="8"/>
      <c r="AD883" s="8"/>
      <c r="AE883" s="25"/>
      <c r="AF883" s="11"/>
      <c r="AG883" s="25"/>
      <c r="AH883" s="11"/>
      <c r="AI883" s="11">
        <v>2</v>
      </c>
      <c r="AJ883" s="19">
        <v>34</v>
      </c>
      <c r="AK883" s="12">
        <f>(AJ883+AI883)/30*7</f>
        <v>8.4</v>
      </c>
      <c r="AL883" s="6">
        <f>IF(AK883-C883&lt;0,0,AK883-C883)</f>
        <v>0</v>
      </c>
      <c r="AM883" s="6">
        <f>IF(AL883-R883-S883&lt;0,0,AL883-R883-S883)</f>
        <v>0</v>
      </c>
      <c r="AN883" s="5" t="str">
        <f t="shared" si="27"/>
        <v/>
      </c>
      <c r="AO883" s="5">
        <v>0</v>
      </c>
      <c r="AP883" s="9"/>
      <c r="AQ883" s="5" t="s">
        <v>1210</v>
      </c>
      <c r="AR883" s="5" t="s">
        <v>1210</v>
      </c>
      <c r="AS883" s="8"/>
      <c r="AT883" s="8"/>
      <c r="AU883" s="8"/>
      <c r="AV883" s="8"/>
      <c r="AW883" s="8"/>
      <c r="AX883" s="8"/>
      <c r="AY883" s="8"/>
      <c r="AZ883" s="8"/>
    </row>
    <row r="884" spans="1:52">
      <c r="A884" s="5" t="s">
        <v>157</v>
      </c>
      <c r="B884" s="5">
        <v>1093</v>
      </c>
      <c r="C884" s="19">
        <v>239</v>
      </c>
      <c r="E884" s="14"/>
      <c r="F884" s="11"/>
      <c r="G884" s="11"/>
      <c r="H884" s="11"/>
      <c r="I884" s="11"/>
      <c r="J884" s="25"/>
      <c r="K884" s="11"/>
      <c r="L884" s="11"/>
      <c r="M884" s="19">
        <v>0</v>
      </c>
      <c r="O884" s="6"/>
      <c r="P884" s="16">
        <v>239</v>
      </c>
      <c r="Q884" s="16">
        <v>310</v>
      </c>
      <c r="R884" s="22"/>
      <c r="S884" s="22">
        <f t="shared" si="26"/>
        <v>0</v>
      </c>
      <c r="T884" s="5" t="s">
        <v>1210</v>
      </c>
      <c r="U884" s="5" t="s">
        <v>1210</v>
      </c>
      <c r="Y884" s="8"/>
      <c r="Z884" s="8"/>
      <c r="AA884" s="8"/>
      <c r="AB884" s="8"/>
      <c r="AC884" s="8"/>
      <c r="AD884" s="8"/>
      <c r="AE884" s="25"/>
      <c r="AF884" s="11"/>
      <c r="AG884" s="25"/>
      <c r="AH884" s="11"/>
      <c r="AI884" s="11">
        <v>1</v>
      </c>
      <c r="AJ884" s="19">
        <v>25</v>
      </c>
      <c r="AK884" s="12">
        <f>(AJ884+AI884)/30*7</f>
        <v>6.0666666666666664</v>
      </c>
      <c r="AL884" s="6">
        <f>IF(AK884-C884&lt;0,0,AK884-C884)</f>
        <v>0</v>
      </c>
      <c r="AM884" s="6">
        <f>IF(AL884-R884-S884&lt;0,0,AL884-R884-S884)</f>
        <v>0</v>
      </c>
      <c r="AN884" s="5" t="str">
        <f t="shared" si="27"/>
        <v/>
      </c>
      <c r="AO884" s="5">
        <v>0</v>
      </c>
      <c r="AP884" s="9"/>
      <c r="AQ884" s="5" t="s">
        <v>1210</v>
      </c>
      <c r="AR884" s="5" t="s">
        <v>1210</v>
      </c>
      <c r="AS884" s="8"/>
      <c r="AT884" s="8"/>
      <c r="AU884" s="8"/>
      <c r="AV884" s="8"/>
      <c r="AW884" s="8"/>
      <c r="AX884" s="8"/>
      <c r="AY884" s="8"/>
      <c r="AZ884" s="8"/>
    </row>
    <row r="885" spans="1:52">
      <c r="A885" s="5" t="s">
        <v>255</v>
      </c>
      <c r="B885" s="5">
        <v>1340</v>
      </c>
      <c r="C885" s="19">
        <v>665</v>
      </c>
      <c r="E885" s="14"/>
      <c r="F885" s="11"/>
      <c r="G885" s="11"/>
      <c r="H885" s="11"/>
      <c r="I885" s="11"/>
      <c r="J885" s="25"/>
      <c r="K885" s="11"/>
      <c r="L885" s="11"/>
      <c r="M885" s="19">
        <v>0</v>
      </c>
      <c r="O885" s="6"/>
      <c r="P885" s="16">
        <v>989</v>
      </c>
      <c r="Q885" s="16">
        <v>624</v>
      </c>
      <c r="R885" s="22"/>
      <c r="S885" s="22">
        <f t="shared" si="26"/>
        <v>0</v>
      </c>
      <c r="T885" s="5" t="s">
        <v>1210</v>
      </c>
      <c r="U885" s="5" t="s">
        <v>1210</v>
      </c>
      <c r="Y885" s="8"/>
      <c r="Z885" s="8"/>
      <c r="AA885" s="8"/>
      <c r="AB885" s="8"/>
      <c r="AC885" s="8"/>
      <c r="AD885" s="8"/>
      <c r="AE885" s="25"/>
      <c r="AF885" s="11"/>
      <c r="AG885" s="25"/>
      <c r="AH885" s="11"/>
      <c r="AI885" s="11">
        <v>73</v>
      </c>
      <c r="AJ885" s="19">
        <v>7</v>
      </c>
      <c r="AK885" s="12">
        <f>(AJ885+AI885)/30*7</f>
        <v>18.666666666666664</v>
      </c>
      <c r="AL885" s="6">
        <f>IF(AK885-C885&lt;0,0,AK885-C885)</f>
        <v>0</v>
      </c>
      <c r="AM885" s="6">
        <f>IF(AL885-R885-S885&lt;0,0,AL885-R885-S885)</f>
        <v>0</v>
      </c>
      <c r="AN885" s="5" t="str">
        <f t="shared" si="27"/>
        <v/>
      </c>
      <c r="AO885" s="5">
        <v>0</v>
      </c>
      <c r="AP885" s="9"/>
      <c r="AQ885" s="5" t="s">
        <v>1210</v>
      </c>
      <c r="AR885" s="5" t="s">
        <v>1210</v>
      </c>
      <c r="AS885" s="8"/>
      <c r="AT885" s="8"/>
      <c r="AU885" s="8"/>
      <c r="AV885" s="8"/>
      <c r="AW885" s="8"/>
      <c r="AX885" s="8"/>
      <c r="AY885" s="8"/>
      <c r="AZ885" s="8"/>
    </row>
    <row r="886" spans="1:52">
      <c r="A886" s="5" t="s">
        <v>281</v>
      </c>
      <c r="B886" s="5">
        <v>1342</v>
      </c>
      <c r="C886" s="19">
        <v>763</v>
      </c>
      <c r="E886" s="14"/>
      <c r="F886" s="11"/>
      <c r="G886" s="11"/>
      <c r="H886" s="11"/>
      <c r="I886" s="11"/>
      <c r="J886" s="25"/>
      <c r="K886" s="11"/>
      <c r="L886" s="11"/>
      <c r="M886" s="19">
        <v>9</v>
      </c>
      <c r="O886" s="6"/>
      <c r="P886" s="16">
        <v>790</v>
      </c>
      <c r="Q886" s="16">
        <v>236</v>
      </c>
      <c r="R886" s="22"/>
      <c r="S886" s="22">
        <f t="shared" si="26"/>
        <v>0</v>
      </c>
      <c r="T886" s="5" t="s">
        <v>1210</v>
      </c>
      <c r="U886" s="5" t="s">
        <v>1210</v>
      </c>
      <c r="Y886" s="8"/>
      <c r="Z886" s="8"/>
      <c r="AA886" s="8"/>
      <c r="AB886" s="8"/>
      <c r="AC886" s="8"/>
      <c r="AD886" s="8"/>
      <c r="AE886" s="25"/>
      <c r="AF886" s="11"/>
      <c r="AG886" s="25"/>
      <c r="AH886" s="11"/>
      <c r="AI886" s="11">
        <v>86</v>
      </c>
      <c r="AJ886" s="19">
        <v>39</v>
      </c>
      <c r="AK886" s="12">
        <f>(AJ886+AI886)/30*7</f>
        <v>29.166666666666668</v>
      </c>
      <c r="AL886" s="6">
        <f>IF(AK886-C886&lt;0,0,AK886-C886)</f>
        <v>0</v>
      </c>
      <c r="AM886" s="6">
        <f>IF(AL886-R886-S886&lt;0,0,AL886-R886-S886)</f>
        <v>0</v>
      </c>
      <c r="AN886" s="5" t="str">
        <f t="shared" si="27"/>
        <v/>
      </c>
      <c r="AO886" s="5">
        <v>0</v>
      </c>
      <c r="AP886" s="9"/>
      <c r="AQ886" s="5" t="s">
        <v>1229</v>
      </c>
      <c r="AR886" s="5" t="s">
        <v>1210</v>
      </c>
      <c r="AS886" s="8"/>
      <c r="AT886" s="8"/>
      <c r="AU886" s="8"/>
      <c r="AV886" s="8"/>
      <c r="AW886" s="8"/>
      <c r="AX886" s="8"/>
      <c r="AY886" s="8"/>
      <c r="AZ886" s="8"/>
    </row>
    <row r="887" spans="1:52">
      <c r="A887" s="5" t="s">
        <v>284</v>
      </c>
      <c r="B887" s="5">
        <v>1473</v>
      </c>
      <c r="C887" s="19">
        <v>757</v>
      </c>
      <c r="E887" s="14"/>
      <c r="F887" s="11"/>
      <c r="G887" s="11"/>
      <c r="H887" s="11"/>
      <c r="I887" s="11"/>
      <c r="J887" s="25"/>
      <c r="K887" s="11"/>
      <c r="L887" s="11"/>
      <c r="M887" s="19">
        <v>0</v>
      </c>
      <c r="O887" s="6"/>
      <c r="P887" s="16">
        <v>790</v>
      </c>
      <c r="Q887" s="16">
        <v>0</v>
      </c>
      <c r="R887" s="22"/>
      <c r="S887" s="22">
        <f t="shared" si="26"/>
        <v>0</v>
      </c>
      <c r="T887" s="5" t="s">
        <v>1210</v>
      </c>
      <c r="U887" s="5" t="s">
        <v>1210</v>
      </c>
      <c r="Y887" s="8"/>
      <c r="Z887" s="8"/>
      <c r="AA887" s="8"/>
      <c r="AB887" s="8"/>
      <c r="AC887" s="8"/>
      <c r="AD887" s="8"/>
      <c r="AE887" s="25"/>
      <c r="AF887" s="11"/>
      <c r="AG887" s="25"/>
      <c r="AH887" s="11"/>
      <c r="AI887" s="11">
        <v>16</v>
      </c>
      <c r="AJ887" s="19">
        <v>17</v>
      </c>
      <c r="AK887" s="12">
        <f>(AJ887+AI887)/30*7</f>
        <v>7.7000000000000011</v>
      </c>
      <c r="AL887" s="6">
        <f>IF(AK887-C887&lt;0,0,AK887-C887)</f>
        <v>0</v>
      </c>
      <c r="AM887" s="6">
        <f>IF(AL887-R887-S887&lt;0,0,AL887-R887-S887)</f>
        <v>0</v>
      </c>
      <c r="AN887" s="5" t="str">
        <f t="shared" si="27"/>
        <v/>
      </c>
      <c r="AO887" s="5">
        <v>0</v>
      </c>
      <c r="AP887" s="9"/>
      <c r="AQ887" s="5" t="s">
        <v>1229</v>
      </c>
      <c r="AR887" s="5" t="s">
        <v>1210</v>
      </c>
      <c r="AS887" s="8"/>
      <c r="AT887" s="8"/>
      <c r="AU887" s="8"/>
      <c r="AV887" s="8"/>
      <c r="AW887" s="8"/>
      <c r="AX887" s="8"/>
      <c r="AY887" s="8"/>
      <c r="AZ887" s="8"/>
    </row>
    <row r="888" spans="1:52">
      <c r="A888" s="5" t="s">
        <v>282</v>
      </c>
      <c r="B888" s="5">
        <v>1347</v>
      </c>
      <c r="C888" s="19">
        <v>868</v>
      </c>
      <c r="E888" s="14"/>
      <c r="F888" s="11"/>
      <c r="G888" s="11"/>
      <c r="H888" s="11"/>
      <c r="I888" s="11"/>
      <c r="J888" s="25"/>
      <c r="K888" s="11"/>
      <c r="L888" s="11"/>
      <c r="M888" s="19">
        <v>0</v>
      </c>
      <c r="O888" s="6"/>
      <c r="P888" s="16">
        <v>501</v>
      </c>
      <c r="Q888" s="16">
        <v>0</v>
      </c>
      <c r="R888" s="22"/>
      <c r="S888" s="22">
        <f t="shared" si="26"/>
        <v>0</v>
      </c>
      <c r="T888" s="5" t="s">
        <v>1210</v>
      </c>
      <c r="U888" s="5" t="s">
        <v>1210</v>
      </c>
      <c r="Y888" s="8"/>
      <c r="Z888" s="8"/>
      <c r="AA888" s="8"/>
      <c r="AB888" s="8"/>
      <c r="AC888" s="8"/>
      <c r="AD888" s="8"/>
      <c r="AE888" s="25"/>
      <c r="AF888" s="11"/>
      <c r="AG888" s="25"/>
      <c r="AH888" s="11"/>
      <c r="AI888" s="11">
        <v>44</v>
      </c>
      <c r="AJ888" s="19">
        <v>18</v>
      </c>
      <c r="AK888" s="12">
        <f>(AJ888+AI888)/30*7</f>
        <v>14.466666666666669</v>
      </c>
      <c r="AL888" s="6">
        <f>IF(AK888-C888&lt;0,0,AK888-C888)</f>
        <v>0</v>
      </c>
      <c r="AM888" s="6">
        <f>IF(AL888-R888-S888&lt;0,0,AL888-R888-S888)</f>
        <v>0</v>
      </c>
      <c r="AN888" s="5" t="str">
        <f t="shared" si="27"/>
        <v/>
      </c>
      <c r="AO888" s="5">
        <v>0</v>
      </c>
      <c r="AP888" s="9"/>
      <c r="AQ888" s="5" t="s">
        <v>1210</v>
      </c>
      <c r="AR888" s="5" t="s">
        <v>1210</v>
      </c>
      <c r="AS888" s="8"/>
      <c r="AT888" s="8"/>
      <c r="AU888" s="8"/>
      <c r="AV888" s="8"/>
      <c r="AW888" s="8"/>
      <c r="AX888" s="8"/>
      <c r="AY888" s="8"/>
      <c r="AZ888" s="8"/>
    </row>
    <row r="889" spans="1:52">
      <c r="A889" s="5" t="s">
        <v>347</v>
      </c>
      <c r="B889" s="5">
        <v>1633</v>
      </c>
      <c r="C889" s="19">
        <v>382</v>
      </c>
      <c r="E889" s="14"/>
      <c r="F889" s="11"/>
      <c r="G889" s="11"/>
      <c r="H889" s="11"/>
      <c r="I889" s="11"/>
      <c r="J889" s="25"/>
      <c r="K889" s="11"/>
      <c r="L889" s="11"/>
      <c r="M889" s="19">
        <v>8</v>
      </c>
      <c r="O889" s="6"/>
      <c r="P889" s="16">
        <v>346</v>
      </c>
      <c r="Q889" s="16">
        <v>696</v>
      </c>
      <c r="R889" s="22"/>
      <c r="S889" s="22">
        <f t="shared" si="26"/>
        <v>0</v>
      </c>
      <c r="U889" s="5" t="s">
        <v>1210</v>
      </c>
      <c r="Y889" s="8"/>
      <c r="Z889" s="8"/>
      <c r="AA889" s="8"/>
      <c r="AB889" s="8"/>
      <c r="AC889" s="8"/>
      <c r="AD889" s="8"/>
      <c r="AE889" s="25"/>
      <c r="AF889" s="11"/>
      <c r="AG889" s="25"/>
      <c r="AH889" s="11"/>
      <c r="AI889" s="11">
        <v>7</v>
      </c>
      <c r="AJ889" s="19">
        <v>40</v>
      </c>
      <c r="AK889" s="12">
        <f>(AJ889+AI889)/30*7</f>
        <v>10.966666666666667</v>
      </c>
      <c r="AL889" s="6">
        <f>IF(AK889-C889&lt;0,0,AK889-C889)</f>
        <v>0</v>
      </c>
      <c r="AM889" s="6">
        <f>IF(AL889-R889-S889&lt;0,0,AL889-R889-S889)</f>
        <v>0</v>
      </c>
      <c r="AN889" s="5" t="str">
        <f t="shared" si="27"/>
        <v/>
      </c>
      <c r="AO889" s="5">
        <v>0</v>
      </c>
      <c r="AP889" s="9"/>
      <c r="AQ889" s="5" t="s">
        <v>1210</v>
      </c>
      <c r="AR889" s="5" t="s">
        <v>1210</v>
      </c>
      <c r="AS889" s="8"/>
      <c r="AT889" s="8"/>
      <c r="AU889" s="8"/>
      <c r="AV889" s="8"/>
      <c r="AW889" s="8"/>
      <c r="AX889" s="8"/>
      <c r="AY889" s="8"/>
      <c r="AZ889" s="8"/>
    </row>
    <row r="890" spans="1:52">
      <c r="A890" s="5" t="s">
        <v>389</v>
      </c>
      <c r="B890" s="5">
        <v>2178</v>
      </c>
      <c r="C890" s="19">
        <v>618</v>
      </c>
      <c r="E890" s="14"/>
      <c r="F890" s="11"/>
      <c r="G890" s="11"/>
      <c r="H890" s="11"/>
      <c r="I890" s="11"/>
      <c r="J890" s="25"/>
      <c r="K890" s="11"/>
      <c r="L890" s="11"/>
      <c r="M890" s="19">
        <v>0</v>
      </c>
      <c r="O890" s="6"/>
      <c r="P890" s="16">
        <v>551</v>
      </c>
      <c r="Q890" s="16">
        <v>0</v>
      </c>
      <c r="R890" s="22"/>
      <c r="S890" s="22">
        <f t="shared" si="26"/>
        <v>0</v>
      </c>
      <c r="T890" s="5" t="s">
        <v>1210</v>
      </c>
      <c r="U890" s="5" t="s">
        <v>1210</v>
      </c>
      <c r="Y890" s="8"/>
      <c r="Z890" s="8"/>
      <c r="AA890" s="8"/>
      <c r="AB890" s="8"/>
      <c r="AC890" s="8"/>
      <c r="AD890" s="8"/>
      <c r="AE890" s="25"/>
      <c r="AF890" s="11"/>
      <c r="AG890" s="25"/>
      <c r="AH890" s="11"/>
      <c r="AI890" s="11">
        <v>72</v>
      </c>
      <c r="AJ890" s="19">
        <v>16</v>
      </c>
      <c r="AK890" s="12">
        <f>(AJ890+AI890)/30*7</f>
        <v>20.533333333333331</v>
      </c>
      <c r="AL890" s="6">
        <f>IF(AK890-C890&lt;0,0,AK890-C890)</f>
        <v>0</v>
      </c>
      <c r="AM890" s="6">
        <f>IF(AL890-R890-S890&lt;0,0,AL890-R890-S890)</f>
        <v>0</v>
      </c>
      <c r="AN890" s="5" t="str">
        <f t="shared" si="27"/>
        <v/>
      </c>
      <c r="AO890" s="5">
        <v>0</v>
      </c>
      <c r="AP890" s="9"/>
      <c r="AQ890" s="5" t="s">
        <v>1210</v>
      </c>
      <c r="AR890" s="5" t="s">
        <v>1210</v>
      </c>
      <c r="AS890" s="8"/>
      <c r="AT890" s="8"/>
      <c r="AU890" s="8"/>
      <c r="AV890" s="8"/>
      <c r="AW890" s="8"/>
      <c r="AX890" s="8"/>
      <c r="AY890" s="8"/>
      <c r="AZ890" s="8"/>
    </row>
    <row r="891" spans="1:52">
      <c r="A891" s="5" t="s">
        <v>324</v>
      </c>
      <c r="B891" s="5">
        <v>1775</v>
      </c>
      <c r="C891" s="19">
        <v>528</v>
      </c>
      <c r="E891" s="14"/>
      <c r="F891" s="11"/>
      <c r="G891" s="11"/>
      <c r="H891" s="11"/>
      <c r="I891" s="11"/>
      <c r="J891" s="25"/>
      <c r="K891" s="11"/>
      <c r="L891" s="11"/>
      <c r="M891" s="19">
        <v>0</v>
      </c>
      <c r="O891" s="6"/>
      <c r="P891" s="16">
        <v>636</v>
      </c>
      <c r="Q891" s="16">
        <v>0</v>
      </c>
      <c r="R891" s="22"/>
      <c r="S891" s="22">
        <f t="shared" si="26"/>
        <v>0</v>
      </c>
      <c r="T891" s="5" t="s">
        <v>1210</v>
      </c>
      <c r="U891" s="5" t="s">
        <v>1210</v>
      </c>
      <c r="Y891" s="8"/>
      <c r="Z891" s="8"/>
      <c r="AA891" s="8"/>
      <c r="AB891" s="8"/>
      <c r="AC891" s="8"/>
      <c r="AD891" s="8"/>
      <c r="AE891" s="25"/>
      <c r="AF891" s="11"/>
      <c r="AG891" s="25"/>
      <c r="AH891" s="11"/>
      <c r="AI891" s="11">
        <v>14</v>
      </c>
      <c r="AJ891" s="19">
        <v>3</v>
      </c>
      <c r="AK891" s="12">
        <f>(AJ891+AI891)/30*7</f>
        <v>3.9666666666666668</v>
      </c>
      <c r="AL891" s="6">
        <f>IF(AK891-C891&lt;0,0,AK891-C891)</f>
        <v>0</v>
      </c>
      <c r="AM891" s="6">
        <f>IF(AL891-R891-S891&lt;0,0,AL891-R891-S891)</f>
        <v>0</v>
      </c>
      <c r="AN891" s="5" t="str">
        <f t="shared" si="27"/>
        <v/>
      </c>
      <c r="AO891" s="5">
        <v>0</v>
      </c>
      <c r="AP891" s="9"/>
      <c r="AQ891" s="5" t="s">
        <v>1210</v>
      </c>
      <c r="AR891" s="5" t="s">
        <v>1210</v>
      </c>
      <c r="AS891" s="8"/>
      <c r="AT891" s="8"/>
      <c r="AU891" s="8"/>
      <c r="AV891" s="8"/>
      <c r="AW891" s="8"/>
      <c r="AX891" s="8"/>
      <c r="AY891" s="8"/>
      <c r="AZ891" s="8"/>
    </row>
    <row r="892" spans="1:52">
      <c r="A892" s="5" t="s">
        <v>336</v>
      </c>
      <c r="B892" s="5">
        <v>1463</v>
      </c>
      <c r="C892" s="19">
        <v>750</v>
      </c>
      <c r="E892" s="14"/>
      <c r="F892" s="11"/>
      <c r="G892" s="11"/>
      <c r="H892" s="11"/>
      <c r="I892" s="11"/>
      <c r="J892" s="25"/>
      <c r="K892" s="11"/>
      <c r="L892" s="11"/>
      <c r="M892" s="19">
        <v>0</v>
      </c>
      <c r="O892" s="6"/>
      <c r="P892" s="16">
        <v>706</v>
      </c>
      <c r="Q892" s="16">
        <v>0</v>
      </c>
      <c r="R892" s="22"/>
      <c r="S892" s="22">
        <f t="shared" si="26"/>
        <v>0</v>
      </c>
      <c r="T892" s="5" t="s">
        <v>1210</v>
      </c>
      <c r="U892" s="5" t="s">
        <v>1210</v>
      </c>
      <c r="Y892" s="8"/>
      <c r="Z892" s="8"/>
      <c r="AA892" s="8"/>
      <c r="AB892" s="8"/>
      <c r="AC892" s="8"/>
      <c r="AD892" s="8"/>
      <c r="AE892" s="25"/>
      <c r="AF892" s="11"/>
      <c r="AG892" s="25"/>
      <c r="AH892" s="11"/>
      <c r="AI892" s="11">
        <v>21</v>
      </c>
      <c r="AJ892" s="19">
        <v>8</v>
      </c>
      <c r="AK892" s="12">
        <f>(AJ892+AI892)/30*7</f>
        <v>6.7666666666666666</v>
      </c>
      <c r="AL892" s="6">
        <f>IF(AK892-C892&lt;0,0,AK892-C892)</f>
        <v>0</v>
      </c>
      <c r="AM892" s="6">
        <f>IF(AL892-R892-S892&lt;0,0,AL892-R892-S892)</f>
        <v>0</v>
      </c>
      <c r="AN892" s="5" t="str">
        <f t="shared" si="27"/>
        <v/>
      </c>
      <c r="AO892" s="5">
        <v>0</v>
      </c>
      <c r="AP892" s="9"/>
      <c r="AQ892" s="5" t="s">
        <v>1210</v>
      </c>
      <c r="AR892" s="5" t="s">
        <v>1210</v>
      </c>
      <c r="AS892" s="8"/>
      <c r="AT892" s="8"/>
      <c r="AU892" s="8"/>
      <c r="AV892" s="8"/>
      <c r="AW892" s="8"/>
      <c r="AX892" s="8"/>
      <c r="AY892" s="8"/>
      <c r="AZ892" s="8"/>
    </row>
    <row r="893" spans="1:52">
      <c r="A893" s="5" t="s">
        <v>334</v>
      </c>
      <c r="B893" s="5" t="s">
        <v>1145</v>
      </c>
      <c r="C893" s="19">
        <v>923</v>
      </c>
      <c r="E893" s="14"/>
      <c r="F893" s="11"/>
      <c r="G893" s="11"/>
      <c r="H893" s="11"/>
      <c r="I893" s="11"/>
      <c r="J893" s="25"/>
      <c r="K893" s="11"/>
      <c r="L893" s="11"/>
      <c r="M893" s="19">
        <v>0</v>
      </c>
      <c r="O893" s="6"/>
      <c r="P893" s="16">
        <v>0</v>
      </c>
      <c r="Q893" s="16">
        <v>668</v>
      </c>
      <c r="R893" s="22"/>
      <c r="S893" s="22">
        <f t="shared" si="26"/>
        <v>0</v>
      </c>
      <c r="T893" s="5" t="s">
        <v>1210</v>
      </c>
      <c r="U893" s="5" t="s">
        <v>1210</v>
      </c>
      <c r="Y893" s="8"/>
      <c r="Z893" s="8"/>
      <c r="AA893" s="8"/>
      <c r="AB893" s="8"/>
      <c r="AC893" s="8"/>
      <c r="AD893" s="8"/>
      <c r="AE893" s="25"/>
      <c r="AF893" s="11"/>
      <c r="AG893" s="25"/>
      <c r="AH893" s="11"/>
      <c r="AI893" s="11">
        <v>11</v>
      </c>
      <c r="AJ893" s="19">
        <v>38</v>
      </c>
      <c r="AK893" s="12">
        <f>(AJ893+AI893)/30*7</f>
        <v>11.433333333333334</v>
      </c>
      <c r="AL893" s="6">
        <f>IF(AK893-C893&lt;0,0,AK893-C893)</f>
        <v>0</v>
      </c>
      <c r="AM893" s="6">
        <f>IF(AL893-R893-S893&lt;0,0,AL893-R893-S893)</f>
        <v>0</v>
      </c>
      <c r="AN893" s="5" t="str">
        <f t="shared" si="27"/>
        <v/>
      </c>
      <c r="AO893" s="5">
        <v>0</v>
      </c>
      <c r="AP893" s="9"/>
      <c r="AQ893" s="5" t="s">
        <v>1210</v>
      </c>
      <c r="AR893" s="5" t="s">
        <v>1210</v>
      </c>
      <c r="AS893" s="8"/>
      <c r="AT893" s="8"/>
      <c r="AU893" s="8"/>
      <c r="AV893" s="8"/>
      <c r="AW893" s="8"/>
      <c r="AX893" s="8"/>
      <c r="AY893" s="8"/>
      <c r="AZ893" s="8"/>
    </row>
    <row r="894" spans="1:52">
      <c r="A894" s="5" t="s">
        <v>365</v>
      </c>
      <c r="B894" s="5">
        <v>872</v>
      </c>
      <c r="C894" s="19">
        <v>517</v>
      </c>
      <c r="E894" s="14"/>
      <c r="F894" s="11"/>
      <c r="G894" s="11"/>
      <c r="H894" s="11"/>
      <c r="I894" s="11"/>
      <c r="J894" s="25"/>
      <c r="K894" s="11"/>
      <c r="L894" s="11"/>
      <c r="M894" s="19">
        <v>0</v>
      </c>
      <c r="O894" s="6"/>
      <c r="P894" s="16">
        <v>979</v>
      </c>
      <c r="Q894" s="16">
        <v>258</v>
      </c>
      <c r="R894" s="22"/>
      <c r="S894" s="22">
        <f t="shared" si="26"/>
        <v>0</v>
      </c>
      <c r="T894" s="5" t="s">
        <v>1210</v>
      </c>
      <c r="U894" s="5" t="s">
        <v>1210</v>
      </c>
      <c r="Y894" s="8"/>
      <c r="Z894" s="8"/>
      <c r="AA894" s="8"/>
      <c r="AB894" s="8"/>
      <c r="AC894" s="8"/>
      <c r="AD894" s="8"/>
      <c r="AE894" s="25"/>
      <c r="AF894" s="11"/>
      <c r="AG894" s="25"/>
      <c r="AH894" s="11"/>
      <c r="AI894" s="11">
        <v>70</v>
      </c>
      <c r="AJ894" s="19">
        <v>17</v>
      </c>
      <c r="AK894" s="12">
        <f>(AJ894+AI894)/30*7</f>
        <v>20.3</v>
      </c>
      <c r="AL894" s="6">
        <f>IF(AK894-C894&lt;0,0,AK894-C894)</f>
        <v>0</v>
      </c>
      <c r="AM894" s="6">
        <f>IF(AL894-R894-S894&lt;0,0,AL894-R894-S894)</f>
        <v>0</v>
      </c>
      <c r="AN894" s="5" t="str">
        <f t="shared" si="27"/>
        <v/>
      </c>
      <c r="AO894" s="5">
        <v>0</v>
      </c>
      <c r="AP894" s="9"/>
      <c r="AQ894" s="5" t="s">
        <v>1210</v>
      </c>
      <c r="AR894" s="5" t="s">
        <v>1210</v>
      </c>
      <c r="AS894" s="8"/>
      <c r="AT894" s="8"/>
      <c r="AU894" s="8"/>
      <c r="AV894" s="8"/>
      <c r="AW894" s="8"/>
      <c r="AX894" s="8"/>
      <c r="AY894" s="8"/>
      <c r="AZ894" s="8"/>
    </row>
    <row r="895" spans="1:52">
      <c r="A895" s="5" t="s">
        <v>352</v>
      </c>
      <c r="B895" s="5">
        <v>779</v>
      </c>
      <c r="C895" s="19">
        <v>499</v>
      </c>
      <c r="E895" s="14"/>
      <c r="F895" s="11"/>
      <c r="G895" s="11"/>
      <c r="H895" s="11"/>
      <c r="I895" s="11"/>
      <c r="J895" s="25"/>
      <c r="K895" s="11"/>
      <c r="L895" s="11"/>
      <c r="M895" s="19">
        <v>0</v>
      </c>
      <c r="O895" s="6"/>
      <c r="P895" s="16">
        <v>268</v>
      </c>
      <c r="Q895" s="16">
        <v>0</v>
      </c>
      <c r="R895" s="22"/>
      <c r="S895" s="22">
        <f t="shared" si="26"/>
        <v>0</v>
      </c>
      <c r="T895" s="5" t="s">
        <v>1210</v>
      </c>
      <c r="U895" s="5" t="s">
        <v>1210</v>
      </c>
      <c r="Y895" s="8"/>
      <c r="Z895" s="8"/>
      <c r="AA895" s="8"/>
      <c r="AB895" s="8"/>
      <c r="AC895" s="8"/>
      <c r="AD895" s="8"/>
      <c r="AE895" s="25"/>
      <c r="AF895" s="11"/>
      <c r="AG895" s="25"/>
      <c r="AH895" s="11"/>
      <c r="AI895" s="11">
        <v>71</v>
      </c>
      <c r="AJ895" s="19">
        <v>14</v>
      </c>
      <c r="AK895" s="12">
        <f>(AJ895+AI895)/30*7</f>
        <v>19.833333333333336</v>
      </c>
      <c r="AL895" s="6">
        <f>IF(AK895-C895&lt;0,0,AK895-C895)</f>
        <v>0</v>
      </c>
      <c r="AM895" s="6">
        <f>IF(AL895-R895-S895&lt;0,0,AL895-R895-S895)</f>
        <v>0</v>
      </c>
      <c r="AN895" s="5" t="str">
        <f t="shared" si="27"/>
        <v/>
      </c>
      <c r="AO895" s="5">
        <v>0</v>
      </c>
      <c r="AP895" s="9"/>
      <c r="AQ895" s="5" t="s">
        <v>1210</v>
      </c>
      <c r="AR895" s="5" t="s">
        <v>1210</v>
      </c>
      <c r="AS895" s="8"/>
      <c r="AT895" s="8"/>
      <c r="AU895" s="8"/>
      <c r="AV895" s="8"/>
      <c r="AW895" s="8"/>
      <c r="AX895" s="8"/>
      <c r="AY895" s="8"/>
      <c r="AZ895" s="8"/>
    </row>
    <row r="896" spans="1:52">
      <c r="A896" s="5" t="s">
        <v>277</v>
      </c>
      <c r="B896" s="5">
        <v>1896</v>
      </c>
      <c r="C896" s="19">
        <v>300</v>
      </c>
      <c r="E896" s="14"/>
      <c r="F896" s="11"/>
      <c r="G896" s="11"/>
      <c r="H896" s="11"/>
      <c r="I896" s="11"/>
      <c r="J896" s="25"/>
      <c r="K896" s="11"/>
      <c r="L896" s="11"/>
      <c r="M896" s="19">
        <v>1</v>
      </c>
      <c r="O896" s="6"/>
      <c r="P896" s="16">
        <v>960</v>
      </c>
      <c r="Q896" s="16">
        <v>0</v>
      </c>
      <c r="R896" s="22"/>
      <c r="S896" s="22">
        <f t="shared" si="26"/>
        <v>0</v>
      </c>
      <c r="T896" s="5" t="s">
        <v>1210</v>
      </c>
      <c r="U896" s="5" t="s">
        <v>1210</v>
      </c>
      <c r="Y896" s="8"/>
      <c r="Z896" s="8"/>
      <c r="AA896" s="8"/>
      <c r="AB896" s="8"/>
      <c r="AC896" s="8"/>
      <c r="AD896" s="8"/>
      <c r="AE896" s="25"/>
      <c r="AF896" s="11"/>
      <c r="AG896" s="25"/>
      <c r="AH896" s="11"/>
      <c r="AI896" s="11">
        <v>2</v>
      </c>
      <c r="AJ896" s="19">
        <v>54</v>
      </c>
      <c r="AK896" s="12">
        <f>(AJ896+AI896)/30*7</f>
        <v>13.066666666666666</v>
      </c>
      <c r="AL896" s="6">
        <f>IF(AK896-C896&lt;0,0,AK896-C896)</f>
        <v>0</v>
      </c>
      <c r="AM896" s="6">
        <f>IF(AL896-R896-S896&lt;0,0,AL896-R896-S896)</f>
        <v>0</v>
      </c>
      <c r="AN896" s="5" t="str">
        <f t="shared" si="27"/>
        <v/>
      </c>
      <c r="AO896" s="5">
        <v>0</v>
      </c>
      <c r="AP896" s="9"/>
      <c r="AQ896" s="5" t="s">
        <v>1210</v>
      </c>
      <c r="AR896" s="5" t="s">
        <v>1210</v>
      </c>
      <c r="AS896" s="8"/>
      <c r="AT896" s="8"/>
      <c r="AU896" s="8"/>
      <c r="AV896" s="8"/>
      <c r="AW896" s="8"/>
      <c r="AX896" s="8"/>
      <c r="AY896" s="8"/>
      <c r="AZ896" s="8"/>
    </row>
    <row r="897" spans="1:52">
      <c r="A897" s="5" t="s">
        <v>267</v>
      </c>
      <c r="B897" s="5">
        <v>623</v>
      </c>
      <c r="C897" s="19">
        <v>596</v>
      </c>
      <c r="E897" s="14"/>
      <c r="F897" s="11"/>
      <c r="G897" s="11"/>
      <c r="H897" s="11"/>
      <c r="I897" s="11"/>
      <c r="J897" s="25"/>
      <c r="K897" s="11"/>
      <c r="L897" s="11"/>
      <c r="M897" s="19">
        <v>0</v>
      </c>
      <c r="O897" s="6"/>
      <c r="P897" s="16">
        <v>0</v>
      </c>
      <c r="Q897" s="16">
        <v>0</v>
      </c>
      <c r="R897" s="22"/>
      <c r="S897" s="22">
        <f t="shared" si="26"/>
        <v>0</v>
      </c>
      <c r="T897" s="5" t="s">
        <v>1210</v>
      </c>
      <c r="U897" s="5" t="s">
        <v>1210</v>
      </c>
      <c r="Y897" s="8"/>
      <c r="Z897" s="8"/>
      <c r="AA897" s="8"/>
      <c r="AB897" s="8"/>
      <c r="AC897" s="8"/>
      <c r="AD897" s="8"/>
      <c r="AE897" s="25"/>
      <c r="AF897" s="11"/>
      <c r="AG897" s="25"/>
      <c r="AH897" s="11"/>
      <c r="AI897" s="11">
        <v>39</v>
      </c>
      <c r="AJ897" s="19">
        <v>14</v>
      </c>
      <c r="AK897" s="12">
        <f>(AJ897+AI897)/30*7</f>
        <v>12.366666666666667</v>
      </c>
      <c r="AL897" s="6">
        <f>IF(AK897-C897&lt;0,0,AK897-C897)</f>
        <v>0</v>
      </c>
      <c r="AM897" s="6">
        <f>IF(AL897-R897-S897&lt;0,0,AL897-R897-S897)</f>
        <v>0</v>
      </c>
      <c r="AN897" s="5" t="str">
        <f t="shared" si="27"/>
        <v/>
      </c>
      <c r="AO897" s="5">
        <v>0</v>
      </c>
      <c r="AP897" s="9"/>
      <c r="AQ897" s="5" t="s">
        <v>1210</v>
      </c>
      <c r="AR897" s="5" t="s">
        <v>1210</v>
      </c>
      <c r="AS897" s="8"/>
      <c r="AT897" s="8"/>
      <c r="AU897" s="8"/>
      <c r="AV897" s="8"/>
      <c r="AW897" s="8"/>
      <c r="AX897" s="8"/>
      <c r="AY897" s="8"/>
      <c r="AZ897" s="8"/>
    </row>
    <row r="898" spans="1:52">
      <c r="A898" s="5" t="s">
        <v>176</v>
      </c>
      <c r="B898" s="5">
        <v>934</v>
      </c>
      <c r="C898" s="19">
        <v>636</v>
      </c>
      <c r="E898" s="14"/>
      <c r="F898" s="11"/>
      <c r="G898" s="11"/>
      <c r="H898" s="11"/>
      <c r="I898" s="11"/>
      <c r="J898" s="25"/>
      <c r="K898" s="11"/>
      <c r="L898" s="11"/>
      <c r="M898" s="19">
        <v>0</v>
      </c>
      <c r="O898" s="6"/>
      <c r="P898" s="16">
        <v>573</v>
      </c>
      <c r="Q898" s="16">
        <v>993</v>
      </c>
      <c r="R898" s="22"/>
      <c r="S898" s="22">
        <f t="shared" si="26"/>
        <v>0</v>
      </c>
      <c r="T898" s="5" t="s">
        <v>1210</v>
      </c>
      <c r="U898" s="5" t="s">
        <v>1210</v>
      </c>
      <c r="Y898" s="8"/>
      <c r="Z898" s="8"/>
      <c r="AA898" s="8"/>
      <c r="AB898" s="8"/>
      <c r="AC898" s="8"/>
      <c r="AD898" s="8"/>
      <c r="AE898" s="25"/>
      <c r="AF898" s="11"/>
      <c r="AG898" s="25"/>
      <c r="AH898" s="11"/>
      <c r="AI898" s="11">
        <v>30</v>
      </c>
      <c r="AJ898" s="19">
        <v>39</v>
      </c>
      <c r="AK898" s="12">
        <f>(AJ898+AI898)/30*7</f>
        <v>16.099999999999998</v>
      </c>
      <c r="AL898" s="6">
        <f>IF(AK898-C898&lt;0,0,AK898-C898)</f>
        <v>0</v>
      </c>
      <c r="AM898" s="6">
        <f>IF(AL898-R898-S898&lt;0,0,AL898-R898-S898)</f>
        <v>0</v>
      </c>
      <c r="AN898" s="5" t="str">
        <f t="shared" si="27"/>
        <v/>
      </c>
      <c r="AO898" s="5">
        <v>0</v>
      </c>
      <c r="AP898" s="9"/>
      <c r="AQ898" s="5" t="s">
        <v>1210</v>
      </c>
      <c r="AR898" s="5" t="s">
        <v>1210</v>
      </c>
      <c r="AS898" s="8"/>
      <c r="AT898" s="8"/>
      <c r="AU898" s="8"/>
      <c r="AV898" s="8"/>
      <c r="AW898" s="8"/>
      <c r="AX898" s="8"/>
      <c r="AY898" s="8"/>
      <c r="AZ898" s="8"/>
    </row>
    <row r="899" spans="1:52">
      <c r="A899" s="5" t="s">
        <v>271</v>
      </c>
      <c r="B899" s="5">
        <v>1008</v>
      </c>
      <c r="C899" s="19">
        <v>682</v>
      </c>
      <c r="E899" s="14"/>
      <c r="F899" s="11"/>
      <c r="G899" s="11"/>
      <c r="H899" s="11"/>
      <c r="I899" s="11"/>
      <c r="J899" s="25"/>
      <c r="K899" s="11"/>
      <c r="L899" s="11"/>
      <c r="M899" s="19">
        <v>0</v>
      </c>
      <c r="O899" s="6"/>
      <c r="P899" s="16">
        <v>920</v>
      </c>
      <c r="Q899" s="16">
        <v>561</v>
      </c>
      <c r="R899" s="22"/>
      <c r="S899" s="22">
        <f t="shared" si="26"/>
        <v>0</v>
      </c>
      <c r="T899" s="5" t="s">
        <v>1210</v>
      </c>
      <c r="U899" s="5" t="s">
        <v>1210</v>
      </c>
      <c r="Y899" s="8"/>
      <c r="Z899" s="8"/>
      <c r="AA899" s="8"/>
      <c r="AB899" s="8"/>
      <c r="AC899" s="8"/>
      <c r="AD899" s="8"/>
      <c r="AE899" s="25"/>
      <c r="AF899" s="11"/>
      <c r="AG899" s="25"/>
      <c r="AH899" s="11"/>
      <c r="AI899" s="11">
        <v>17</v>
      </c>
      <c r="AJ899" s="19">
        <v>48</v>
      </c>
      <c r="AK899" s="12">
        <f>(AJ899+AI899)/30*7</f>
        <v>15.166666666666666</v>
      </c>
      <c r="AL899" s="6">
        <f>IF(AK899-C899&lt;0,0,AK899-C899)</f>
        <v>0</v>
      </c>
      <c r="AM899" s="6">
        <f>IF(AL899-R899-S899&lt;0,0,AL899-R899-S899)</f>
        <v>0</v>
      </c>
      <c r="AN899" s="5" t="str">
        <f t="shared" si="27"/>
        <v/>
      </c>
      <c r="AO899" s="5">
        <v>0</v>
      </c>
      <c r="AP899" s="9"/>
      <c r="AQ899" s="5" t="s">
        <v>1210</v>
      </c>
      <c r="AR899" s="5" t="s">
        <v>1210</v>
      </c>
      <c r="AS899" s="8"/>
      <c r="AT899" s="8"/>
      <c r="AU899" s="8"/>
      <c r="AV899" s="8"/>
      <c r="AW899" s="8"/>
      <c r="AX899" s="8"/>
      <c r="AY899" s="8"/>
      <c r="AZ899" s="8"/>
    </row>
    <row r="900" spans="1:52">
      <c r="A900" s="5" t="s">
        <v>295</v>
      </c>
      <c r="B900" s="5">
        <v>835</v>
      </c>
      <c r="C900" s="19">
        <v>462</v>
      </c>
      <c r="E900" s="14"/>
      <c r="F900" s="11"/>
      <c r="G900" s="11"/>
      <c r="H900" s="11"/>
      <c r="I900" s="11"/>
      <c r="J900" s="25"/>
      <c r="K900" s="11"/>
      <c r="L900" s="11"/>
      <c r="M900" s="19">
        <v>0</v>
      </c>
      <c r="O900" s="6"/>
      <c r="P900" s="16">
        <v>306</v>
      </c>
      <c r="Q900" s="16">
        <v>532</v>
      </c>
      <c r="R900" s="22"/>
      <c r="S900" s="22">
        <f t="shared" ref="S900:S963" si="28">IF(AL900&gt;0,IF(Q900&gt;=AL900,ROUND(AL900,0),Q900),0)</f>
        <v>0</v>
      </c>
      <c r="T900" s="5" t="s">
        <v>1210</v>
      </c>
      <c r="U900" s="5" t="s">
        <v>1210</v>
      </c>
      <c r="Y900" s="8"/>
      <c r="Z900" s="8"/>
      <c r="AA900" s="8"/>
      <c r="AB900" s="8"/>
      <c r="AC900" s="8"/>
      <c r="AD900" s="8"/>
      <c r="AE900" s="25"/>
      <c r="AF900" s="11"/>
      <c r="AG900" s="25"/>
      <c r="AH900" s="11"/>
      <c r="AI900" s="11">
        <v>5</v>
      </c>
      <c r="AJ900" s="19">
        <v>22</v>
      </c>
      <c r="AK900" s="12">
        <f>(AJ900+AI900)/30*7</f>
        <v>6.3</v>
      </c>
      <c r="AL900" s="6">
        <f>IF(AK900-C900&lt;0,0,AK900-C900)</f>
        <v>0</v>
      </c>
      <c r="AM900" s="6">
        <f>IF(AL900-R900-S900&lt;0,0,AL900-R900-S900)</f>
        <v>0</v>
      </c>
      <c r="AN900" s="5" t="str">
        <f t="shared" ref="AN900:AN963" si="29">IF(AM900&gt;0,IF(LEN(U900)=0,IF(ROUND(AM900-AO900,0)&gt;0,ROUND(AM900-AO900,0),""),IF(U900+AO900&gt;=AM900,"",ROUND(AM900-U900-AO900,0))),"")</f>
        <v/>
      </c>
      <c r="AO900" s="5">
        <v>0</v>
      </c>
      <c r="AP900" s="9"/>
      <c r="AQ900" s="5" t="s">
        <v>1210</v>
      </c>
      <c r="AR900" s="5" t="s">
        <v>1210</v>
      </c>
      <c r="AS900" s="8"/>
      <c r="AT900" s="8"/>
      <c r="AU900" s="8"/>
      <c r="AV900" s="8"/>
      <c r="AW900" s="8"/>
      <c r="AX900" s="8"/>
      <c r="AY900" s="8"/>
      <c r="AZ900" s="8"/>
    </row>
    <row r="901" spans="1:52">
      <c r="A901" s="5" t="s">
        <v>286</v>
      </c>
      <c r="B901" s="5">
        <v>332</v>
      </c>
      <c r="C901" s="19">
        <v>414</v>
      </c>
      <c r="E901" s="14"/>
      <c r="F901" s="11"/>
      <c r="G901" s="11"/>
      <c r="H901" s="11"/>
      <c r="I901" s="11"/>
      <c r="J901" s="25"/>
      <c r="K901" s="11"/>
      <c r="L901" s="11"/>
      <c r="M901" s="19">
        <v>0</v>
      </c>
      <c r="O901" s="6"/>
      <c r="P901" s="16">
        <v>0</v>
      </c>
      <c r="Q901" s="16">
        <v>344</v>
      </c>
      <c r="R901" s="22"/>
      <c r="S901" s="22">
        <f t="shared" si="28"/>
        <v>0</v>
      </c>
      <c r="T901" s="5" t="s">
        <v>1210</v>
      </c>
      <c r="U901" s="5" t="s">
        <v>1210</v>
      </c>
      <c r="Y901" s="8"/>
      <c r="Z901" s="8"/>
      <c r="AA901" s="8"/>
      <c r="AB901" s="8"/>
      <c r="AC901" s="8"/>
      <c r="AD901" s="8"/>
      <c r="AE901" s="25"/>
      <c r="AF901" s="11"/>
      <c r="AG901" s="25"/>
      <c r="AH901" s="11"/>
      <c r="AI901" s="11">
        <v>64</v>
      </c>
      <c r="AJ901" s="19">
        <v>9</v>
      </c>
      <c r="AK901" s="12">
        <f>(AJ901+AI901)/30*7</f>
        <v>17.033333333333331</v>
      </c>
      <c r="AL901" s="6">
        <f>IF(AK901-C901&lt;0,0,AK901-C901)</f>
        <v>0</v>
      </c>
      <c r="AM901" s="6">
        <f>IF(AL901-R901-S901&lt;0,0,AL901-R901-S901)</f>
        <v>0</v>
      </c>
      <c r="AN901" s="5" t="str">
        <f t="shared" si="29"/>
        <v/>
      </c>
      <c r="AO901" s="5">
        <v>0</v>
      </c>
      <c r="AP901" s="9"/>
      <c r="AQ901" s="5" t="s">
        <v>1210</v>
      </c>
      <c r="AR901" s="5" t="s">
        <v>1210</v>
      </c>
      <c r="AS901" s="8"/>
      <c r="AT901" s="8"/>
      <c r="AU901" s="8"/>
      <c r="AV901" s="8"/>
      <c r="AW901" s="8"/>
      <c r="AX901" s="8"/>
      <c r="AY901" s="8"/>
      <c r="AZ901" s="8"/>
    </row>
    <row r="902" spans="1:52">
      <c r="A902" s="5" t="s">
        <v>230</v>
      </c>
      <c r="B902" s="5">
        <v>1394</v>
      </c>
      <c r="C902" s="19">
        <v>515</v>
      </c>
      <c r="E902" s="14"/>
      <c r="F902" s="11"/>
      <c r="G902" s="11"/>
      <c r="H902" s="11"/>
      <c r="I902" s="11"/>
      <c r="J902" s="25"/>
      <c r="K902" s="11"/>
      <c r="L902" s="11"/>
      <c r="M902" s="19">
        <v>9</v>
      </c>
      <c r="O902" s="6"/>
      <c r="P902" s="16">
        <v>647</v>
      </c>
      <c r="Q902" s="16">
        <v>0</v>
      </c>
      <c r="R902" s="22"/>
      <c r="S902" s="22">
        <f t="shared" si="28"/>
        <v>0</v>
      </c>
      <c r="T902" s="5" t="s">
        <v>1210</v>
      </c>
      <c r="U902" s="5" t="s">
        <v>1210</v>
      </c>
      <c r="Y902" s="8"/>
      <c r="Z902" s="8"/>
      <c r="AA902" s="8"/>
      <c r="AB902" s="8"/>
      <c r="AC902" s="8"/>
      <c r="AD902" s="8"/>
      <c r="AE902" s="25"/>
      <c r="AF902" s="11"/>
      <c r="AG902" s="25"/>
      <c r="AH902" s="11"/>
      <c r="AI902" s="11">
        <v>7</v>
      </c>
      <c r="AJ902" s="19">
        <v>21</v>
      </c>
      <c r="AK902" s="12">
        <f>(AJ902+AI902)/30*7</f>
        <v>6.5333333333333332</v>
      </c>
      <c r="AL902" s="6">
        <f>IF(AK902-C902&lt;0,0,AK902-C902)</f>
        <v>0</v>
      </c>
      <c r="AM902" s="6">
        <f>IF(AL902-R902-S902&lt;0,0,AL902-R902-S902)</f>
        <v>0</v>
      </c>
      <c r="AN902" s="5" t="str">
        <f t="shared" si="29"/>
        <v/>
      </c>
      <c r="AO902" s="5">
        <v>0</v>
      </c>
      <c r="AP902" s="9"/>
      <c r="AQ902" s="5" t="s">
        <v>1210</v>
      </c>
      <c r="AR902" s="5" t="s">
        <v>1210</v>
      </c>
      <c r="AS902" s="8"/>
      <c r="AT902" s="8"/>
      <c r="AU902" s="8"/>
      <c r="AV902" s="8"/>
      <c r="AW902" s="8"/>
      <c r="AX902" s="8"/>
      <c r="AY902" s="8"/>
      <c r="AZ902" s="8"/>
    </row>
    <row r="903" spans="1:52">
      <c r="A903" s="5" t="s">
        <v>373</v>
      </c>
      <c r="B903" s="5">
        <v>871</v>
      </c>
      <c r="C903" s="19">
        <v>719</v>
      </c>
      <c r="E903" s="14"/>
      <c r="F903" s="11"/>
      <c r="G903" s="11"/>
      <c r="H903" s="11"/>
      <c r="I903" s="11"/>
      <c r="J903" s="25"/>
      <c r="K903" s="11"/>
      <c r="L903" s="11"/>
      <c r="M903" s="19">
        <v>0</v>
      </c>
      <c r="O903" s="6"/>
      <c r="P903" s="16">
        <v>275</v>
      </c>
      <c r="Q903" s="16">
        <v>388</v>
      </c>
      <c r="R903" s="22"/>
      <c r="S903" s="22">
        <f t="shared" si="28"/>
        <v>0</v>
      </c>
      <c r="T903" s="5" t="s">
        <v>1210</v>
      </c>
      <c r="U903" s="5" t="s">
        <v>1210</v>
      </c>
      <c r="Y903" s="8"/>
      <c r="Z903" s="8"/>
      <c r="AA903" s="8"/>
      <c r="AB903" s="8"/>
      <c r="AC903" s="8"/>
      <c r="AD903" s="8"/>
      <c r="AE903" s="25"/>
      <c r="AF903" s="11"/>
      <c r="AG903" s="25"/>
      <c r="AH903" s="11"/>
      <c r="AI903" s="11">
        <v>38</v>
      </c>
      <c r="AJ903" s="19">
        <v>1</v>
      </c>
      <c r="AK903" s="12">
        <f>(AJ903+AI903)/30*7</f>
        <v>9.1</v>
      </c>
      <c r="AL903" s="6">
        <f>IF(AK903-C903&lt;0,0,AK903-C903)</f>
        <v>0</v>
      </c>
      <c r="AM903" s="6">
        <f>IF(AL903-R903-S903&lt;0,0,AL903-R903-S903)</f>
        <v>0</v>
      </c>
      <c r="AN903" s="5" t="str">
        <f t="shared" si="29"/>
        <v/>
      </c>
      <c r="AO903" s="5">
        <v>0</v>
      </c>
      <c r="AP903" s="9"/>
      <c r="AQ903" s="5" t="s">
        <v>1210</v>
      </c>
      <c r="AR903" s="5" t="s">
        <v>1230</v>
      </c>
      <c r="AS903" s="8"/>
      <c r="AT903" s="8"/>
      <c r="AU903" s="8"/>
      <c r="AV903" s="8"/>
      <c r="AW903" s="8"/>
      <c r="AX903" s="8"/>
      <c r="AY903" s="8"/>
      <c r="AZ903" s="8"/>
    </row>
    <row r="904" spans="1:52">
      <c r="A904" s="5" t="s">
        <v>469</v>
      </c>
      <c r="B904" s="5">
        <v>1886</v>
      </c>
      <c r="C904" s="19">
        <v>924</v>
      </c>
      <c r="E904" s="14"/>
      <c r="F904" s="11"/>
      <c r="G904" s="11"/>
      <c r="H904" s="11"/>
      <c r="I904" s="11"/>
      <c r="J904" s="25"/>
      <c r="K904" s="11"/>
      <c r="L904" s="11"/>
      <c r="M904" s="19">
        <v>0</v>
      </c>
      <c r="O904" s="6"/>
      <c r="P904" s="16">
        <v>907</v>
      </c>
      <c r="Q904" s="16">
        <v>0</v>
      </c>
      <c r="R904" s="22"/>
      <c r="S904" s="22">
        <f t="shared" si="28"/>
        <v>0</v>
      </c>
      <c r="T904" s="5" t="s">
        <v>1210</v>
      </c>
      <c r="U904" s="5" t="s">
        <v>1210</v>
      </c>
      <c r="Y904" s="8"/>
      <c r="Z904" s="8"/>
      <c r="AA904" s="8"/>
      <c r="AB904" s="8"/>
      <c r="AC904" s="8"/>
      <c r="AD904" s="8"/>
      <c r="AE904" s="25"/>
      <c r="AF904" s="11"/>
      <c r="AG904" s="25"/>
      <c r="AH904" s="11"/>
      <c r="AI904" s="11">
        <v>7</v>
      </c>
      <c r="AJ904" s="19">
        <v>41</v>
      </c>
      <c r="AK904" s="12">
        <f>(AJ904+AI904)/30*7</f>
        <v>11.200000000000001</v>
      </c>
      <c r="AL904" s="6">
        <f>IF(AK904-C904&lt;0,0,AK904-C904)</f>
        <v>0</v>
      </c>
      <c r="AM904" s="6">
        <f>IF(AL904-R904-S904&lt;0,0,AL904-R904-S904)</f>
        <v>0</v>
      </c>
      <c r="AN904" s="5" t="str">
        <f t="shared" si="29"/>
        <v/>
      </c>
      <c r="AO904" s="5">
        <v>0</v>
      </c>
      <c r="AP904" s="9"/>
      <c r="AQ904" s="5" t="s">
        <v>1210</v>
      </c>
      <c r="AR904" s="5" t="s">
        <v>1210</v>
      </c>
      <c r="AS904" s="8"/>
      <c r="AT904" s="8"/>
      <c r="AU904" s="8"/>
      <c r="AV904" s="8"/>
      <c r="AW904" s="8"/>
      <c r="AX904" s="8"/>
      <c r="AY904" s="8"/>
      <c r="AZ904" s="8"/>
    </row>
    <row r="905" spans="1:52">
      <c r="A905" s="5" t="s">
        <v>1071</v>
      </c>
      <c r="B905" s="5">
        <v>2225</v>
      </c>
      <c r="C905" s="19">
        <v>973</v>
      </c>
      <c r="E905" s="14"/>
      <c r="F905" s="11"/>
      <c r="G905" s="11"/>
      <c r="H905" s="11"/>
      <c r="I905" s="11"/>
      <c r="J905" s="25"/>
      <c r="K905" s="11"/>
      <c r="L905" s="11"/>
      <c r="M905" s="19">
        <v>0</v>
      </c>
      <c r="O905" s="6"/>
      <c r="P905" s="16">
        <v>715</v>
      </c>
      <c r="Q905" s="16">
        <v>0</v>
      </c>
      <c r="R905" s="22"/>
      <c r="S905" s="22">
        <f t="shared" si="28"/>
        <v>0</v>
      </c>
      <c r="T905" s="5" t="s">
        <v>1210</v>
      </c>
      <c r="U905" s="5" t="s">
        <v>1210</v>
      </c>
      <c r="Y905" s="8"/>
      <c r="Z905" s="8"/>
      <c r="AA905" s="8"/>
      <c r="AB905" s="8"/>
      <c r="AC905" s="8"/>
      <c r="AD905" s="8"/>
      <c r="AE905" s="25"/>
      <c r="AF905" s="11"/>
      <c r="AG905" s="25"/>
      <c r="AH905" s="11"/>
      <c r="AI905" s="11">
        <v>64</v>
      </c>
      <c r="AJ905" s="19">
        <v>7</v>
      </c>
      <c r="AK905" s="12">
        <f>(AJ905+AI905)/30*7</f>
        <v>16.566666666666666</v>
      </c>
      <c r="AL905" s="6">
        <f>IF(AK905-C905&lt;0,0,AK905-C905)</f>
        <v>0</v>
      </c>
      <c r="AM905" s="6">
        <f>IF(AL905-R905-S905&lt;0,0,AL905-R905-S905)</f>
        <v>0</v>
      </c>
      <c r="AN905" s="5" t="str">
        <f t="shared" si="29"/>
        <v/>
      </c>
      <c r="AO905" s="5">
        <v>0</v>
      </c>
      <c r="AP905" s="9"/>
      <c r="AQ905" s="5" t="s">
        <v>1210</v>
      </c>
      <c r="AR905" s="5" t="s">
        <v>1210</v>
      </c>
      <c r="AS905" s="8"/>
      <c r="AT905" s="8"/>
      <c r="AU905" s="8"/>
      <c r="AV905" s="8"/>
      <c r="AW905" s="8"/>
      <c r="AX905" s="8"/>
      <c r="AY905" s="8"/>
      <c r="AZ905" s="8"/>
    </row>
    <row r="906" spans="1:52">
      <c r="A906" s="5" t="s">
        <v>199</v>
      </c>
      <c r="B906" s="5">
        <v>679</v>
      </c>
      <c r="C906" s="19">
        <v>529</v>
      </c>
      <c r="E906" s="14"/>
      <c r="F906" s="11"/>
      <c r="G906" s="11"/>
      <c r="H906" s="11"/>
      <c r="I906" s="11"/>
      <c r="J906" s="25"/>
      <c r="K906" s="11"/>
      <c r="L906" s="11"/>
      <c r="M906" s="19">
        <v>0</v>
      </c>
      <c r="O906" s="6"/>
      <c r="P906" s="16">
        <v>663</v>
      </c>
      <c r="Q906" s="16">
        <v>0</v>
      </c>
      <c r="R906" s="22"/>
      <c r="S906" s="22">
        <f t="shared" si="28"/>
        <v>0</v>
      </c>
      <c r="T906" s="5" t="s">
        <v>1210</v>
      </c>
      <c r="U906" s="5" t="s">
        <v>1210</v>
      </c>
      <c r="Y906" s="8"/>
      <c r="Z906" s="8"/>
      <c r="AA906" s="8"/>
      <c r="AB906" s="8"/>
      <c r="AC906" s="8"/>
      <c r="AD906" s="8"/>
      <c r="AE906" s="25"/>
      <c r="AF906" s="11"/>
      <c r="AG906" s="25"/>
      <c r="AH906" s="11"/>
      <c r="AI906" s="11">
        <v>37</v>
      </c>
      <c r="AJ906" s="19">
        <v>34</v>
      </c>
      <c r="AK906" s="12">
        <f>(AJ906+AI906)/30*7</f>
        <v>16.566666666666666</v>
      </c>
      <c r="AL906" s="6">
        <f>IF(AK906-C906&lt;0,0,AK906-C906)</f>
        <v>0</v>
      </c>
      <c r="AM906" s="6">
        <f>IF(AL906-R906-S906&lt;0,0,AL906-R906-S906)</f>
        <v>0</v>
      </c>
      <c r="AN906" s="5" t="str">
        <f t="shared" si="29"/>
        <v/>
      </c>
      <c r="AO906" s="5">
        <v>0</v>
      </c>
      <c r="AP906" s="9"/>
      <c r="AQ906" s="5" t="s">
        <v>1210</v>
      </c>
      <c r="AR906" s="5" t="s">
        <v>1210</v>
      </c>
      <c r="AS906" s="8"/>
      <c r="AT906" s="8"/>
      <c r="AU906" s="8"/>
      <c r="AV906" s="8"/>
      <c r="AW906" s="8"/>
      <c r="AX906" s="8"/>
      <c r="AY906" s="8"/>
      <c r="AZ906" s="8"/>
    </row>
    <row r="907" spans="1:52">
      <c r="A907" s="5" t="s">
        <v>313</v>
      </c>
      <c r="B907" s="5">
        <v>636</v>
      </c>
      <c r="C907" s="19">
        <v>634</v>
      </c>
      <c r="E907" s="14"/>
      <c r="F907" s="11"/>
      <c r="G907" s="11"/>
      <c r="H907" s="11"/>
      <c r="I907" s="11"/>
      <c r="J907" s="25"/>
      <c r="K907" s="11"/>
      <c r="L907" s="11"/>
      <c r="M907" s="19">
        <v>0</v>
      </c>
      <c r="O907" s="6"/>
      <c r="P907" s="16">
        <v>941</v>
      </c>
      <c r="Q907" s="16">
        <v>0</v>
      </c>
      <c r="R907" s="22"/>
      <c r="S907" s="22">
        <f t="shared" si="28"/>
        <v>0</v>
      </c>
      <c r="T907" s="5" t="s">
        <v>1210</v>
      </c>
      <c r="U907" s="5" t="s">
        <v>1210</v>
      </c>
      <c r="Y907" s="8"/>
      <c r="Z907" s="8"/>
      <c r="AA907" s="8"/>
      <c r="AB907" s="8"/>
      <c r="AC907" s="8"/>
      <c r="AD907" s="8"/>
      <c r="AE907" s="25"/>
      <c r="AF907" s="11"/>
      <c r="AG907" s="25"/>
      <c r="AH907" s="11"/>
      <c r="AI907" s="11">
        <v>33</v>
      </c>
      <c r="AJ907" s="19">
        <v>34</v>
      </c>
      <c r="AK907" s="12">
        <f>(AJ907+AI907)/30*7</f>
        <v>15.633333333333333</v>
      </c>
      <c r="AL907" s="6">
        <f>IF(AK907-C907&lt;0,0,AK907-C907)</f>
        <v>0</v>
      </c>
      <c r="AM907" s="6">
        <f>IF(AL907-R907-S907&lt;0,0,AL907-R907-S907)</f>
        <v>0</v>
      </c>
      <c r="AN907" s="5" t="str">
        <f t="shared" si="29"/>
        <v/>
      </c>
      <c r="AO907" s="5">
        <v>0</v>
      </c>
      <c r="AP907" s="9"/>
      <c r="AQ907" s="5" t="s">
        <v>1210</v>
      </c>
      <c r="AR907" s="5" t="s">
        <v>1230</v>
      </c>
      <c r="AS907" s="8"/>
      <c r="AT907" s="8"/>
      <c r="AU907" s="8"/>
      <c r="AV907" s="8"/>
      <c r="AW907" s="8"/>
      <c r="AX907" s="8"/>
      <c r="AY907" s="8"/>
      <c r="AZ907" s="8"/>
    </row>
    <row r="908" spans="1:52">
      <c r="A908" s="5" t="s">
        <v>317</v>
      </c>
      <c r="B908" s="5">
        <v>635</v>
      </c>
      <c r="C908" s="19">
        <v>604</v>
      </c>
      <c r="E908" s="14"/>
      <c r="F908" s="11"/>
      <c r="G908" s="11"/>
      <c r="H908" s="11"/>
      <c r="I908" s="11"/>
      <c r="J908" s="25"/>
      <c r="K908" s="11"/>
      <c r="L908" s="11"/>
      <c r="M908" s="19">
        <v>0</v>
      </c>
      <c r="O908" s="6"/>
      <c r="P908" s="16">
        <v>855</v>
      </c>
      <c r="Q908" s="16">
        <v>677</v>
      </c>
      <c r="R908" s="22"/>
      <c r="S908" s="22">
        <f t="shared" si="28"/>
        <v>0</v>
      </c>
      <c r="T908" s="5" t="s">
        <v>1210</v>
      </c>
      <c r="U908" s="5" t="s">
        <v>1210</v>
      </c>
      <c r="Y908" s="8"/>
      <c r="Z908" s="8"/>
      <c r="AA908" s="8"/>
      <c r="AB908" s="8"/>
      <c r="AC908" s="8"/>
      <c r="AD908" s="8"/>
      <c r="AE908" s="25"/>
      <c r="AF908" s="11"/>
      <c r="AG908" s="25"/>
      <c r="AH908" s="11"/>
      <c r="AI908" s="11">
        <v>58</v>
      </c>
      <c r="AJ908" s="19">
        <v>27</v>
      </c>
      <c r="AK908" s="12">
        <f>(AJ908+AI908)/30*7</f>
        <v>19.833333333333336</v>
      </c>
      <c r="AL908" s="6">
        <f>IF(AK908-C908&lt;0,0,AK908-C908)</f>
        <v>0</v>
      </c>
      <c r="AM908" s="6">
        <f>IF(AL908-R908-S908&lt;0,0,AL908-R908-S908)</f>
        <v>0</v>
      </c>
      <c r="AN908" s="5" t="str">
        <f t="shared" si="29"/>
        <v/>
      </c>
      <c r="AO908" s="5">
        <v>0</v>
      </c>
      <c r="AP908" s="9"/>
      <c r="AQ908" s="5" t="s">
        <v>1210</v>
      </c>
      <c r="AR908" s="5" t="s">
        <v>1230</v>
      </c>
      <c r="AS908" s="8"/>
      <c r="AT908" s="8"/>
      <c r="AU908" s="8"/>
      <c r="AV908" s="8"/>
      <c r="AW908" s="8"/>
      <c r="AX908" s="8"/>
      <c r="AY908" s="8"/>
      <c r="AZ908" s="8"/>
    </row>
    <row r="909" spans="1:52">
      <c r="A909" s="5" t="s">
        <v>280</v>
      </c>
      <c r="B909" s="5">
        <v>1123</v>
      </c>
      <c r="C909" s="19">
        <v>727</v>
      </c>
      <c r="E909" s="14"/>
      <c r="F909" s="11"/>
      <c r="G909" s="11"/>
      <c r="H909" s="11"/>
      <c r="I909" s="11"/>
      <c r="J909" s="25"/>
      <c r="K909" s="11"/>
      <c r="L909" s="11"/>
      <c r="M909" s="19">
        <v>0</v>
      </c>
      <c r="O909" s="6"/>
      <c r="P909" s="16">
        <v>259</v>
      </c>
      <c r="Q909" s="16">
        <v>0</v>
      </c>
      <c r="R909" s="22"/>
      <c r="S909" s="22">
        <f t="shared" si="28"/>
        <v>0</v>
      </c>
      <c r="T909" s="5" t="s">
        <v>1210</v>
      </c>
      <c r="U909" s="5" t="s">
        <v>1210</v>
      </c>
      <c r="Y909" s="8"/>
      <c r="Z909" s="8"/>
      <c r="AA909" s="8"/>
      <c r="AB909" s="8"/>
      <c r="AC909" s="8"/>
      <c r="AD909" s="8"/>
      <c r="AE909" s="25"/>
      <c r="AF909" s="11"/>
      <c r="AG909" s="25"/>
      <c r="AH909" s="11"/>
      <c r="AI909" s="11">
        <v>16</v>
      </c>
      <c r="AJ909" s="19">
        <v>54</v>
      </c>
      <c r="AK909" s="12">
        <f>(AJ909+AI909)/30*7</f>
        <v>16.333333333333336</v>
      </c>
      <c r="AL909" s="6">
        <f>IF(AK909-C909&lt;0,0,AK909-C909)</f>
        <v>0</v>
      </c>
      <c r="AM909" s="6">
        <f>IF(AL909-R909-S909&lt;0,0,AL909-R909-S909)</f>
        <v>0</v>
      </c>
      <c r="AN909" s="5" t="str">
        <f t="shared" si="29"/>
        <v/>
      </c>
      <c r="AO909" s="5">
        <v>0</v>
      </c>
      <c r="AP909" s="9"/>
      <c r="AQ909" s="5" t="s">
        <v>1210</v>
      </c>
      <c r="AR909" s="5" t="s">
        <v>1210</v>
      </c>
      <c r="AS909" s="8"/>
      <c r="AT909" s="8"/>
      <c r="AU909" s="8"/>
      <c r="AV909" s="8"/>
      <c r="AW909" s="8"/>
      <c r="AX909" s="8"/>
      <c r="AY909" s="8"/>
      <c r="AZ909" s="8"/>
    </row>
    <row r="910" spans="1:52">
      <c r="A910" s="5" t="s">
        <v>379</v>
      </c>
      <c r="B910" s="5">
        <v>1814</v>
      </c>
      <c r="C910" s="19">
        <v>736</v>
      </c>
      <c r="E910" s="14"/>
      <c r="F910" s="11"/>
      <c r="G910" s="11"/>
      <c r="H910" s="11"/>
      <c r="I910" s="11"/>
      <c r="J910" s="25"/>
      <c r="K910" s="11"/>
      <c r="L910" s="11"/>
      <c r="M910" s="19">
        <v>2</v>
      </c>
      <c r="O910" s="6"/>
      <c r="P910" s="16">
        <v>716</v>
      </c>
      <c r="Q910" s="16">
        <v>0</v>
      </c>
      <c r="R910" s="22"/>
      <c r="S910" s="22">
        <f t="shared" si="28"/>
        <v>0</v>
      </c>
      <c r="T910" s="5" t="s">
        <v>1210</v>
      </c>
      <c r="U910" s="5" t="s">
        <v>1210</v>
      </c>
      <c r="Y910" s="8"/>
      <c r="Z910" s="8"/>
      <c r="AA910" s="8"/>
      <c r="AB910" s="8"/>
      <c r="AC910" s="8"/>
      <c r="AD910" s="8"/>
      <c r="AE910" s="25"/>
      <c r="AF910" s="11"/>
      <c r="AG910" s="25"/>
      <c r="AH910" s="11"/>
      <c r="AI910" s="11">
        <v>12</v>
      </c>
      <c r="AJ910" s="19">
        <v>23</v>
      </c>
      <c r="AK910" s="12">
        <f>(AJ910+AI910)/30*7</f>
        <v>8.1666666666666679</v>
      </c>
      <c r="AL910" s="6">
        <f>IF(AK910-C910&lt;0,0,AK910-C910)</f>
        <v>0</v>
      </c>
      <c r="AM910" s="6">
        <f>IF(AL910-R910-S910&lt;0,0,AL910-R910-S910)</f>
        <v>0</v>
      </c>
      <c r="AN910" s="5" t="str">
        <f t="shared" si="29"/>
        <v/>
      </c>
      <c r="AO910" s="5">
        <v>0</v>
      </c>
      <c r="AP910" s="9"/>
      <c r="AQ910" s="5" t="s">
        <v>1210</v>
      </c>
      <c r="AR910" s="5" t="s">
        <v>1210</v>
      </c>
      <c r="AS910" s="8"/>
      <c r="AT910" s="8"/>
      <c r="AU910" s="8"/>
      <c r="AV910" s="8"/>
      <c r="AW910" s="8"/>
      <c r="AX910" s="8"/>
      <c r="AY910" s="8"/>
      <c r="AZ910" s="8"/>
    </row>
    <row r="911" spans="1:52">
      <c r="A911" s="5" t="s">
        <v>337</v>
      </c>
      <c r="B911" s="5">
        <v>436</v>
      </c>
      <c r="C911" s="19">
        <v>264</v>
      </c>
      <c r="E911" s="14"/>
      <c r="F911" s="11"/>
      <c r="G911" s="11"/>
      <c r="H911" s="11"/>
      <c r="I911" s="11"/>
      <c r="J911" s="25"/>
      <c r="K911" s="11"/>
      <c r="L911" s="11"/>
      <c r="M911" s="19">
        <v>0</v>
      </c>
      <c r="O911" s="6"/>
      <c r="P911" s="16">
        <v>289</v>
      </c>
      <c r="Q911" s="16">
        <v>0</v>
      </c>
      <c r="R911" s="22"/>
      <c r="S911" s="22">
        <f t="shared" si="28"/>
        <v>0</v>
      </c>
      <c r="T911" s="5" t="s">
        <v>1210</v>
      </c>
      <c r="U911" s="5" t="s">
        <v>1210</v>
      </c>
      <c r="Y911" s="8"/>
      <c r="Z911" s="8"/>
      <c r="AA911" s="8"/>
      <c r="AB911" s="8"/>
      <c r="AC911" s="8"/>
      <c r="AD911" s="8"/>
      <c r="AE911" s="25"/>
      <c r="AF911" s="11"/>
      <c r="AG911" s="25"/>
      <c r="AH911" s="11"/>
      <c r="AI911" s="11">
        <v>75</v>
      </c>
      <c r="AJ911" s="19">
        <v>5</v>
      </c>
      <c r="AK911" s="12">
        <f>(AJ911+AI911)/30*7</f>
        <v>18.666666666666664</v>
      </c>
      <c r="AL911" s="6">
        <f>IF(AK911-C911&lt;0,0,AK911-C911)</f>
        <v>0</v>
      </c>
      <c r="AM911" s="6">
        <f>IF(AL911-R911-S911&lt;0,0,AL911-R911-S911)</f>
        <v>0</v>
      </c>
      <c r="AN911" s="5" t="str">
        <f t="shared" si="29"/>
        <v/>
      </c>
      <c r="AO911" s="5">
        <v>0</v>
      </c>
      <c r="AP911" s="9"/>
      <c r="AQ911" s="5" t="s">
        <v>1210</v>
      </c>
      <c r="AR911" s="5" t="s">
        <v>1230</v>
      </c>
      <c r="AS911" s="8"/>
      <c r="AT911" s="8"/>
      <c r="AU911" s="8"/>
      <c r="AV911" s="8"/>
      <c r="AW911" s="8"/>
      <c r="AX911" s="8"/>
      <c r="AY911" s="8"/>
      <c r="AZ911" s="8"/>
    </row>
    <row r="912" spans="1:52">
      <c r="A912" s="5" t="s">
        <v>263</v>
      </c>
      <c r="B912" s="5">
        <v>1015</v>
      </c>
      <c r="C912" s="19">
        <v>378</v>
      </c>
      <c r="E912" s="14"/>
      <c r="F912" s="11"/>
      <c r="G912" s="11"/>
      <c r="H912" s="11"/>
      <c r="I912" s="11"/>
      <c r="J912" s="25"/>
      <c r="K912" s="11"/>
      <c r="L912" s="11"/>
      <c r="M912" s="19">
        <v>6</v>
      </c>
      <c r="O912" s="6"/>
      <c r="P912" s="16">
        <v>291</v>
      </c>
      <c r="Q912" s="16">
        <v>481</v>
      </c>
      <c r="R912" s="22"/>
      <c r="S912" s="22">
        <f t="shared" si="28"/>
        <v>0</v>
      </c>
      <c r="T912" s="5" t="s">
        <v>1210</v>
      </c>
      <c r="U912" s="5" t="s">
        <v>1210</v>
      </c>
      <c r="Y912" s="8"/>
      <c r="Z912" s="8"/>
      <c r="AA912" s="8"/>
      <c r="AB912" s="8"/>
      <c r="AC912" s="8"/>
      <c r="AD912" s="8"/>
      <c r="AE912" s="25"/>
      <c r="AF912" s="11"/>
      <c r="AG912" s="25"/>
      <c r="AH912" s="11"/>
      <c r="AI912" s="11">
        <v>23</v>
      </c>
      <c r="AJ912" s="19">
        <v>26</v>
      </c>
      <c r="AK912" s="12">
        <f>(AJ912+AI912)/30*7</f>
        <v>11.433333333333334</v>
      </c>
      <c r="AL912" s="6">
        <f>IF(AK912-C912&lt;0,0,AK912-C912)</f>
        <v>0</v>
      </c>
      <c r="AM912" s="6">
        <f>IF(AL912-R912-S912&lt;0,0,AL912-R912-S912)</f>
        <v>0</v>
      </c>
      <c r="AN912" s="5" t="str">
        <f t="shared" si="29"/>
        <v/>
      </c>
      <c r="AO912" s="5">
        <v>0</v>
      </c>
      <c r="AP912" s="9"/>
      <c r="AQ912" s="5" t="s">
        <v>1210</v>
      </c>
      <c r="AR912" s="5" t="s">
        <v>1210</v>
      </c>
      <c r="AS912" s="8"/>
      <c r="AT912" s="8"/>
      <c r="AU912" s="8"/>
      <c r="AV912" s="8"/>
      <c r="AW912" s="8"/>
      <c r="AX912" s="8"/>
      <c r="AY912" s="8"/>
      <c r="AZ912" s="8"/>
    </row>
    <row r="913" spans="1:52">
      <c r="A913" s="5" t="s">
        <v>302</v>
      </c>
      <c r="B913" s="5">
        <v>806</v>
      </c>
      <c r="C913" s="19">
        <v>641</v>
      </c>
      <c r="E913" s="14"/>
      <c r="F913" s="11"/>
      <c r="G913" s="11"/>
      <c r="H913" s="11"/>
      <c r="I913" s="11"/>
      <c r="J913" s="25"/>
      <c r="K913" s="11"/>
      <c r="L913" s="11"/>
      <c r="M913" s="19">
        <v>0</v>
      </c>
      <c r="O913" s="6"/>
      <c r="P913" s="16">
        <v>297</v>
      </c>
      <c r="Q913" s="16">
        <v>0</v>
      </c>
      <c r="R913" s="22"/>
      <c r="S913" s="22">
        <f t="shared" si="28"/>
        <v>0</v>
      </c>
      <c r="T913" s="5" t="s">
        <v>1210</v>
      </c>
      <c r="U913" s="5" t="s">
        <v>1210</v>
      </c>
      <c r="Y913" s="8"/>
      <c r="Z913" s="8"/>
      <c r="AA913" s="8"/>
      <c r="AB913" s="8"/>
      <c r="AC913" s="8"/>
      <c r="AD913" s="8"/>
      <c r="AE913" s="25"/>
      <c r="AF913" s="11"/>
      <c r="AG913" s="25"/>
      <c r="AH913" s="11"/>
      <c r="AI913" s="11">
        <v>33</v>
      </c>
      <c r="AJ913" s="19">
        <v>1</v>
      </c>
      <c r="AK913" s="12">
        <f>(AJ913+AI913)/30*7</f>
        <v>7.9333333333333336</v>
      </c>
      <c r="AL913" s="6">
        <f>IF(AK913-C913&lt;0,0,AK913-C913)</f>
        <v>0</v>
      </c>
      <c r="AM913" s="6">
        <f>IF(AL913-R913-S913&lt;0,0,AL913-R913-S913)</f>
        <v>0</v>
      </c>
      <c r="AN913" s="5" t="str">
        <f t="shared" si="29"/>
        <v/>
      </c>
      <c r="AO913" s="5">
        <v>0</v>
      </c>
      <c r="AP913" s="9"/>
      <c r="AQ913" s="5" t="s">
        <v>1210</v>
      </c>
      <c r="AR913" s="5" t="s">
        <v>1230</v>
      </c>
      <c r="AS913" s="8"/>
      <c r="AT913" s="8"/>
      <c r="AU913" s="8"/>
      <c r="AV913" s="8"/>
      <c r="AW913" s="8"/>
      <c r="AX913" s="8"/>
      <c r="AY913" s="8"/>
      <c r="AZ913" s="8"/>
    </row>
    <row r="914" spans="1:52">
      <c r="A914" s="5" t="s">
        <v>353</v>
      </c>
      <c r="B914" s="5" t="s">
        <v>1147</v>
      </c>
      <c r="C914" s="19">
        <v>449</v>
      </c>
      <c r="E914" s="14"/>
      <c r="F914" s="11"/>
      <c r="G914" s="11"/>
      <c r="H914" s="11"/>
      <c r="I914" s="11"/>
      <c r="J914" s="25"/>
      <c r="K914" s="11"/>
      <c r="L914" s="11"/>
      <c r="M914" s="19">
        <v>0</v>
      </c>
      <c r="O914" s="6"/>
      <c r="P914" s="16">
        <v>0</v>
      </c>
      <c r="Q914" s="16">
        <v>543</v>
      </c>
      <c r="R914" s="22"/>
      <c r="S914" s="22">
        <f t="shared" si="28"/>
        <v>0</v>
      </c>
      <c r="T914" s="5" t="s">
        <v>1210</v>
      </c>
      <c r="U914" s="5" t="s">
        <v>1210</v>
      </c>
      <c r="Y914" s="8"/>
      <c r="Z914" s="8"/>
      <c r="AA914" s="8"/>
      <c r="AB914" s="8"/>
      <c r="AC914" s="8"/>
      <c r="AD914" s="8"/>
      <c r="AE914" s="25"/>
      <c r="AF914" s="11"/>
      <c r="AG914" s="25"/>
      <c r="AH914" s="11"/>
      <c r="AI914" s="11">
        <v>70</v>
      </c>
      <c r="AJ914" s="19">
        <v>5</v>
      </c>
      <c r="AK914" s="12">
        <f>(AJ914+AI914)/30*7</f>
        <v>17.5</v>
      </c>
      <c r="AL914" s="6">
        <f>IF(AK914-C914&lt;0,0,AK914-C914)</f>
        <v>0</v>
      </c>
      <c r="AM914" s="6">
        <f>IF(AL914-R914-S914&lt;0,0,AL914-R914-S914)</f>
        <v>0</v>
      </c>
      <c r="AN914" s="5" t="str">
        <f t="shared" si="29"/>
        <v/>
      </c>
      <c r="AO914" s="5">
        <v>0</v>
      </c>
      <c r="AP914" s="9"/>
      <c r="AQ914" s="5" t="s">
        <v>1210</v>
      </c>
      <c r="AR914" s="5" t="s">
        <v>1210</v>
      </c>
      <c r="AS914" s="8"/>
      <c r="AT914" s="8"/>
      <c r="AU914" s="8"/>
      <c r="AV914" s="8"/>
      <c r="AW914" s="8"/>
      <c r="AX914" s="8"/>
      <c r="AY914" s="8"/>
      <c r="AZ914" s="8"/>
    </row>
    <row r="915" spans="1:52">
      <c r="A915" s="5" t="s">
        <v>311</v>
      </c>
      <c r="B915" s="5">
        <v>1346</v>
      </c>
      <c r="C915" s="19">
        <v>843</v>
      </c>
      <c r="E915" s="14"/>
      <c r="F915" s="11"/>
      <c r="G915" s="11"/>
      <c r="H915" s="11"/>
      <c r="I915" s="11"/>
      <c r="J915" s="25"/>
      <c r="K915" s="11"/>
      <c r="L915" s="11"/>
      <c r="M915" s="19">
        <v>0</v>
      </c>
      <c r="O915" s="6"/>
      <c r="P915" s="16">
        <v>931</v>
      </c>
      <c r="Q915" s="16">
        <v>927</v>
      </c>
      <c r="R915" s="22"/>
      <c r="S915" s="22">
        <f t="shared" si="28"/>
        <v>0</v>
      </c>
      <c r="T915" s="5" t="s">
        <v>1210</v>
      </c>
      <c r="U915" s="5" t="s">
        <v>1210</v>
      </c>
      <c r="Y915" s="8"/>
      <c r="Z915" s="8"/>
      <c r="AA915" s="8"/>
      <c r="AB915" s="8"/>
      <c r="AC915" s="8"/>
      <c r="AD915" s="8"/>
      <c r="AE915" s="25"/>
      <c r="AF915" s="11"/>
      <c r="AG915" s="25"/>
      <c r="AH915" s="11"/>
      <c r="AI915" s="11">
        <v>62</v>
      </c>
      <c r="AJ915" s="19">
        <v>36</v>
      </c>
      <c r="AK915" s="12">
        <f>(AJ915+AI915)/30*7</f>
        <v>22.866666666666667</v>
      </c>
      <c r="AL915" s="6">
        <f>IF(AK915-C915&lt;0,0,AK915-C915)</f>
        <v>0</v>
      </c>
      <c r="AM915" s="6">
        <f>IF(AL915-R915-S915&lt;0,0,AL915-R915-S915)</f>
        <v>0</v>
      </c>
      <c r="AN915" s="5" t="str">
        <f t="shared" si="29"/>
        <v/>
      </c>
      <c r="AO915" s="5">
        <v>0</v>
      </c>
      <c r="AP915" s="9"/>
      <c r="AQ915" s="5" t="s">
        <v>1210</v>
      </c>
      <c r="AR915" s="5" t="s">
        <v>1210</v>
      </c>
      <c r="AS915" s="8"/>
      <c r="AT915" s="8"/>
      <c r="AU915" s="8"/>
      <c r="AV915" s="8"/>
      <c r="AW915" s="8"/>
      <c r="AX915" s="8"/>
      <c r="AY915" s="8"/>
      <c r="AZ915" s="8"/>
    </row>
    <row r="916" spans="1:52">
      <c r="A916" s="5" t="s">
        <v>359</v>
      </c>
      <c r="B916" s="5">
        <v>1722</v>
      </c>
      <c r="C916" s="19">
        <v>999</v>
      </c>
      <c r="E916" s="14"/>
      <c r="F916" s="11"/>
      <c r="G916" s="11"/>
      <c r="H916" s="11"/>
      <c r="I916" s="11"/>
      <c r="J916" s="25"/>
      <c r="K916" s="11"/>
      <c r="L916" s="11"/>
      <c r="M916" s="19">
        <v>10</v>
      </c>
      <c r="O916" s="6"/>
      <c r="P916" s="16">
        <v>430</v>
      </c>
      <c r="Q916" s="16">
        <v>0</v>
      </c>
      <c r="R916" s="22"/>
      <c r="S916" s="22">
        <f t="shared" si="28"/>
        <v>0</v>
      </c>
      <c r="T916" s="5" t="s">
        <v>1210</v>
      </c>
      <c r="U916" s="5" t="s">
        <v>1210</v>
      </c>
      <c r="Y916" s="8"/>
      <c r="Z916" s="8"/>
      <c r="AA916" s="8"/>
      <c r="AB916" s="8"/>
      <c r="AC916" s="8"/>
      <c r="AD916" s="8"/>
      <c r="AE916" s="25"/>
      <c r="AF916" s="11"/>
      <c r="AG916" s="25"/>
      <c r="AH916" s="11"/>
      <c r="AI916" s="11">
        <v>51</v>
      </c>
      <c r="AJ916" s="19">
        <v>5</v>
      </c>
      <c r="AK916" s="12">
        <f>(AJ916+AI916)/30*7</f>
        <v>13.066666666666666</v>
      </c>
      <c r="AL916" s="6">
        <f>IF(AK916-C916&lt;0,0,AK916-C916)</f>
        <v>0</v>
      </c>
      <c r="AM916" s="6">
        <f>IF(AL916-R916-S916&lt;0,0,AL916-R916-S916)</f>
        <v>0</v>
      </c>
      <c r="AN916" s="5" t="str">
        <f t="shared" si="29"/>
        <v/>
      </c>
      <c r="AO916" s="5">
        <v>0</v>
      </c>
      <c r="AP916" s="9"/>
      <c r="AQ916" s="5" t="s">
        <v>1210</v>
      </c>
      <c r="AR916" s="5" t="s">
        <v>1230</v>
      </c>
      <c r="AS916" s="8"/>
      <c r="AT916" s="8"/>
      <c r="AU916" s="8"/>
      <c r="AV916" s="8"/>
      <c r="AW916" s="8"/>
      <c r="AX916" s="8"/>
      <c r="AY916" s="8"/>
      <c r="AZ916" s="8"/>
    </row>
    <row r="917" spans="1:52">
      <c r="A917" s="5" t="s">
        <v>270</v>
      </c>
      <c r="B917" s="5">
        <v>721</v>
      </c>
      <c r="C917" s="19">
        <v>865</v>
      </c>
      <c r="E917" s="14"/>
      <c r="F917" s="11"/>
      <c r="G917" s="11"/>
      <c r="H917" s="11"/>
      <c r="I917" s="11"/>
      <c r="J917" s="25"/>
      <c r="K917" s="11"/>
      <c r="L917" s="11"/>
      <c r="M917" s="19">
        <v>0</v>
      </c>
      <c r="O917" s="6"/>
      <c r="P917" s="16">
        <v>781</v>
      </c>
      <c r="Q917" s="16">
        <v>490</v>
      </c>
      <c r="R917" s="22"/>
      <c r="S917" s="22">
        <f t="shared" si="28"/>
        <v>0</v>
      </c>
      <c r="T917" s="5" t="s">
        <v>1210</v>
      </c>
      <c r="U917" s="5" t="s">
        <v>1210</v>
      </c>
      <c r="Y917" s="8"/>
      <c r="Z917" s="8"/>
      <c r="AA917" s="8"/>
      <c r="AB917" s="8"/>
      <c r="AC917" s="8"/>
      <c r="AD917" s="8"/>
      <c r="AE917" s="25"/>
      <c r="AF917" s="11"/>
      <c r="AG917" s="25"/>
      <c r="AH917" s="11"/>
      <c r="AI917" s="11">
        <v>99</v>
      </c>
      <c r="AJ917" s="19">
        <v>35</v>
      </c>
      <c r="AK917" s="12">
        <f>(AJ917+AI917)/30*7</f>
        <v>31.266666666666666</v>
      </c>
      <c r="AL917" s="6">
        <f>IF(AK917-C917&lt;0,0,AK917-C917)</f>
        <v>0</v>
      </c>
      <c r="AM917" s="6">
        <f>IF(AL917-R917-S917&lt;0,0,AL917-R917-S917)</f>
        <v>0</v>
      </c>
      <c r="AN917" s="5" t="str">
        <f t="shared" si="29"/>
        <v/>
      </c>
      <c r="AO917" s="5">
        <v>0</v>
      </c>
      <c r="AP917" s="9"/>
      <c r="AQ917" s="5" t="s">
        <v>1210</v>
      </c>
      <c r="AR917" s="5" t="s">
        <v>1210</v>
      </c>
      <c r="AS917" s="8"/>
      <c r="AT917" s="8"/>
      <c r="AU917" s="8"/>
      <c r="AV917" s="8"/>
      <c r="AW917" s="8"/>
      <c r="AX917" s="8"/>
      <c r="AY917" s="8"/>
      <c r="AZ917" s="8"/>
    </row>
    <row r="918" spans="1:52">
      <c r="A918" s="5" t="s">
        <v>229</v>
      </c>
      <c r="B918" s="5">
        <v>642</v>
      </c>
      <c r="C918" s="19">
        <v>802</v>
      </c>
      <c r="E918" s="14"/>
      <c r="F918" s="11"/>
      <c r="G918" s="11"/>
      <c r="H918" s="11"/>
      <c r="I918" s="11"/>
      <c r="J918" s="25"/>
      <c r="K918" s="11"/>
      <c r="L918" s="11"/>
      <c r="M918" s="19">
        <v>0</v>
      </c>
      <c r="O918" s="6"/>
      <c r="P918" s="16">
        <v>0</v>
      </c>
      <c r="Q918" s="16">
        <v>0</v>
      </c>
      <c r="R918" s="22"/>
      <c r="S918" s="22">
        <f t="shared" si="28"/>
        <v>0</v>
      </c>
      <c r="T918" s="5" t="s">
        <v>1210</v>
      </c>
      <c r="U918" s="5" t="s">
        <v>1210</v>
      </c>
      <c r="Y918" s="8"/>
      <c r="Z918" s="8"/>
      <c r="AA918" s="8"/>
      <c r="AB918" s="8"/>
      <c r="AC918" s="8"/>
      <c r="AD918" s="8"/>
      <c r="AE918" s="25"/>
      <c r="AF918" s="11"/>
      <c r="AG918" s="25"/>
      <c r="AH918" s="11"/>
      <c r="AI918" s="11">
        <v>73</v>
      </c>
      <c r="AJ918" s="19">
        <v>14</v>
      </c>
      <c r="AK918" s="12">
        <f>(AJ918+AI918)/30*7</f>
        <v>20.3</v>
      </c>
      <c r="AL918" s="6">
        <f>IF(AK918-C918&lt;0,0,AK918-C918)</f>
        <v>0</v>
      </c>
      <c r="AM918" s="6">
        <f>IF(AL918-R918-S918&lt;0,0,AL918-R918-S918)</f>
        <v>0</v>
      </c>
      <c r="AN918" s="5" t="str">
        <f t="shared" si="29"/>
        <v/>
      </c>
      <c r="AO918" s="5">
        <v>4</v>
      </c>
      <c r="AP918" s="9"/>
      <c r="AQ918" s="5" t="s">
        <v>1210</v>
      </c>
      <c r="AR918" s="5" t="s">
        <v>1210</v>
      </c>
      <c r="AS918" s="8"/>
      <c r="AT918" s="8"/>
      <c r="AU918" s="8"/>
      <c r="AV918" s="8"/>
      <c r="AW918" s="8"/>
      <c r="AX918" s="8"/>
      <c r="AY918" s="8"/>
      <c r="AZ918" s="8"/>
    </row>
    <row r="919" spans="1:52">
      <c r="A919" s="5" t="s">
        <v>273</v>
      </c>
      <c r="B919" s="5">
        <v>1170</v>
      </c>
      <c r="C919" s="19">
        <v>468</v>
      </c>
      <c r="E919" s="14"/>
      <c r="F919" s="11"/>
      <c r="G919" s="11"/>
      <c r="H919" s="11"/>
      <c r="I919" s="11"/>
      <c r="J919" s="25"/>
      <c r="K919" s="11"/>
      <c r="L919" s="11"/>
      <c r="M919" s="19">
        <v>8</v>
      </c>
      <c r="O919" s="6"/>
      <c r="P919" s="16">
        <v>803</v>
      </c>
      <c r="Q919" s="16">
        <v>327</v>
      </c>
      <c r="R919" s="22"/>
      <c r="S919" s="22">
        <f t="shared" si="28"/>
        <v>0</v>
      </c>
      <c r="T919" s="5" t="s">
        <v>1210</v>
      </c>
      <c r="U919" s="5" t="s">
        <v>1210</v>
      </c>
      <c r="Y919" s="8"/>
      <c r="Z919" s="8"/>
      <c r="AA919" s="8"/>
      <c r="AB919" s="8"/>
      <c r="AC919" s="8"/>
      <c r="AD919" s="8"/>
      <c r="AE919" s="25"/>
      <c r="AF919" s="11"/>
      <c r="AG919" s="25"/>
      <c r="AH919" s="11"/>
      <c r="AI919" s="11">
        <v>80</v>
      </c>
      <c r="AJ919" s="19">
        <v>25</v>
      </c>
      <c r="AK919" s="12">
        <f>(AJ919+AI919)/30*7</f>
        <v>24.5</v>
      </c>
      <c r="AL919" s="6">
        <f>IF(AK919-C919&lt;0,0,AK919-C919)</f>
        <v>0</v>
      </c>
      <c r="AM919" s="6">
        <f>IF(AL919-R919-S919&lt;0,0,AL919-R919-S919)</f>
        <v>0</v>
      </c>
      <c r="AN919" s="5" t="str">
        <f t="shared" si="29"/>
        <v/>
      </c>
      <c r="AO919" s="5">
        <v>0</v>
      </c>
      <c r="AP919" s="9"/>
      <c r="AQ919" s="5" t="s">
        <v>1210</v>
      </c>
      <c r="AR919" s="5" t="s">
        <v>1210</v>
      </c>
      <c r="AS919" s="8"/>
      <c r="AT919" s="8"/>
      <c r="AU919" s="8"/>
      <c r="AV919" s="8"/>
      <c r="AW919" s="8"/>
      <c r="AX919" s="8"/>
      <c r="AY919" s="8"/>
      <c r="AZ919" s="8"/>
    </row>
    <row r="920" spans="1:52">
      <c r="A920" s="5" t="s">
        <v>533</v>
      </c>
      <c r="B920" s="5">
        <v>1180</v>
      </c>
      <c r="C920" s="19">
        <v>370</v>
      </c>
      <c r="E920" s="14"/>
      <c r="F920" s="11"/>
      <c r="G920" s="11"/>
      <c r="H920" s="11"/>
      <c r="I920" s="11"/>
      <c r="J920" s="25"/>
      <c r="K920" s="11"/>
      <c r="L920" s="11"/>
      <c r="M920" s="19">
        <v>0</v>
      </c>
      <c r="O920" s="6"/>
      <c r="P920" s="16">
        <v>292</v>
      </c>
      <c r="Q920" s="16">
        <v>824</v>
      </c>
      <c r="R920" s="22"/>
      <c r="S920" s="22">
        <f t="shared" si="28"/>
        <v>0</v>
      </c>
      <c r="T920" s="5" t="s">
        <v>1210</v>
      </c>
      <c r="U920" s="5" t="s">
        <v>1210</v>
      </c>
      <c r="Y920" s="8"/>
      <c r="Z920" s="8"/>
      <c r="AA920" s="8"/>
      <c r="AB920" s="8"/>
      <c r="AC920" s="8"/>
      <c r="AD920" s="8"/>
      <c r="AE920" s="25"/>
      <c r="AF920" s="11"/>
      <c r="AG920" s="25"/>
      <c r="AH920" s="11"/>
      <c r="AI920" s="11">
        <v>1</v>
      </c>
      <c r="AJ920" s="19">
        <v>13</v>
      </c>
      <c r="AK920" s="12">
        <f>(AJ920+AI920)/30*7</f>
        <v>3.2666666666666666</v>
      </c>
      <c r="AL920" s="6">
        <f>IF(AK920-C920&lt;0,0,AK920-C920)</f>
        <v>0</v>
      </c>
      <c r="AM920" s="6">
        <f>IF(AL920-R920-S920&lt;0,0,AL920-R920-S920)</f>
        <v>0</v>
      </c>
      <c r="AN920" s="5" t="str">
        <f t="shared" si="29"/>
        <v/>
      </c>
      <c r="AO920" s="5">
        <v>0</v>
      </c>
      <c r="AP920" s="9"/>
      <c r="AQ920" s="5" t="s">
        <v>1210</v>
      </c>
      <c r="AR920" s="5" t="s">
        <v>1210</v>
      </c>
      <c r="AS920" s="8"/>
      <c r="AT920" s="8"/>
      <c r="AU920" s="8"/>
      <c r="AV920" s="8"/>
      <c r="AW920" s="8"/>
      <c r="AX920" s="8"/>
      <c r="AY920" s="8"/>
      <c r="AZ920" s="8"/>
    </row>
    <row r="921" spans="1:52">
      <c r="A921" s="5" t="s">
        <v>483</v>
      </c>
      <c r="B921" s="5">
        <v>1872</v>
      </c>
      <c r="C921" s="19">
        <v>639</v>
      </c>
      <c r="E921" s="14"/>
      <c r="F921" s="11"/>
      <c r="G921" s="11"/>
      <c r="H921" s="11"/>
      <c r="I921" s="11"/>
      <c r="J921" s="25"/>
      <c r="K921" s="11"/>
      <c r="L921" s="11"/>
      <c r="M921" s="19">
        <v>0</v>
      </c>
      <c r="O921" s="6"/>
      <c r="P921" s="16">
        <v>394</v>
      </c>
      <c r="Q921" s="16">
        <v>820</v>
      </c>
      <c r="R921" s="22"/>
      <c r="S921" s="22">
        <f t="shared" si="28"/>
        <v>0</v>
      </c>
      <c r="T921" s="5" t="s">
        <v>1210</v>
      </c>
      <c r="U921" s="5" t="s">
        <v>1210</v>
      </c>
      <c r="Y921" s="8"/>
      <c r="Z921" s="8"/>
      <c r="AA921" s="8"/>
      <c r="AB921" s="8"/>
      <c r="AC921" s="8"/>
      <c r="AD921" s="8"/>
      <c r="AE921" s="25"/>
      <c r="AF921" s="11"/>
      <c r="AG921" s="25"/>
      <c r="AH921" s="11"/>
      <c r="AI921" s="11">
        <v>17</v>
      </c>
      <c r="AJ921" s="19">
        <v>0</v>
      </c>
      <c r="AK921" s="12">
        <f>(AJ921+AI921)/30*7</f>
        <v>3.9666666666666668</v>
      </c>
      <c r="AL921" s="6">
        <f>IF(AK921-C921&lt;0,0,AK921-C921)</f>
        <v>0</v>
      </c>
      <c r="AM921" s="6">
        <f>IF(AL921-R921-S921&lt;0,0,AL921-R921-S921)</f>
        <v>0</v>
      </c>
      <c r="AN921" s="5" t="str">
        <f t="shared" si="29"/>
        <v/>
      </c>
      <c r="AO921" s="5">
        <v>0</v>
      </c>
      <c r="AP921" s="9"/>
      <c r="AQ921" s="5" t="s">
        <v>1210</v>
      </c>
      <c r="AR921" s="5" t="s">
        <v>1210</v>
      </c>
      <c r="AS921" s="8"/>
      <c r="AT921" s="8"/>
      <c r="AU921" s="8"/>
      <c r="AV921" s="8"/>
      <c r="AW921" s="8"/>
      <c r="AX921" s="8"/>
      <c r="AY921" s="8"/>
      <c r="AZ921" s="8"/>
    </row>
    <row r="922" spans="1:52">
      <c r="A922" s="5" t="s">
        <v>450</v>
      </c>
      <c r="B922" s="5">
        <v>1379</v>
      </c>
      <c r="C922" s="19">
        <v>960</v>
      </c>
      <c r="E922" s="14"/>
      <c r="F922" s="11"/>
      <c r="G922" s="11"/>
      <c r="H922" s="11"/>
      <c r="I922" s="11"/>
      <c r="J922" s="25"/>
      <c r="K922" s="11"/>
      <c r="L922" s="11"/>
      <c r="M922" s="19">
        <v>0</v>
      </c>
      <c r="O922" s="6"/>
      <c r="P922" s="16">
        <v>0</v>
      </c>
      <c r="Q922" s="16">
        <v>461</v>
      </c>
      <c r="R922" s="22"/>
      <c r="S922" s="22">
        <f t="shared" si="28"/>
        <v>0</v>
      </c>
      <c r="U922" s="5" t="s">
        <v>1210</v>
      </c>
      <c r="Y922" s="8"/>
      <c r="Z922" s="8"/>
      <c r="AA922" s="8"/>
      <c r="AB922" s="8"/>
      <c r="AC922" s="8"/>
      <c r="AD922" s="8"/>
      <c r="AE922" s="25"/>
      <c r="AF922" s="11"/>
      <c r="AG922" s="25"/>
      <c r="AH922" s="11"/>
      <c r="AI922" s="11">
        <v>34</v>
      </c>
      <c r="AJ922" s="19">
        <v>6</v>
      </c>
      <c r="AK922" s="12">
        <f>(AJ922+AI922)/30*7</f>
        <v>9.3333333333333321</v>
      </c>
      <c r="AL922" s="6">
        <f>IF(AK922-C922&lt;0,0,AK922-C922)</f>
        <v>0</v>
      </c>
      <c r="AM922" s="6">
        <f>IF(AL922-R922-S922&lt;0,0,AL922-R922-S922)</f>
        <v>0</v>
      </c>
      <c r="AN922" s="5" t="str">
        <f t="shared" si="29"/>
        <v/>
      </c>
      <c r="AO922" s="5">
        <v>0</v>
      </c>
      <c r="AP922" s="9"/>
      <c r="AQ922" s="5" t="s">
        <v>1210</v>
      </c>
      <c r="AR922" s="5" t="s">
        <v>1210</v>
      </c>
      <c r="AS922" s="8"/>
      <c r="AT922" s="8"/>
      <c r="AU922" s="8"/>
      <c r="AV922" s="8"/>
      <c r="AW922" s="8"/>
      <c r="AX922" s="8"/>
      <c r="AY922" s="8"/>
      <c r="AZ922" s="8"/>
    </row>
    <row r="923" spans="1:52">
      <c r="A923" s="5" t="s">
        <v>891</v>
      </c>
      <c r="B923" s="5">
        <v>2183</v>
      </c>
      <c r="C923" s="19">
        <v>404</v>
      </c>
      <c r="E923" s="14"/>
      <c r="F923" s="11"/>
      <c r="G923" s="11"/>
      <c r="H923" s="11"/>
      <c r="I923" s="11"/>
      <c r="J923" s="25"/>
      <c r="K923" s="11"/>
      <c r="L923" s="11"/>
      <c r="M923" s="19">
        <v>0</v>
      </c>
      <c r="O923" s="6"/>
      <c r="P923" s="16">
        <v>0</v>
      </c>
      <c r="Q923" s="16">
        <v>0</v>
      </c>
      <c r="R923" s="22"/>
      <c r="S923" s="22">
        <f t="shared" si="28"/>
        <v>0</v>
      </c>
      <c r="T923" s="5" t="s">
        <v>1210</v>
      </c>
      <c r="U923" s="5" t="s">
        <v>1210</v>
      </c>
      <c r="Y923" s="8"/>
      <c r="Z923" s="8"/>
      <c r="AA923" s="8"/>
      <c r="AB923" s="8"/>
      <c r="AC923" s="8"/>
      <c r="AD923" s="8"/>
      <c r="AE923" s="25"/>
      <c r="AF923" s="11"/>
      <c r="AG923" s="25"/>
      <c r="AH923" s="11"/>
      <c r="AI923" s="11">
        <v>33</v>
      </c>
      <c r="AJ923" s="19">
        <v>0</v>
      </c>
      <c r="AK923" s="12">
        <f>(AJ923+AI923)/30*7</f>
        <v>7.7000000000000011</v>
      </c>
      <c r="AL923" s="6">
        <f>IF(AK923-C923&lt;0,0,AK923-C923)</f>
        <v>0</v>
      </c>
      <c r="AM923" s="6">
        <f>IF(AL923-R923-S923&lt;0,0,AL923-R923-S923)</f>
        <v>0</v>
      </c>
      <c r="AN923" s="5" t="str">
        <f t="shared" si="29"/>
        <v/>
      </c>
      <c r="AO923" s="5">
        <v>0</v>
      </c>
      <c r="AP923" s="9"/>
      <c r="AQ923" s="5" t="s">
        <v>1210</v>
      </c>
      <c r="AR923" s="5" t="s">
        <v>1210</v>
      </c>
      <c r="AS923" s="8"/>
      <c r="AT923" s="8"/>
      <c r="AU923" s="8"/>
      <c r="AV923" s="8"/>
      <c r="AW923" s="8"/>
      <c r="AX923" s="8"/>
      <c r="AY923" s="8"/>
      <c r="AZ923" s="8"/>
    </row>
    <row r="924" spans="1:52">
      <c r="A924" s="5" t="s">
        <v>224</v>
      </c>
      <c r="B924" s="5">
        <v>1172</v>
      </c>
      <c r="C924" s="19">
        <v>762</v>
      </c>
      <c r="E924" s="14"/>
      <c r="F924" s="11"/>
      <c r="G924" s="11"/>
      <c r="H924" s="11"/>
      <c r="I924" s="11"/>
      <c r="J924" s="25"/>
      <c r="K924" s="11"/>
      <c r="L924" s="11"/>
      <c r="M924" s="19">
        <v>0</v>
      </c>
      <c r="O924" s="6"/>
      <c r="P924" s="16">
        <v>455</v>
      </c>
      <c r="Q924" s="16">
        <v>0</v>
      </c>
      <c r="R924" s="22"/>
      <c r="S924" s="22">
        <f t="shared" si="28"/>
        <v>0</v>
      </c>
      <c r="T924" s="5" t="s">
        <v>1210</v>
      </c>
      <c r="U924" s="5" t="s">
        <v>1210</v>
      </c>
      <c r="Y924" s="8"/>
      <c r="Z924" s="8"/>
      <c r="AA924" s="8"/>
      <c r="AB924" s="8"/>
      <c r="AC924" s="8"/>
      <c r="AD924" s="8"/>
      <c r="AE924" s="25"/>
      <c r="AF924" s="11"/>
      <c r="AG924" s="25"/>
      <c r="AH924" s="11"/>
      <c r="AI924" s="11">
        <v>64</v>
      </c>
      <c r="AJ924" s="19">
        <v>0</v>
      </c>
      <c r="AK924" s="12">
        <f>(AJ924+AI924)/30*7</f>
        <v>14.933333333333334</v>
      </c>
      <c r="AL924" s="6">
        <f>IF(AK924-C924&lt;0,0,AK924-C924)</f>
        <v>0</v>
      </c>
      <c r="AM924" s="6">
        <f>IF(AL924-R924-S924&lt;0,0,AL924-R924-S924)</f>
        <v>0</v>
      </c>
      <c r="AN924" s="5" t="str">
        <f t="shared" si="29"/>
        <v/>
      </c>
      <c r="AO924" s="5">
        <v>0</v>
      </c>
      <c r="AP924" s="9"/>
      <c r="AQ924" s="5" t="s">
        <v>1210</v>
      </c>
      <c r="AR924" s="5" t="s">
        <v>1210</v>
      </c>
      <c r="AS924" s="8"/>
      <c r="AT924" s="8"/>
      <c r="AU924" s="8"/>
      <c r="AV924" s="8"/>
      <c r="AW924" s="8"/>
      <c r="AX924" s="8"/>
      <c r="AY924" s="8"/>
      <c r="AZ924" s="8"/>
    </row>
    <row r="925" spans="1:52">
      <c r="A925" s="5" t="s">
        <v>447</v>
      </c>
      <c r="B925" s="5">
        <v>2032</v>
      </c>
      <c r="C925" s="19">
        <v>331</v>
      </c>
      <c r="E925" s="14"/>
      <c r="F925" s="11"/>
      <c r="G925" s="11"/>
      <c r="H925" s="11"/>
      <c r="I925" s="11"/>
      <c r="J925" s="25"/>
      <c r="K925" s="11"/>
      <c r="L925" s="11"/>
      <c r="M925" s="19">
        <v>0</v>
      </c>
      <c r="O925" s="6"/>
      <c r="P925" s="16">
        <v>469</v>
      </c>
      <c r="Q925" s="16">
        <v>0</v>
      </c>
      <c r="R925" s="22"/>
      <c r="S925" s="22">
        <f t="shared" si="28"/>
        <v>0</v>
      </c>
      <c r="T925" s="5" t="s">
        <v>1210</v>
      </c>
      <c r="U925" s="5" t="s">
        <v>1210</v>
      </c>
      <c r="Y925" s="8"/>
      <c r="Z925" s="8"/>
      <c r="AA925" s="8"/>
      <c r="AB925" s="8"/>
      <c r="AC925" s="8"/>
      <c r="AD925" s="8"/>
      <c r="AE925" s="25"/>
      <c r="AF925" s="11"/>
      <c r="AG925" s="25"/>
      <c r="AH925" s="11"/>
      <c r="AI925" s="11">
        <v>60</v>
      </c>
      <c r="AJ925" s="19">
        <v>9</v>
      </c>
      <c r="AK925" s="12">
        <f>(AJ925+AI925)/30*7</f>
        <v>16.099999999999998</v>
      </c>
      <c r="AL925" s="6">
        <f>IF(AK925-C925&lt;0,0,AK925-C925)</f>
        <v>0</v>
      </c>
      <c r="AM925" s="6">
        <f>IF(AL925-R925-S925&lt;0,0,AL925-R925-S925)</f>
        <v>0</v>
      </c>
      <c r="AN925" s="5" t="str">
        <f t="shared" si="29"/>
        <v/>
      </c>
      <c r="AO925" s="5">
        <v>0</v>
      </c>
      <c r="AP925" s="9"/>
      <c r="AQ925" s="5" t="s">
        <v>1210</v>
      </c>
      <c r="AR925" s="5" t="s">
        <v>1210</v>
      </c>
      <c r="AS925" s="8"/>
      <c r="AT925" s="8"/>
      <c r="AU925" s="8"/>
      <c r="AV925" s="8"/>
      <c r="AW925" s="8"/>
      <c r="AX925" s="8"/>
      <c r="AY925" s="8"/>
      <c r="AZ925" s="8"/>
    </row>
    <row r="926" spans="1:52">
      <c r="A926" s="5" t="s">
        <v>551</v>
      </c>
      <c r="B926" s="5">
        <v>1865</v>
      </c>
      <c r="C926" s="19">
        <v>600</v>
      </c>
      <c r="E926" s="14"/>
      <c r="F926" s="11"/>
      <c r="G926" s="11"/>
      <c r="H926" s="11"/>
      <c r="I926" s="11"/>
      <c r="J926" s="25"/>
      <c r="K926" s="11"/>
      <c r="L926" s="11"/>
      <c r="M926" s="19">
        <v>0</v>
      </c>
      <c r="O926" s="6"/>
      <c r="P926" s="16">
        <v>308</v>
      </c>
      <c r="Q926" s="16">
        <v>0</v>
      </c>
      <c r="R926" s="22"/>
      <c r="S926" s="22">
        <f t="shared" si="28"/>
        <v>0</v>
      </c>
      <c r="T926" s="5" t="s">
        <v>1210</v>
      </c>
      <c r="U926" s="5" t="s">
        <v>1210</v>
      </c>
      <c r="Y926" s="8"/>
      <c r="Z926" s="8"/>
      <c r="AA926" s="8"/>
      <c r="AB926" s="8"/>
      <c r="AC926" s="8"/>
      <c r="AD926" s="8"/>
      <c r="AE926" s="25"/>
      <c r="AF926" s="11"/>
      <c r="AG926" s="25"/>
      <c r="AH926" s="11"/>
      <c r="AI926" s="11">
        <v>47</v>
      </c>
      <c r="AJ926" s="19">
        <v>0</v>
      </c>
      <c r="AK926" s="12">
        <f>(AJ926+AI926)/30*7</f>
        <v>10.966666666666667</v>
      </c>
      <c r="AL926" s="6">
        <f>IF(AK926-C926&lt;0,0,AK926-C926)</f>
        <v>0</v>
      </c>
      <c r="AM926" s="6">
        <f>IF(AL926-R926-S926&lt;0,0,AL926-R926-S926)</f>
        <v>0</v>
      </c>
      <c r="AN926" s="5" t="str">
        <f t="shared" si="29"/>
        <v/>
      </c>
      <c r="AO926" s="5">
        <v>0</v>
      </c>
      <c r="AP926" s="9"/>
      <c r="AQ926" s="5" t="s">
        <v>1210</v>
      </c>
      <c r="AR926" s="5" t="s">
        <v>1210</v>
      </c>
      <c r="AS926" s="8"/>
      <c r="AT926" s="8"/>
      <c r="AU926" s="8"/>
      <c r="AV926" s="8"/>
      <c r="AW926" s="8"/>
      <c r="AX926" s="8"/>
      <c r="AY926" s="8"/>
      <c r="AZ926" s="8"/>
    </row>
    <row r="927" spans="1:52">
      <c r="A927" s="5" t="s">
        <v>319</v>
      </c>
      <c r="B927" s="5" t="s">
        <v>1144</v>
      </c>
      <c r="C927" s="19">
        <v>969</v>
      </c>
      <c r="E927" s="14"/>
      <c r="F927" s="11"/>
      <c r="G927" s="11"/>
      <c r="H927" s="11"/>
      <c r="I927" s="11"/>
      <c r="J927" s="25"/>
      <c r="K927" s="11"/>
      <c r="L927" s="11"/>
      <c r="M927" s="19">
        <v>0</v>
      </c>
      <c r="O927" s="6"/>
      <c r="P927" s="16">
        <v>0</v>
      </c>
      <c r="Q927" s="16">
        <v>0</v>
      </c>
      <c r="R927" s="22"/>
      <c r="S927" s="22">
        <f t="shared" si="28"/>
        <v>0</v>
      </c>
      <c r="T927" s="5" t="s">
        <v>1210</v>
      </c>
      <c r="U927" s="5" t="s">
        <v>1210</v>
      </c>
      <c r="Y927" s="8"/>
      <c r="Z927" s="8"/>
      <c r="AA927" s="8"/>
      <c r="AB927" s="8"/>
      <c r="AC927" s="8"/>
      <c r="AD927" s="8"/>
      <c r="AE927" s="25"/>
      <c r="AF927" s="11"/>
      <c r="AG927" s="25"/>
      <c r="AH927" s="11"/>
      <c r="AI927" s="11">
        <v>84</v>
      </c>
      <c r="AJ927" s="19">
        <v>6</v>
      </c>
      <c r="AK927" s="12">
        <f>(AJ927+AI927)/30*7</f>
        <v>21</v>
      </c>
      <c r="AL927" s="6">
        <f>IF(AK927-C927&lt;0,0,AK927-C927)</f>
        <v>0</v>
      </c>
      <c r="AM927" s="6">
        <f>IF(AL927-R927-S927&lt;0,0,AL927-R927-S927)</f>
        <v>0</v>
      </c>
      <c r="AN927" s="5" t="str">
        <f t="shared" si="29"/>
        <v/>
      </c>
      <c r="AO927" s="5">
        <v>0</v>
      </c>
      <c r="AP927" s="9"/>
      <c r="AQ927" s="5" t="s">
        <v>1210</v>
      </c>
      <c r="AR927" s="5" t="s">
        <v>1210</v>
      </c>
      <c r="AS927" s="8"/>
      <c r="AT927" s="8"/>
      <c r="AU927" s="8"/>
      <c r="AV927" s="8"/>
      <c r="AW927" s="8"/>
      <c r="AX927" s="8"/>
      <c r="AY927" s="8"/>
      <c r="AZ927" s="8"/>
    </row>
    <row r="928" spans="1:52">
      <c r="A928" s="5" t="s">
        <v>396</v>
      </c>
      <c r="B928" s="5">
        <v>1762</v>
      </c>
      <c r="C928" s="19">
        <v>967</v>
      </c>
      <c r="E928" s="14"/>
      <c r="F928" s="11"/>
      <c r="G928" s="11"/>
      <c r="H928" s="11"/>
      <c r="I928" s="11"/>
      <c r="J928" s="25"/>
      <c r="K928" s="11"/>
      <c r="L928" s="11"/>
      <c r="M928" s="19">
        <v>8</v>
      </c>
      <c r="O928" s="6"/>
      <c r="P928" s="16">
        <v>299</v>
      </c>
      <c r="Q928" s="16">
        <v>804</v>
      </c>
      <c r="R928" s="22"/>
      <c r="S928" s="22">
        <f t="shared" si="28"/>
        <v>0</v>
      </c>
      <c r="T928" s="5" t="s">
        <v>1210</v>
      </c>
      <c r="U928" s="5" t="s">
        <v>1210</v>
      </c>
      <c r="Y928" s="8"/>
      <c r="Z928" s="8"/>
      <c r="AA928" s="8"/>
      <c r="AB928" s="8"/>
      <c r="AC928" s="8"/>
      <c r="AD928" s="8"/>
      <c r="AE928" s="25"/>
      <c r="AF928" s="11"/>
      <c r="AG928" s="25"/>
      <c r="AH928" s="11"/>
      <c r="AI928" s="11">
        <v>24</v>
      </c>
      <c r="AJ928" s="19">
        <v>27</v>
      </c>
      <c r="AK928" s="12">
        <f>(AJ928+AI928)/30*7</f>
        <v>11.9</v>
      </c>
      <c r="AL928" s="6">
        <f>IF(AK928-C928&lt;0,0,AK928-C928)</f>
        <v>0</v>
      </c>
      <c r="AM928" s="6">
        <f>IF(AL928-R928-S928&lt;0,0,AL928-R928-S928)</f>
        <v>0</v>
      </c>
      <c r="AN928" s="5" t="str">
        <f t="shared" si="29"/>
        <v/>
      </c>
      <c r="AO928" s="5">
        <v>0</v>
      </c>
      <c r="AP928" s="9"/>
      <c r="AQ928" s="5" t="s">
        <v>1210</v>
      </c>
      <c r="AR928" s="5" t="s">
        <v>1210</v>
      </c>
      <c r="AS928" s="8"/>
      <c r="AT928" s="8"/>
      <c r="AU928" s="8"/>
      <c r="AV928" s="8"/>
      <c r="AW928" s="8"/>
      <c r="AX928" s="8"/>
      <c r="AY928" s="8"/>
      <c r="AZ928" s="8"/>
    </row>
    <row r="929" spans="1:52">
      <c r="A929" s="5" t="s">
        <v>510</v>
      </c>
      <c r="B929" s="5">
        <v>601</v>
      </c>
      <c r="C929" s="19">
        <v>390</v>
      </c>
      <c r="E929" s="14"/>
      <c r="F929" s="11"/>
      <c r="G929" s="11"/>
      <c r="H929" s="11"/>
      <c r="I929" s="11"/>
      <c r="J929" s="25"/>
      <c r="K929" s="11"/>
      <c r="L929" s="11"/>
      <c r="M929" s="19">
        <v>0</v>
      </c>
      <c r="O929" s="6"/>
      <c r="P929" s="16">
        <v>974</v>
      </c>
      <c r="Q929" s="16">
        <v>989</v>
      </c>
      <c r="R929" s="22"/>
      <c r="S929" s="22">
        <f t="shared" si="28"/>
        <v>0</v>
      </c>
      <c r="T929" s="5" t="s">
        <v>1210</v>
      </c>
      <c r="U929" s="5" t="s">
        <v>1210</v>
      </c>
      <c r="Y929" s="8"/>
      <c r="Z929" s="8"/>
      <c r="AA929" s="8"/>
      <c r="AB929" s="8"/>
      <c r="AC929" s="8"/>
      <c r="AD929" s="8"/>
      <c r="AE929" s="25"/>
      <c r="AF929" s="11"/>
      <c r="AG929" s="25"/>
      <c r="AH929" s="11"/>
      <c r="AI929" s="11">
        <v>82</v>
      </c>
      <c r="AJ929" s="19">
        <v>7</v>
      </c>
      <c r="AK929" s="12">
        <f>(AJ929+AI929)/30*7</f>
        <v>20.766666666666666</v>
      </c>
      <c r="AL929" s="6">
        <f>IF(AK929-C929&lt;0,0,AK929-C929)</f>
        <v>0</v>
      </c>
      <c r="AM929" s="6">
        <f>IF(AL929-R929-S929&lt;0,0,AL929-R929-S929)</f>
        <v>0</v>
      </c>
      <c r="AN929" s="5" t="str">
        <f t="shared" si="29"/>
        <v/>
      </c>
      <c r="AO929" s="5">
        <v>0</v>
      </c>
      <c r="AP929" s="9"/>
      <c r="AQ929" s="5" t="s">
        <v>1210</v>
      </c>
      <c r="AR929" s="5" t="s">
        <v>1230</v>
      </c>
      <c r="AS929" s="8"/>
      <c r="AT929" s="8"/>
      <c r="AU929" s="8"/>
      <c r="AV929" s="8"/>
      <c r="AW929" s="8"/>
      <c r="AX929" s="8"/>
      <c r="AY929" s="8"/>
      <c r="AZ929" s="8"/>
    </row>
    <row r="930" spans="1:52">
      <c r="A930" s="5" t="s">
        <v>476</v>
      </c>
      <c r="B930" s="5">
        <v>960</v>
      </c>
      <c r="C930" s="19">
        <v>467</v>
      </c>
      <c r="E930" s="14"/>
      <c r="F930" s="11"/>
      <c r="G930" s="11"/>
      <c r="H930" s="11"/>
      <c r="I930" s="11"/>
      <c r="J930" s="25"/>
      <c r="K930" s="11"/>
      <c r="L930" s="11"/>
      <c r="M930" s="19">
        <v>0</v>
      </c>
      <c r="O930" s="6"/>
      <c r="P930" s="16">
        <v>604</v>
      </c>
      <c r="Q930" s="16">
        <v>1000</v>
      </c>
      <c r="R930" s="22"/>
      <c r="S930" s="22">
        <f t="shared" si="28"/>
        <v>0</v>
      </c>
      <c r="U930" s="5" t="s">
        <v>1210</v>
      </c>
      <c r="Y930" s="8"/>
      <c r="Z930" s="8"/>
      <c r="AA930" s="8"/>
      <c r="AB930" s="8"/>
      <c r="AC930" s="8"/>
      <c r="AD930" s="8"/>
      <c r="AE930" s="25"/>
      <c r="AF930" s="11"/>
      <c r="AG930" s="25"/>
      <c r="AH930" s="11"/>
      <c r="AI930" s="11">
        <v>52</v>
      </c>
      <c r="AJ930" s="19">
        <v>7</v>
      </c>
      <c r="AK930" s="12">
        <f>(AJ930+AI930)/30*7</f>
        <v>13.766666666666666</v>
      </c>
      <c r="AL930" s="6">
        <f>IF(AK930-C930&lt;0,0,AK930-C930)</f>
        <v>0</v>
      </c>
      <c r="AM930" s="6">
        <f>IF(AL930-R930-S930&lt;0,0,AL930-R930-S930)</f>
        <v>0</v>
      </c>
      <c r="AN930" s="5" t="str">
        <f t="shared" si="29"/>
        <v/>
      </c>
      <c r="AO930" s="5">
        <v>0</v>
      </c>
      <c r="AP930" s="9"/>
      <c r="AQ930" s="5" t="s">
        <v>1210</v>
      </c>
      <c r="AR930" s="5" t="s">
        <v>1230</v>
      </c>
      <c r="AS930" s="8"/>
      <c r="AT930" s="8"/>
      <c r="AU930" s="8"/>
      <c r="AV930" s="8"/>
      <c r="AW930" s="8"/>
      <c r="AX930" s="8"/>
      <c r="AY930" s="8"/>
      <c r="AZ930" s="8"/>
    </row>
    <row r="931" spans="1:52">
      <c r="A931" s="5" t="s">
        <v>465</v>
      </c>
      <c r="B931" s="5">
        <v>1510</v>
      </c>
      <c r="C931" s="19">
        <v>620</v>
      </c>
      <c r="E931" s="14"/>
      <c r="F931" s="11"/>
      <c r="G931" s="11"/>
      <c r="H931" s="11"/>
      <c r="I931" s="11"/>
      <c r="J931" s="25"/>
      <c r="K931" s="11"/>
      <c r="L931" s="11"/>
      <c r="M931" s="19">
        <v>8</v>
      </c>
      <c r="O931" s="6"/>
      <c r="P931" s="16">
        <v>345</v>
      </c>
      <c r="Q931" s="16">
        <v>599</v>
      </c>
      <c r="R931" s="22"/>
      <c r="S931" s="22">
        <f t="shared" si="28"/>
        <v>0</v>
      </c>
      <c r="T931" s="5" t="s">
        <v>1210</v>
      </c>
      <c r="U931" s="5" t="s">
        <v>1210</v>
      </c>
      <c r="Y931" s="8"/>
      <c r="Z931" s="8"/>
      <c r="AA931" s="8"/>
      <c r="AB931" s="8"/>
      <c r="AC931" s="8"/>
      <c r="AD931" s="8"/>
      <c r="AE931" s="25"/>
      <c r="AF931" s="11"/>
      <c r="AG931" s="25"/>
      <c r="AH931" s="11"/>
      <c r="AI931" s="11">
        <v>26</v>
      </c>
      <c r="AJ931" s="19">
        <v>2</v>
      </c>
      <c r="AK931" s="12">
        <f>(AJ931+AI931)/30*7</f>
        <v>6.5333333333333332</v>
      </c>
      <c r="AL931" s="6">
        <f>IF(AK931-C931&lt;0,0,AK931-C931)</f>
        <v>0</v>
      </c>
      <c r="AM931" s="6">
        <f>IF(AL931-R931-S931&lt;0,0,AL931-R931-S931)</f>
        <v>0</v>
      </c>
      <c r="AN931" s="5" t="str">
        <f t="shared" si="29"/>
        <v/>
      </c>
      <c r="AO931" s="5">
        <v>0</v>
      </c>
      <c r="AP931" s="9"/>
      <c r="AQ931" s="5" t="s">
        <v>1210</v>
      </c>
      <c r="AR931" s="5" t="s">
        <v>1210</v>
      </c>
      <c r="AS931" s="8"/>
      <c r="AT931" s="8"/>
      <c r="AU931" s="8"/>
      <c r="AV931" s="8"/>
      <c r="AW931" s="8"/>
      <c r="AX931" s="8"/>
      <c r="AY931" s="8"/>
      <c r="AZ931" s="8"/>
    </row>
    <row r="932" spans="1:52">
      <c r="A932" s="5" t="s">
        <v>306</v>
      </c>
      <c r="B932" s="5">
        <v>805</v>
      </c>
      <c r="C932" s="19">
        <v>635</v>
      </c>
      <c r="E932" s="14"/>
      <c r="F932" s="11"/>
      <c r="G932" s="11"/>
      <c r="H932" s="11"/>
      <c r="I932" s="11"/>
      <c r="J932" s="25"/>
      <c r="K932" s="11"/>
      <c r="L932" s="11"/>
      <c r="M932" s="19">
        <v>0</v>
      </c>
      <c r="O932" s="6"/>
      <c r="P932" s="16">
        <v>651</v>
      </c>
      <c r="Q932" s="16">
        <v>665</v>
      </c>
      <c r="R932" s="22"/>
      <c r="S932" s="22">
        <f t="shared" si="28"/>
        <v>0</v>
      </c>
      <c r="T932" s="5" t="s">
        <v>1210</v>
      </c>
      <c r="U932" s="5" t="s">
        <v>1210</v>
      </c>
      <c r="Y932" s="8"/>
      <c r="Z932" s="8"/>
      <c r="AA932" s="8"/>
      <c r="AB932" s="8"/>
      <c r="AC932" s="8"/>
      <c r="AD932" s="8"/>
      <c r="AE932" s="25"/>
      <c r="AF932" s="11"/>
      <c r="AG932" s="25"/>
      <c r="AH932" s="11"/>
      <c r="AI932" s="11">
        <v>33</v>
      </c>
      <c r="AJ932" s="19">
        <v>5</v>
      </c>
      <c r="AK932" s="12">
        <f>(AJ932+AI932)/30*7</f>
        <v>8.8666666666666671</v>
      </c>
      <c r="AL932" s="6">
        <f>IF(AK932-C932&lt;0,0,AK932-C932)</f>
        <v>0</v>
      </c>
      <c r="AM932" s="6">
        <f>IF(AL932-R932-S932&lt;0,0,AL932-R932-S932)</f>
        <v>0</v>
      </c>
      <c r="AN932" s="5" t="str">
        <f t="shared" si="29"/>
        <v/>
      </c>
      <c r="AO932" s="5">
        <v>0</v>
      </c>
      <c r="AP932" s="9"/>
      <c r="AQ932" s="5" t="s">
        <v>1210</v>
      </c>
      <c r="AR932" s="5" t="s">
        <v>1230</v>
      </c>
      <c r="AS932" s="8"/>
      <c r="AT932" s="8"/>
      <c r="AU932" s="8"/>
      <c r="AV932" s="8"/>
      <c r="AW932" s="8"/>
      <c r="AX932" s="8"/>
      <c r="AY932" s="8"/>
      <c r="AZ932" s="8"/>
    </row>
    <row r="933" spans="1:52">
      <c r="A933" s="5" t="s">
        <v>320</v>
      </c>
      <c r="B933" s="5">
        <v>830</v>
      </c>
      <c r="C933" s="19">
        <v>755</v>
      </c>
      <c r="E933" s="14"/>
      <c r="F933" s="11"/>
      <c r="G933" s="11"/>
      <c r="H933" s="11"/>
      <c r="I933" s="11"/>
      <c r="J933" s="25"/>
      <c r="K933" s="11"/>
      <c r="L933" s="11"/>
      <c r="M933" s="19">
        <v>0</v>
      </c>
      <c r="O933" s="6"/>
      <c r="P933" s="16">
        <v>859</v>
      </c>
      <c r="Q933" s="16">
        <v>0</v>
      </c>
      <c r="R933" s="22"/>
      <c r="S933" s="22">
        <f t="shared" si="28"/>
        <v>0</v>
      </c>
      <c r="T933" s="5" t="s">
        <v>1210</v>
      </c>
      <c r="U933" s="5" t="s">
        <v>1210</v>
      </c>
      <c r="Y933" s="8"/>
      <c r="Z933" s="8"/>
      <c r="AA933" s="8"/>
      <c r="AB933" s="8"/>
      <c r="AC933" s="8"/>
      <c r="AD933" s="8"/>
      <c r="AE933" s="25"/>
      <c r="AF933" s="11"/>
      <c r="AG933" s="25"/>
      <c r="AH933" s="11"/>
      <c r="AI933" s="11">
        <v>30</v>
      </c>
      <c r="AJ933" s="19">
        <v>8</v>
      </c>
      <c r="AK933" s="12">
        <f>(AJ933+AI933)/30*7</f>
        <v>8.8666666666666671</v>
      </c>
      <c r="AL933" s="6">
        <f>IF(AK933-C933&lt;0,0,AK933-C933)</f>
        <v>0</v>
      </c>
      <c r="AM933" s="6">
        <f>IF(AL933-R933-S933&lt;0,0,AL933-R933-S933)</f>
        <v>0</v>
      </c>
      <c r="AN933" s="5" t="str">
        <f t="shared" si="29"/>
        <v/>
      </c>
      <c r="AO933" s="5">
        <v>0</v>
      </c>
      <c r="AP933" s="9"/>
      <c r="AQ933" s="5" t="s">
        <v>1210</v>
      </c>
      <c r="AR933" s="5" t="s">
        <v>1230</v>
      </c>
      <c r="AS933" s="8"/>
      <c r="AT933" s="8"/>
      <c r="AU933" s="8"/>
      <c r="AV933" s="8"/>
      <c r="AW933" s="8"/>
      <c r="AX933" s="8"/>
      <c r="AY933" s="8"/>
      <c r="AZ933" s="8"/>
    </row>
    <row r="934" spans="1:52">
      <c r="A934" s="5" t="s">
        <v>325</v>
      </c>
      <c r="B934" s="5">
        <v>939</v>
      </c>
      <c r="C934" s="19">
        <v>297</v>
      </c>
      <c r="E934" s="14"/>
      <c r="F934" s="11"/>
      <c r="G934" s="11"/>
      <c r="H934" s="11"/>
      <c r="I934" s="11"/>
      <c r="J934" s="25"/>
      <c r="K934" s="11"/>
      <c r="L934" s="11"/>
      <c r="M934" s="19">
        <v>0</v>
      </c>
      <c r="O934" s="6"/>
      <c r="P934" s="16">
        <v>816</v>
      </c>
      <c r="Q934" s="16">
        <v>0</v>
      </c>
      <c r="R934" s="22"/>
      <c r="S934" s="22">
        <f t="shared" si="28"/>
        <v>0</v>
      </c>
      <c r="T934" s="5" t="s">
        <v>1210</v>
      </c>
      <c r="U934" s="5" t="s">
        <v>1210</v>
      </c>
      <c r="Y934" s="8"/>
      <c r="Z934" s="8"/>
      <c r="AA934" s="8"/>
      <c r="AB934" s="8"/>
      <c r="AC934" s="8"/>
      <c r="AD934" s="8"/>
      <c r="AE934" s="25"/>
      <c r="AF934" s="11"/>
      <c r="AG934" s="25"/>
      <c r="AH934" s="11"/>
      <c r="AI934" s="11">
        <v>79</v>
      </c>
      <c r="AJ934" s="19">
        <v>17</v>
      </c>
      <c r="AK934" s="12">
        <f>(AJ934+AI934)/30*7</f>
        <v>22.400000000000002</v>
      </c>
      <c r="AL934" s="6">
        <f>IF(AK934-C934&lt;0,0,AK934-C934)</f>
        <v>0</v>
      </c>
      <c r="AM934" s="6">
        <f>IF(AL934-R934-S934&lt;0,0,AL934-R934-S934)</f>
        <v>0</v>
      </c>
      <c r="AN934" s="5" t="str">
        <f t="shared" si="29"/>
        <v/>
      </c>
      <c r="AO934" s="5">
        <v>0</v>
      </c>
      <c r="AP934" s="9"/>
      <c r="AQ934" s="5" t="s">
        <v>1210</v>
      </c>
      <c r="AR934" s="5" t="s">
        <v>1210</v>
      </c>
      <c r="AS934" s="8"/>
      <c r="AT934" s="8"/>
      <c r="AU934" s="8"/>
      <c r="AV934" s="8"/>
      <c r="AW934" s="8"/>
      <c r="AX934" s="8"/>
      <c r="AY934" s="8"/>
      <c r="AZ934" s="8"/>
    </row>
    <row r="935" spans="1:52">
      <c r="A935" s="5" t="s">
        <v>385</v>
      </c>
      <c r="B935" s="5">
        <v>619</v>
      </c>
      <c r="C935" s="19">
        <v>434</v>
      </c>
      <c r="E935" s="14"/>
      <c r="F935" s="11"/>
      <c r="G935" s="11"/>
      <c r="H935" s="11"/>
      <c r="I935" s="11"/>
      <c r="J935" s="25"/>
      <c r="K935" s="11"/>
      <c r="L935" s="11"/>
      <c r="M935" s="19">
        <v>0</v>
      </c>
      <c r="O935" s="6"/>
      <c r="P935" s="16">
        <v>564</v>
      </c>
      <c r="Q935" s="16">
        <v>872</v>
      </c>
      <c r="R935" s="22"/>
      <c r="S935" s="22">
        <f t="shared" si="28"/>
        <v>0</v>
      </c>
      <c r="T935" s="5" t="s">
        <v>1210</v>
      </c>
      <c r="U935" s="5" t="s">
        <v>1210</v>
      </c>
      <c r="Y935" s="8"/>
      <c r="Z935" s="8"/>
      <c r="AA935" s="8"/>
      <c r="AB935" s="8"/>
      <c r="AC935" s="8"/>
      <c r="AD935" s="8"/>
      <c r="AE935" s="25"/>
      <c r="AF935" s="11"/>
      <c r="AG935" s="25"/>
      <c r="AH935" s="11"/>
      <c r="AI935" s="11">
        <v>8</v>
      </c>
      <c r="AJ935" s="19">
        <v>27</v>
      </c>
      <c r="AK935" s="12">
        <f>(AJ935+AI935)/30*7</f>
        <v>8.1666666666666679</v>
      </c>
      <c r="AL935" s="6">
        <f>IF(AK935-C935&lt;0,0,AK935-C935)</f>
        <v>0</v>
      </c>
      <c r="AM935" s="6">
        <f>IF(AL935-R935-S935&lt;0,0,AL935-R935-S935)</f>
        <v>0</v>
      </c>
      <c r="AN935" s="5" t="str">
        <f t="shared" si="29"/>
        <v/>
      </c>
      <c r="AO935" s="5">
        <v>0</v>
      </c>
      <c r="AP935" s="9"/>
      <c r="AQ935" s="5" t="s">
        <v>1210</v>
      </c>
      <c r="AR935" s="5" t="s">
        <v>1210</v>
      </c>
      <c r="AS935" s="8"/>
      <c r="AT935" s="8"/>
      <c r="AU935" s="8"/>
      <c r="AV935" s="8"/>
      <c r="AW935" s="8"/>
      <c r="AX935" s="8"/>
      <c r="AY935" s="8"/>
      <c r="AZ935" s="8"/>
    </row>
    <row r="936" spans="1:52">
      <c r="A936" s="5" t="s">
        <v>388</v>
      </c>
      <c r="B936" s="5">
        <v>1106</v>
      </c>
      <c r="C936" s="19">
        <v>219</v>
      </c>
      <c r="E936" s="14"/>
      <c r="F936" s="11"/>
      <c r="G936" s="11"/>
      <c r="H936" s="11"/>
      <c r="I936" s="11"/>
      <c r="J936" s="25"/>
      <c r="K936" s="11"/>
      <c r="L936" s="11"/>
      <c r="M936" s="19">
        <v>0</v>
      </c>
      <c r="O936" s="6"/>
      <c r="P936" s="16">
        <v>0</v>
      </c>
      <c r="Q936" s="16">
        <v>0</v>
      </c>
      <c r="R936" s="22"/>
      <c r="S936" s="22">
        <f t="shared" si="28"/>
        <v>0</v>
      </c>
      <c r="T936" s="5" t="s">
        <v>1210</v>
      </c>
      <c r="U936" s="5" t="s">
        <v>1210</v>
      </c>
      <c r="Y936" s="8"/>
      <c r="Z936" s="8"/>
      <c r="AA936" s="8"/>
      <c r="AB936" s="8"/>
      <c r="AC936" s="8"/>
      <c r="AD936" s="8"/>
      <c r="AE936" s="25"/>
      <c r="AF936" s="11"/>
      <c r="AG936" s="25"/>
      <c r="AH936" s="11"/>
      <c r="AI936" s="11">
        <v>35</v>
      </c>
      <c r="AJ936" s="19">
        <v>0</v>
      </c>
      <c r="AK936" s="12">
        <f>(AJ936+AI936)/30*7</f>
        <v>8.1666666666666679</v>
      </c>
      <c r="AL936" s="6">
        <f>IF(AK936-C936&lt;0,0,AK936-C936)</f>
        <v>0</v>
      </c>
      <c r="AM936" s="6">
        <f>IF(AL936-R936-S936&lt;0,0,AL936-R936-S936)</f>
        <v>0</v>
      </c>
      <c r="AN936" s="5" t="str">
        <f t="shared" si="29"/>
        <v/>
      </c>
      <c r="AO936" s="5">
        <v>0</v>
      </c>
      <c r="AP936" s="9"/>
      <c r="AQ936" s="5" t="s">
        <v>1210</v>
      </c>
      <c r="AR936" s="5" t="s">
        <v>1210</v>
      </c>
      <c r="AS936" s="8"/>
      <c r="AT936" s="8"/>
      <c r="AU936" s="8"/>
      <c r="AV936" s="8"/>
      <c r="AW936" s="8"/>
      <c r="AX936" s="8"/>
      <c r="AY936" s="8"/>
      <c r="AZ936" s="8"/>
    </row>
    <row r="937" spans="1:52">
      <c r="A937" s="5" t="s">
        <v>492</v>
      </c>
      <c r="B937" s="5">
        <v>2065</v>
      </c>
      <c r="C937" s="19">
        <v>724</v>
      </c>
      <c r="E937" s="14"/>
      <c r="F937" s="11"/>
      <c r="G937" s="11"/>
      <c r="H937" s="11"/>
      <c r="I937" s="11"/>
      <c r="J937" s="25"/>
      <c r="K937" s="11"/>
      <c r="L937" s="11"/>
      <c r="M937" s="19">
        <v>0</v>
      </c>
      <c r="O937" s="6"/>
      <c r="P937" s="16">
        <v>721</v>
      </c>
      <c r="Q937" s="16">
        <v>0</v>
      </c>
      <c r="R937" s="22"/>
      <c r="S937" s="22">
        <f t="shared" si="28"/>
        <v>0</v>
      </c>
      <c r="T937" s="5" t="s">
        <v>1210</v>
      </c>
      <c r="U937" s="5" t="s">
        <v>1210</v>
      </c>
      <c r="Y937" s="8"/>
      <c r="Z937" s="8"/>
      <c r="AA937" s="8"/>
      <c r="AB937" s="8"/>
      <c r="AC937" s="8"/>
      <c r="AD937" s="8"/>
      <c r="AE937" s="25"/>
      <c r="AF937" s="11"/>
      <c r="AG937" s="25"/>
      <c r="AH937" s="11"/>
      <c r="AI937" s="11">
        <v>55</v>
      </c>
      <c r="AJ937" s="19">
        <v>20</v>
      </c>
      <c r="AK937" s="12">
        <f>(AJ937+AI937)/30*7</f>
        <v>17.5</v>
      </c>
      <c r="AL937" s="6">
        <f>IF(AK937-C937&lt;0,0,AK937-C937)</f>
        <v>0</v>
      </c>
      <c r="AM937" s="6">
        <f>IF(AL937-R937-S937&lt;0,0,AL937-R937-S937)</f>
        <v>0</v>
      </c>
      <c r="AN937" s="5" t="str">
        <f t="shared" si="29"/>
        <v/>
      </c>
      <c r="AO937" s="5">
        <v>0</v>
      </c>
      <c r="AP937" s="9"/>
      <c r="AQ937" s="5" t="s">
        <v>1210</v>
      </c>
      <c r="AR937" s="5" t="s">
        <v>1210</v>
      </c>
      <c r="AS937" s="8"/>
      <c r="AT937" s="8"/>
      <c r="AU937" s="8"/>
      <c r="AV937" s="8"/>
      <c r="AW937" s="8"/>
      <c r="AX937" s="8"/>
      <c r="AY937" s="8"/>
      <c r="AZ937" s="8"/>
    </row>
    <row r="938" spans="1:52">
      <c r="A938" s="5" t="s">
        <v>368</v>
      </c>
      <c r="B938" s="5">
        <v>696</v>
      </c>
      <c r="C938" s="19">
        <v>296</v>
      </c>
      <c r="E938" s="14"/>
      <c r="F938" s="11"/>
      <c r="G938" s="11"/>
      <c r="H938" s="11"/>
      <c r="I938" s="11"/>
      <c r="J938" s="25"/>
      <c r="K938" s="11"/>
      <c r="L938" s="11"/>
      <c r="M938" s="19">
        <v>0</v>
      </c>
      <c r="O938" s="6"/>
      <c r="P938" s="16">
        <v>0</v>
      </c>
      <c r="Q938" s="16">
        <v>313</v>
      </c>
      <c r="R938" s="22"/>
      <c r="S938" s="22">
        <f t="shared" si="28"/>
        <v>0</v>
      </c>
      <c r="T938" s="5" t="s">
        <v>1210</v>
      </c>
      <c r="U938" s="5" t="s">
        <v>1210</v>
      </c>
      <c r="Y938" s="8"/>
      <c r="Z938" s="8"/>
      <c r="AA938" s="8"/>
      <c r="AB938" s="8"/>
      <c r="AC938" s="8"/>
      <c r="AD938" s="8"/>
      <c r="AE938" s="25"/>
      <c r="AF938" s="11"/>
      <c r="AG938" s="25"/>
      <c r="AH938" s="11"/>
      <c r="AI938" s="11">
        <v>19</v>
      </c>
      <c r="AJ938" s="19">
        <v>10</v>
      </c>
      <c r="AK938" s="12">
        <f>(AJ938+AI938)/30*7</f>
        <v>6.7666666666666666</v>
      </c>
      <c r="AL938" s="6">
        <f>IF(AK938-C938&lt;0,0,AK938-C938)</f>
        <v>0</v>
      </c>
      <c r="AM938" s="6">
        <f>IF(AL938-R938-S938&lt;0,0,AL938-R938-S938)</f>
        <v>0</v>
      </c>
      <c r="AN938" s="5" t="str">
        <f t="shared" si="29"/>
        <v/>
      </c>
      <c r="AO938" s="5">
        <v>0</v>
      </c>
      <c r="AP938" s="9"/>
      <c r="AQ938" s="5" t="s">
        <v>1210</v>
      </c>
      <c r="AR938" s="5" t="s">
        <v>1230</v>
      </c>
      <c r="AS938" s="8"/>
      <c r="AT938" s="8"/>
      <c r="AU938" s="8"/>
      <c r="AV938" s="8"/>
      <c r="AW938" s="8"/>
      <c r="AX938" s="8"/>
      <c r="AY938" s="8"/>
      <c r="AZ938" s="8"/>
    </row>
    <row r="939" spans="1:52">
      <c r="A939" s="5" t="s">
        <v>397</v>
      </c>
      <c r="B939" s="5">
        <v>1020</v>
      </c>
      <c r="C939" s="19">
        <v>784</v>
      </c>
      <c r="E939" s="14"/>
      <c r="F939" s="11"/>
      <c r="G939" s="11"/>
      <c r="H939" s="11"/>
      <c r="I939" s="11"/>
      <c r="J939" s="25"/>
      <c r="K939" s="11"/>
      <c r="L939" s="11"/>
      <c r="M939" s="19">
        <v>0</v>
      </c>
      <c r="O939" s="6"/>
      <c r="P939" s="16">
        <v>449</v>
      </c>
      <c r="Q939" s="16">
        <v>883</v>
      </c>
      <c r="R939" s="22"/>
      <c r="S939" s="22">
        <f t="shared" si="28"/>
        <v>0</v>
      </c>
      <c r="U939" s="5" t="s">
        <v>1210</v>
      </c>
      <c r="Y939" s="8"/>
      <c r="Z939" s="8"/>
      <c r="AA939" s="8"/>
      <c r="AB939" s="8"/>
      <c r="AC939" s="8"/>
      <c r="AD939" s="8"/>
      <c r="AE939" s="25"/>
      <c r="AF939" s="11"/>
      <c r="AG939" s="25"/>
      <c r="AH939" s="11"/>
      <c r="AI939" s="11">
        <v>22</v>
      </c>
      <c r="AJ939" s="19">
        <v>8</v>
      </c>
      <c r="AK939" s="12">
        <f>(AJ939+AI939)/30*7</f>
        <v>7</v>
      </c>
      <c r="AL939" s="6">
        <f>IF(AK939-C939&lt;0,0,AK939-C939)</f>
        <v>0</v>
      </c>
      <c r="AM939" s="6">
        <f>IF(AL939-R939-S939&lt;0,0,AL939-R939-S939)</f>
        <v>0</v>
      </c>
      <c r="AN939" s="5" t="str">
        <f t="shared" si="29"/>
        <v/>
      </c>
      <c r="AO939" s="5">
        <v>0</v>
      </c>
      <c r="AP939" s="9"/>
      <c r="AQ939" s="5" t="s">
        <v>1210</v>
      </c>
      <c r="AR939" s="5" t="s">
        <v>1210</v>
      </c>
      <c r="AS939" s="8"/>
      <c r="AT939" s="8"/>
      <c r="AU939" s="8"/>
      <c r="AV939" s="8"/>
      <c r="AW939" s="8"/>
      <c r="AX939" s="8"/>
      <c r="AY939" s="8"/>
      <c r="AZ939" s="8"/>
    </row>
    <row r="940" spans="1:52">
      <c r="A940" s="5" t="s">
        <v>816</v>
      </c>
      <c r="B940" s="5">
        <v>2176</v>
      </c>
      <c r="C940" s="19">
        <v>987</v>
      </c>
      <c r="E940" s="14"/>
      <c r="F940" s="11"/>
      <c r="G940" s="11"/>
      <c r="H940" s="11"/>
      <c r="I940" s="11"/>
      <c r="J940" s="25"/>
      <c r="K940" s="11"/>
      <c r="L940" s="11"/>
      <c r="M940" s="19">
        <v>2</v>
      </c>
      <c r="O940" s="6"/>
      <c r="P940" s="16">
        <v>495</v>
      </c>
      <c r="Q940" s="16">
        <v>0</v>
      </c>
      <c r="R940" s="22"/>
      <c r="S940" s="22">
        <f t="shared" si="28"/>
        <v>0</v>
      </c>
      <c r="U940" s="5" t="s">
        <v>1210</v>
      </c>
      <c r="Y940" s="8"/>
      <c r="Z940" s="8"/>
      <c r="AA940" s="8"/>
      <c r="AB940" s="8"/>
      <c r="AC940" s="8"/>
      <c r="AD940" s="8"/>
      <c r="AE940" s="25"/>
      <c r="AF940" s="11"/>
      <c r="AG940" s="25"/>
      <c r="AH940" s="11"/>
      <c r="AI940" s="11">
        <v>4</v>
      </c>
      <c r="AJ940" s="19">
        <v>0</v>
      </c>
      <c r="AK940" s="12">
        <f>(AJ940+AI940)/30*7</f>
        <v>0.93333333333333335</v>
      </c>
      <c r="AL940" s="6">
        <f>IF(AK940-C940&lt;0,0,AK940-C940)</f>
        <v>0</v>
      </c>
      <c r="AM940" s="6">
        <f>IF(AL940-R940-S940&lt;0,0,AL940-R940-S940)</f>
        <v>0</v>
      </c>
      <c r="AN940" s="5" t="str">
        <f t="shared" si="29"/>
        <v/>
      </c>
      <c r="AO940" s="5">
        <v>0</v>
      </c>
      <c r="AP940" s="9"/>
      <c r="AS940" s="8"/>
      <c r="AT940" s="8"/>
      <c r="AU940" s="8"/>
      <c r="AV940" s="8"/>
      <c r="AW940" s="8"/>
      <c r="AX940" s="8"/>
      <c r="AY940" s="8"/>
      <c r="AZ940" s="8"/>
    </row>
    <row r="941" spans="1:52">
      <c r="A941" s="5" t="s">
        <v>213</v>
      </c>
      <c r="B941" s="5">
        <v>1358</v>
      </c>
      <c r="C941" s="19">
        <v>998</v>
      </c>
      <c r="E941" s="14"/>
      <c r="F941" s="11"/>
      <c r="G941" s="11"/>
      <c r="H941" s="11"/>
      <c r="I941" s="11"/>
      <c r="J941" s="25"/>
      <c r="K941" s="11"/>
      <c r="L941" s="11"/>
      <c r="M941" s="19">
        <v>0</v>
      </c>
      <c r="O941" s="6"/>
      <c r="P941" s="16">
        <v>278</v>
      </c>
      <c r="Q941" s="16">
        <v>0</v>
      </c>
      <c r="R941" s="22"/>
      <c r="S941" s="22">
        <f t="shared" si="28"/>
        <v>0</v>
      </c>
      <c r="T941" s="5" t="s">
        <v>1210</v>
      </c>
      <c r="U941" s="5" t="s">
        <v>1210</v>
      </c>
      <c r="Y941" s="8"/>
      <c r="Z941" s="8"/>
      <c r="AA941" s="8"/>
      <c r="AB941" s="8"/>
      <c r="AC941" s="8"/>
      <c r="AD941" s="8"/>
      <c r="AE941" s="25"/>
      <c r="AF941" s="11"/>
      <c r="AG941" s="25"/>
      <c r="AH941" s="11"/>
      <c r="AI941" s="11">
        <v>83</v>
      </c>
      <c r="AJ941" s="19">
        <v>19</v>
      </c>
      <c r="AK941" s="12">
        <f>(AJ941+AI941)/30*7</f>
        <v>23.8</v>
      </c>
      <c r="AL941" s="6">
        <f>IF(AK941-C941&lt;0,0,AK941-C941)</f>
        <v>0</v>
      </c>
      <c r="AM941" s="6">
        <f>IF(AL941-R941-S941&lt;0,0,AL941-R941-S941)</f>
        <v>0</v>
      </c>
      <c r="AN941" s="5" t="str">
        <f t="shared" si="29"/>
        <v/>
      </c>
      <c r="AO941" s="5">
        <v>0</v>
      </c>
      <c r="AP941" s="9"/>
      <c r="AQ941" s="5" t="s">
        <v>1210</v>
      </c>
      <c r="AR941" s="5" t="s">
        <v>1210</v>
      </c>
      <c r="AS941" s="8"/>
      <c r="AT941" s="8"/>
      <c r="AU941" s="8"/>
      <c r="AV941" s="8"/>
      <c r="AW941" s="8"/>
      <c r="AX941" s="8"/>
      <c r="AY941" s="8"/>
      <c r="AZ941" s="8"/>
    </row>
    <row r="942" spans="1:52">
      <c r="A942" s="5" t="s">
        <v>236</v>
      </c>
      <c r="B942" s="5">
        <v>823</v>
      </c>
      <c r="C942" s="19">
        <v>994</v>
      </c>
      <c r="E942" s="14"/>
      <c r="F942" s="11"/>
      <c r="G942" s="11"/>
      <c r="H942" s="11"/>
      <c r="I942" s="11"/>
      <c r="J942" s="25"/>
      <c r="K942" s="11"/>
      <c r="L942" s="11"/>
      <c r="M942" s="19">
        <v>0</v>
      </c>
      <c r="O942" s="6"/>
      <c r="P942" s="16">
        <v>731</v>
      </c>
      <c r="Q942" s="16">
        <v>0</v>
      </c>
      <c r="R942" s="22"/>
      <c r="S942" s="22">
        <f t="shared" si="28"/>
        <v>0</v>
      </c>
      <c r="T942" s="5" t="s">
        <v>1210</v>
      </c>
      <c r="U942" s="5" t="s">
        <v>1210</v>
      </c>
      <c r="Y942" s="8"/>
      <c r="Z942" s="8"/>
      <c r="AA942" s="8"/>
      <c r="AB942" s="8"/>
      <c r="AC942" s="8"/>
      <c r="AD942" s="8"/>
      <c r="AE942" s="25"/>
      <c r="AF942" s="11"/>
      <c r="AG942" s="25"/>
      <c r="AH942" s="11"/>
      <c r="AI942" s="11">
        <v>14</v>
      </c>
      <c r="AJ942" s="19">
        <v>29</v>
      </c>
      <c r="AK942" s="12">
        <f>(AJ942+AI942)/30*7</f>
        <v>10.033333333333333</v>
      </c>
      <c r="AL942" s="6">
        <f>IF(AK942-C942&lt;0,0,AK942-C942)</f>
        <v>0</v>
      </c>
      <c r="AM942" s="6">
        <f>IF(AL942-R942-S942&lt;0,0,AL942-R942-S942)</f>
        <v>0</v>
      </c>
      <c r="AN942" s="5" t="str">
        <f t="shared" si="29"/>
        <v/>
      </c>
      <c r="AO942" s="5">
        <v>0</v>
      </c>
      <c r="AP942" s="9"/>
      <c r="AQ942" s="5" t="s">
        <v>1210</v>
      </c>
      <c r="AR942" s="5" t="s">
        <v>1210</v>
      </c>
      <c r="AS942" s="8"/>
      <c r="AT942" s="8"/>
      <c r="AU942" s="8"/>
      <c r="AV942" s="8"/>
      <c r="AW942" s="8"/>
      <c r="AX942" s="8"/>
      <c r="AY942" s="8"/>
      <c r="AZ942" s="8"/>
    </row>
    <row r="943" spans="1:52">
      <c r="A943" s="5" t="s">
        <v>355</v>
      </c>
      <c r="B943" s="5">
        <v>979</v>
      </c>
      <c r="C943" s="19">
        <v>870</v>
      </c>
      <c r="E943" s="14"/>
      <c r="F943" s="11"/>
      <c r="G943" s="11"/>
      <c r="H943" s="11"/>
      <c r="I943" s="11"/>
      <c r="J943" s="25"/>
      <c r="K943" s="11"/>
      <c r="L943" s="11"/>
      <c r="M943" s="19">
        <v>0</v>
      </c>
      <c r="O943" s="6"/>
      <c r="P943" s="16">
        <v>380</v>
      </c>
      <c r="Q943" s="16">
        <v>0</v>
      </c>
      <c r="R943" s="22"/>
      <c r="S943" s="22">
        <f t="shared" si="28"/>
        <v>0</v>
      </c>
      <c r="T943" s="5" t="s">
        <v>1210</v>
      </c>
      <c r="U943" s="5" t="s">
        <v>1210</v>
      </c>
      <c r="Y943" s="8"/>
      <c r="Z943" s="8"/>
      <c r="AA943" s="8"/>
      <c r="AB943" s="8"/>
      <c r="AC943" s="8"/>
      <c r="AD943" s="8"/>
      <c r="AE943" s="25"/>
      <c r="AF943" s="11"/>
      <c r="AG943" s="25"/>
      <c r="AH943" s="11"/>
      <c r="AI943" s="11">
        <v>94</v>
      </c>
      <c r="AJ943" s="19">
        <v>17</v>
      </c>
      <c r="AK943" s="12">
        <f>(AJ943+AI943)/30*7</f>
        <v>25.900000000000002</v>
      </c>
      <c r="AL943" s="6">
        <f>IF(AK943-C943&lt;0,0,AK943-C943)</f>
        <v>0</v>
      </c>
      <c r="AM943" s="6">
        <f>IF(AL943-R943-S943&lt;0,0,AL943-R943-S943)</f>
        <v>0</v>
      </c>
      <c r="AN943" s="5" t="str">
        <f t="shared" si="29"/>
        <v/>
      </c>
      <c r="AO943" s="5">
        <v>0</v>
      </c>
      <c r="AP943" s="9"/>
      <c r="AQ943" s="5" t="s">
        <v>1210</v>
      </c>
      <c r="AR943" s="5" t="s">
        <v>1210</v>
      </c>
      <c r="AS943" s="8"/>
      <c r="AT943" s="8"/>
      <c r="AU943" s="8"/>
      <c r="AV943" s="8"/>
      <c r="AW943" s="8"/>
      <c r="AX943" s="8"/>
      <c r="AY943" s="8"/>
      <c r="AZ943" s="8"/>
    </row>
    <row r="944" spans="1:52">
      <c r="A944" s="5" t="s">
        <v>351</v>
      </c>
      <c r="B944" s="5">
        <v>1070</v>
      </c>
      <c r="C944" s="19">
        <v>705</v>
      </c>
      <c r="E944" s="14"/>
      <c r="F944" s="11"/>
      <c r="G944" s="11"/>
      <c r="H944" s="11"/>
      <c r="I944" s="11"/>
      <c r="J944" s="25"/>
      <c r="K944" s="11"/>
      <c r="L944" s="11"/>
      <c r="M944" s="19">
        <v>0</v>
      </c>
      <c r="O944" s="6"/>
      <c r="P944" s="16">
        <v>457</v>
      </c>
      <c r="Q944" s="16">
        <v>0</v>
      </c>
      <c r="R944" s="22"/>
      <c r="S944" s="22">
        <f t="shared" si="28"/>
        <v>0</v>
      </c>
      <c r="T944" s="5" t="s">
        <v>1210</v>
      </c>
      <c r="U944" s="5" t="s">
        <v>1210</v>
      </c>
      <c r="Y944" s="8"/>
      <c r="Z944" s="8"/>
      <c r="AA944" s="8"/>
      <c r="AB944" s="8"/>
      <c r="AC944" s="8"/>
      <c r="AD944" s="8"/>
      <c r="AE944" s="25"/>
      <c r="AF944" s="11"/>
      <c r="AG944" s="25"/>
      <c r="AH944" s="11"/>
      <c r="AI944" s="11">
        <v>65</v>
      </c>
      <c r="AJ944" s="19">
        <v>39</v>
      </c>
      <c r="AK944" s="12">
        <f>(AJ944+AI944)/30*7</f>
        <v>24.266666666666666</v>
      </c>
      <c r="AL944" s="6">
        <f>IF(AK944-C944&lt;0,0,AK944-C944)</f>
        <v>0</v>
      </c>
      <c r="AM944" s="6">
        <f>IF(AL944-R944-S944&lt;0,0,AL944-R944-S944)</f>
        <v>0</v>
      </c>
      <c r="AN944" s="5" t="str">
        <f t="shared" si="29"/>
        <v/>
      </c>
      <c r="AO944" s="5">
        <v>0</v>
      </c>
      <c r="AP944" s="9"/>
      <c r="AQ944" s="5" t="s">
        <v>1210</v>
      </c>
      <c r="AR944" s="5" t="s">
        <v>1210</v>
      </c>
      <c r="AS944" s="8"/>
      <c r="AT944" s="8"/>
      <c r="AU944" s="8"/>
      <c r="AV944" s="8"/>
      <c r="AW944" s="8"/>
      <c r="AX944" s="8"/>
      <c r="AY944" s="8"/>
      <c r="AZ944" s="8"/>
    </row>
    <row r="945" spans="1:52">
      <c r="A945" s="5" t="s">
        <v>354</v>
      </c>
      <c r="B945" s="5">
        <v>853</v>
      </c>
      <c r="C945" s="19">
        <v>916</v>
      </c>
      <c r="E945" s="14"/>
      <c r="F945" s="11"/>
      <c r="G945" s="11"/>
      <c r="H945" s="11"/>
      <c r="I945" s="11"/>
      <c r="J945" s="25"/>
      <c r="K945" s="11"/>
      <c r="L945" s="11"/>
      <c r="M945" s="19">
        <v>0</v>
      </c>
      <c r="O945" s="6"/>
      <c r="P945" s="16">
        <v>452</v>
      </c>
      <c r="Q945" s="16">
        <v>650</v>
      </c>
      <c r="R945" s="22"/>
      <c r="S945" s="22">
        <f t="shared" si="28"/>
        <v>0</v>
      </c>
      <c r="T945" s="5" t="s">
        <v>1210</v>
      </c>
      <c r="U945" s="5" t="s">
        <v>1210</v>
      </c>
      <c r="Y945" s="8"/>
      <c r="Z945" s="8"/>
      <c r="AA945" s="8"/>
      <c r="AB945" s="8"/>
      <c r="AC945" s="8"/>
      <c r="AD945" s="8"/>
      <c r="AE945" s="25"/>
      <c r="AF945" s="11"/>
      <c r="AG945" s="25"/>
      <c r="AH945" s="11"/>
      <c r="AI945" s="11">
        <v>54</v>
      </c>
      <c r="AJ945" s="19">
        <v>19</v>
      </c>
      <c r="AK945" s="12">
        <f>(AJ945+AI945)/30*7</f>
        <v>17.033333333333331</v>
      </c>
      <c r="AL945" s="6">
        <f>IF(AK945-C945&lt;0,0,AK945-C945)</f>
        <v>0</v>
      </c>
      <c r="AM945" s="6">
        <f>IF(AL945-R945-S945&lt;0,0,AL945-R945-S945)</f>
        <v>0</v>
      </c>
      <c r="AN945" s="5" t="str">
        <f t="shared" si="29"/>
        <v/>
      </c>
      <c r="AO945" s="5">
        <v>0</v>
      </c>
      <c r="AP945" s="9"/>
      <c r="AQ945" s="5" t="s">
        <v>1210</v>
      </c>
      <c r="AR945" s="5" t="s">
        <v>1210</v>
      </c>
      <c r="AS945" s="8"/>
      <c r="AT945" s="8"/>
      <c r="AU945" s="8"/>
      <c r="AV945" s="8"/>
      <c r="AW945" s="8"/>
      <c r="AX945" s="8"/>
      <c r="AY945" s="8"/>
      <c r="AZ945" s="8"/>
    </row>
    <row r="946" spans="1:52">
      <c r="A946" s="5" t="s">
        <v>356</v>
      </c>
      <c r="B946" s="5">
        <v>771</v>
      </c>
      <c r="C946" s="19">
        <v>576</v>
      </c>
      <c r="E946" s="14"/>
      <c r="F946" s="11"/>
      <c r="G946" s="11"/>
      <c r="H946" s="11"/>
      <c r="I946" s="11"/>
      <c r="J946" s="25"/>
      <c r="K946" s="11"/>
      <c r="L946" s="11"/>
      <c r="M946" s="19">
        <v>0</v>
      </c>
      <c r="O946" s="6"/>
      <c r="P946" s="16">
        <v>227</v>
      </c>
      <c r="Q946" s="16">
        <v>292</v>
      </c>
      <c r="R946" s="22"/>
      <c r="S946" s="22">
        <f t="shared" si="28"/>
        <v>0</v>
      </c>
      <c r="T946" s="5" t="s">
        <v>1210</v>
      </c>
      <c r="U946" s="5" t="s">
        <v>1210</v>
      </c>
      <c r="Y946" s="8"/>
      <c r="Z946" s="8"/>
      <c r="AA946" s="8"/>
      <c r="AB946" s="8"/>
      <c r="AC946" s="8"/>
      <c r="AD946" s="8"/>
      <c r="AE946" s="25"/>
      <c r="AF946" s="11"/>
      <c r="AG946" s="25"/>
      <c r="AH946" s="11"/>
      <c r="AI946" s="11">
        <v>9</v>
      </c>
      <c r="AJ946" s="19">
        <v>14</v>
      </c>
      <c r="AK946" s="12">
        <f>(AJ946+AI946)/30*7</f>
        <v>5.3666666666666671</v>
      </c>
      <c r="AL946" s="6">
        <f>IF(AK946-C946&lt;0,0,AK946-C946)</f>
        <v>0</v>
      </c>
      <c r="AM946" s="6">
        <f>IF(AL946-R946-S946&lt;0,0,AL946-R946-S946)</f>
        <v>0</v>
      </c>
      <c r="AN946" s="5" t="str">
        <f t="shared" si="29"/>
        <v/>
      </c>
      <c r="AO946" s="5">
        <v>0</v>
      </c>
      <c r="AP946" s="9"/>
      <c r="AQ946" s="5" t="s">
        <v>1210</v>
      </c>
      <c r="AR946" s="5" t="s">
        <v>1210</v>
      </c>
      <c r="AS946" s="8"/>
      <c r="AT946" s="8"/>
      <c r="AU946" s="8"/>
      <c r="AV946" s="8"/>
      <c r="AW946" s="8"/>
      <c r="AX946" s="8"/>
      <c r="AY946" s="8"/>
      <c r="AZ946" s="8"/>
    </row>
    <row r="947" spans="1:52">
      <c r="A947" s="5" t="s">
        <v>360</v>
      </c>
      <c r="B947" s="5">
        <v>396</v>
      </c>
      <c r="C947" s="19">
        <v>943</v>
      </c>
      <c r="E947" s="14"/>
      <c r="F947" s="11"/>
      <c r="G947" s="11"/>
      <c r="H947" s="11"/>
      <c r="I947" s="11"/>
      <c r="J947" s="25"/>
      <c r="K947" s="11"/>
      <c r="L947" s="11"/>
      <c r="M947" s="19">
        <v>0</v>
      </c>
      <c r="O947" s="6"/>
      <c r="P947" s="16">
        <v>361</v>
      </c>
      <c r="Q947" s="16">
        <v>472</v>
      </c>
      <c r="R947" s="22"/>
      <c r="S947" s="22">
        <f t="shared" si="28"/>
        <v>0</v>
      </c>
      <c r="T947" s="5" t="s">
        <v>1210</v>
      </c>
      <c r="U947" s="5" t="s">
        <v>1210</v>
      </c>
      <c r="Y947" s="8"/>
      <c r="Z947" s="8"/>
      <c r="AA947" s="8"/>
      <c r="AB947" s="8"/>
      <c r="AC947" s="8"/>
      <c r="AD947" s="8"/>
      <c r="AE947" s="25"/>
      <c r="AF947" s="11"/>
      <c r="AG947" s="25"/>
      <c r="AH947" s="11"/>
      <c r="AI947" s="11">
        <v>6</v>
      </c>
      <c r="AJ947" s="19">
        <v>6</v>
      </c>
      <c r="AK947" s="12">
        <f>(AJ947+AI947)/30*7</f>
        <v>2.8000000000000003</v>
      </c>
      <c r="AL947" s="6">
        <f>IF(AK947-C947&lt;0,0,AK947-C947)</f>
        <v>0</v>
      </c>
      <c r="AM947" s="6">
        <f>IF(AL947-R947-S947&lt;0,0,AL947-R947-S947)</f>
        <v>0</v>
      </c>
      <c r="AN947" s="5" t="str">
        <f t="shared" si="29"/>
        <v/>
      </c>
      <c r="AO947" s="5">
        <v>0</v>
      </c>
      <c r="AP947" s="9"/>
      <c r="AQ947" s="5" t="s">
        <v>1210</v>
      </c>
      <c r="AR947" s="5" t="s">
        <v>1230</v>
      </c>
      <c r="AS947" s="8"/>
      <c r="AT947" s="8"/>
      <c r="AU947" s="8"/>
      <c r="AV947" s="8"/>
      <c r="AW947" s="8"/>
      <c r="AX947" s="8"/>
      <c r="AY947" s="8"/>
      <c r="AZ947" s="8"/>
    </row>
    <row r="948" spans="1:52">
      <c r="A948" s="5" t="s">
        <v>462</v>
      </c>
      <c r="B948" s="5">
        <v>1791</v>
      </c>
      <c r="C948" s="19">
        <v>888</v>
      </c>
      <c r="E948" s="14"/>
      <c r="F948" s="11"/>
      <c r="G948" s="11"/>
      <c r="H948" s="11"/>
      <c r="I948" s="11"/>
      <c r="J948" s="25"/>
      <c r="K948" s="11"/>
      <c r="L948" s="11"/>
      <c r="M948" s="19">
        <v>0</v>
      </c>
      <c r="O948" s="6"/>
      <c r="P948" s="16">
        <v>740</v>
      </c>
      <c r="Q948" s="16">
        <v>0</v>
      </c>
      <c r="R948" s="22"/>
      <c r="S948" s="22">
        <f t="shared" si="28"/>
        <v>0</v>
      </c>
      <c r="U948" s="5" t="s">
        <v>1210</v>
      </c>
      <c r="Y948" s="8"/>
      <c r="Z948" s="8"/>
      <c r="AA948" s="8"/>
      <c r="AB948" s="8"/>
      <c r="AC948" s="8"/>
      <c r="AD948" s="8"/>
      <c r="AE948" s="25"/>
      <c r="AF948" s="11"/>
      <c r="AG948" s="25"/>
      <c r="AH948" s="11"/>
      <c r="AI948" s="11">
        <v>65</v>
      </c>
      <c r="AJ948" s="19">
        <v>17</v>
      </c>
      <c r="AK948" s="12">
        <f>(AJ948+AI948)/30*7</f>
        <v>19.133333333333333</v>
      </c>
      <c r="AL948" s="6">
        <f>IF(AK948-C948&lt;0,0,AK948-C948)</f>
        <v>0</v>
      </c>
      <c r="AM948" s="6">
        <f>IF(AL948-R948-S948&lt;0,0,AL948-R948-S948)</f>
        <v>0</v>
      </c>
      <c r="AN948" s="5" t="str">
        <f t="shared" si="29"/>
        <v/>
      </c>
      <c r="AO948" s="5">
        <v>0</v>
      </c>
      <c r="AP948" s="9"/>
      <c r="AQ948" s="5" t="s">
        <v>1210</v>
      </c>
      <c r="AR948" s="5" t="s">
        <v>1210</v>
      </c>
      <c r="AS948" s="8"/>
      <c r="AT948" s="8"/>
      <c r="AU948" s="8"/>
      <c r="AV948" s="8"/>
      <c r="AW948" s="8"/>
      <c r="AX948" s="8"/>
      <c r="AY948" s="8"/>
      <c r="AZ948" s="8"/>
    </row>
    <row r="949" spans="1:52">
      <c r="A949" s="5" t="s">
        <v>519</v>
      </c>
      <c r="B949" s="5">
        <v>847</v>
      </c>
      <c r="C949" s="19">
        <v>648</v>
      </c>
      <c r="E949" s="14"/>
      <c r="F949" s="11"/>
      <c r="G949" s="11"/>
      <c r="H949" s="11"/>
      <c r="I949" s="11"/>
      <c r="J949" s="25"/>
      <c r="K949" s="11"/>
      <c r="L949" s="11"/>
      <c r="M949" s="19">
        <v>0</v>
      </c>
      <c r="O949" s="6"/>
      <c r="P949" s="16">
        <v>930</v>
      </c>
      <c r="Q949" s="16">
        <v>0</v>
      </c>
      <c r="R949" s="22"/>
      <c r="S949" s="22">
        <f t="shared" si="28"/>
        <v>0</v>
      </c>
      <c r="U949" s="5" t="s">
        <v>1210</v>
      </c>
      <c r="Y949" s="8"/>
      <c r="Z949" s="8"/>
      <c r="AA949" s="8"/>
      <c r="AB949" s="8"/>
      <c r="AC949" s="8"/>
      <c r="AD949" s="8"/>
      <c r="AE949" s="25"/>
      <c r="AF949" s="11"/>
      <c r="AG949" s="25"/>
      <c r="AH949" s="11"/>
      <c r="AI949" s="11">
        <v>71</v>
      </c>
      <c r="AJ949" s="19">
        <v>3</v>
      </c>
      <c r="AK949" s="12">
        <f>(AJ949+AI949)/30*7</f>
        <v>17.266666666666666</v>
      </c>
      <c r="AL949" s="6">
        <f>IF(AK949-C949&lt;0,0,AK949-C949)</f>
        <v>0</v>
      </c>
      <c r="AM949" s="6">
        <f>IF(AL949-R949-S949&lt;0,0,AL949-R949-S949)</f>
        <v>0</v>
      </c>
      <c r="AN949" s="5" t="str">
        <f t="shared" si="29"/>
        <v/>
      </c>
      <c r="AO949" s="5">
        <v>0</v>
      </c>
      <c r="AP949" s="9"/>
      <c r="AQ949" s="5" t="s">
        <v>1210</v>
      </c>
      <c r="AR949" s="5" t="s">
        <v>1210</v>
      </c>
      <c r="AS949" s="8"/>
      <c r="AT949" s="8"/>
      <c r="AU949" s="8"/>
      <c r="AV949" s="8"/>
      <c r="AW949" s="8"/>
      <c r="AX949" s="8"/>
      <c r="AY949" s="8"/>
      <c r="AZ949" s="8"/>
    </row>
    <row r="950" spans="1:52">
      <c r="A950" s="5" t="s">
        <v>405</v>
      </c>
      <c r="B950" s="5">
        <v>732</v>
      </c>
      <c r="C950" s="19">
        <v>438</v>
      </c>
      <c r="E950" s="14"/>
      <c r="F950" s="11"/>
      <c r="G950" s="11"/>
      <c r="H950" s="11"/>
      <c r="I950" s="11"/>
      <c r="J950" s="25"/>
      <c r="K950" s="11"/>
      <c r="L950" s="11"/>
      <c r="M950" s="19">
        <v>0</v>
      </c>
      <c r="O950" s="6"/>
      <c r="P950" s="16">
        <v>988</v>
      </c>
      <c r="Q950" s="16">
        <v>0</v>
      </c>
      <c r="R950" s="22"/>
      <c r="S950" s="22">
        <f t="shared" si="28"/>
        <v>0</v>
      </c>
      <c r="U950" s="5" t="s">
        <v>1210</v>
      </c>
      <c r="Y950" s="8"/>
      <c r="Z950" s="8"/>
      <c r="AA950" s="8"/>
      <c r="AB950" s="8"/>
      <c r="AC950" s="8"/>
      <c r="AD950" s="8"/>
      <c r="AE950" s="25"/>
      <c r="AF950" s="11"/>
      <c r="AG950" s="25"/>
      <c r="AH950" s="11"/>
      <c r="AI950" s="11">
        <v>66</v>
      </c>
      <c r="AJ950" s="19">
        <v>2</v>
      </c>
      <c r="AK950" s="12">
        <f>(AJ950+AI950)/30*7</f>
        <v>15.866666666666667</v>
      </c>
      <c r="AL950" s="6">
        <f>IF(AK950-C950&lt;0,0,AK950-C950)</f>
        <v>0</v>
      </c>
      <c r="AM950" s="6">
        <f>IF(AL950-R950-S950&lt;0,0,AL950-R950-S950)</f>
        <v>0</v>
      </c>
      <c r="AN950" s="5" t="str">
        <f t="shared" si="29"/>
        <v/>
      </c>
      <c r="AO950" s="5">
        <v>0</v>
      </c>
      <c r="AP950" s="9"/>
      <c r="AQ950" s="5" t="s">
        <v>1210</v>
      </c>
      <c r="AR950" s="5" t="s">
        <v>1230</v>
      </c>
      <c r="AS950" s="8"/>
      <c r="AT950" s="8"/>
      <c r="AU950" s="8"/>
      <c r="AV950" s="8"/>
      <c r="AW950" s="8"/>
      <c r="AX950" s="8"/>
      <c r="AY950" s="8"/>
      <c r="AZ950" s="8"/>
    </row>
    <row r="951" spans="1:52">
      <c r="A951" s="5" t="s">
        <v>639</v>
      </c>
      <c r="B951" s="5">
        <v>1119</v>
      </c>
      <c r="C951" s="19">
        <v>680</v>
      </c>
      <c r="E951" s="14"/>
      <c r="F951" s="11"/>
      <c r="G951" s="11"/>
      <c r="H951" s="11"/>
      <c r="I951" s="11"/>
      <c r="J951" s="25"/>
      <c r="K951" s="11"/>
      <c r="L951" s="11"/>
      <c r="M951" s="19">
        <v>0</v>
      </c>
      <c r="O951" s="6"/>
      <c r="P951" s="16">
        <v>676</v>
      </c>
      <c r="Q951" s="16">
        <v>267</v>
      </c>
      <c r="R951" s="22"/>
      <c r="S951" s="22">
        <f t="shared" si="28"/>
        <v>0</v>
      </c>
      <c r="T951" s="5" t="s">
        <v>1210</v>
      </c>
      <c r="U951" s="5" t="s">
        <v>1210</v>
      </c>
      <c r="Y951" s="8"/>
      <c r="Z951" s="8"/>
      <c r="AA951" s="8"/>
      <c r="AB951" s="8"/>
      <c r="AC951" s="8"/>
      <c r="AD951" s="8"/>
      <c r="AE951" s="25"/>
      <c r="AF951" s="11"/>
      <c r="AG951" s="25"/>
      <c r="AH951" s="11"/>
      <c r="AI951" s="11">
        <v>54</v>
      </c>
      <c r="AJ951" s="19">
        <v>0</v>
      </c>
      <c r="AK951" s="12">
        <f>(AJ951+AI951)/30*7</f>
        <v>12.6</v>
      </c>
      <c r="AL951" s="6">
        <f>IF(AK951-C951&lt;0,0,AK951-C951)</f>
        <v>0</v>
      </c>
      <c r="AM951" s="6">
        <f>IF(AL951-R951-S951&lt;0,0,AL951-R951-S951)</f>
        <v>0</v>
      </c>
      <c r="AN951" s="5" t="str">
        <f t="shared" si="29"/>
        <v/>
      </c>
      <c r="AO951" s="5">
        <v>0</v>
      </c>
      <c r="AP951" s="9"/>
      <c r="AQ951" s="5" t="s">
        <v>1210</v>
      </c>
      <c r="AR951" s="5" t="s">
        <v>1230</v>
      </c>
      <c r="AS951" s="8"/>
      <c r="AT951" s="8"/>
      <c r="AU951" s="8"/>
      <c r="AV951" s="8"/>
      <c r="AW951" s="8"/>
      <c r="AX951" s="8"/>
      <c r="AY951" s="8"/>
      <c r="AZ951" s="8"/>
    </row>
    <row r="952" spans="1:52">
      <c r="A952" s="5" t="s">
        <v>429</v>
      </c>
      <c r="B952" s="5">
        <v>680</v>
      </c>
      <c r="C952" s="19">
        <v>674</v>
      </c>
      <c r="E952" s="14"/>
      <c r="F952" s="11"/>
      <c r="G952" s="11"/>
      <c r="H952" s="11"/>
      <c r="I952" s="11"/>
      <c r="J952" s="25"/>
      <c r="K952" s="11"/>
      <c r="L952" s="11"/>
      <c r="M952" s="19">
        <v>0</v>
      </c>
      <c r="O952" s="6"/>
      <c r="P952" s="16">
        <v>661</v>
      </c>
      <c r="Q952" s="16">
        <v>412</v>
      </c>
      <c r="R952" s="22"/>
      <c r="S952" s="22">
        <f t="shared" si="28"/>
        <v>0</v>
      </c>
      <c r="T952" s="5" t="s">
        <v>1210</v>
      </c>
      <c r="U952" s="5" t="s">
        <v>1210</v>
      </c>
      <c r="Y952" s="8"/>
      <c r="Z952" s="8"/>
      <c r="AA952" s="8"/>
      <c r="AB952" s="8"/>
      <c r="AC952" s="8"/>
      <c r="AD952" s="8"/>
      <c r="AE952" s="25"/>
      <c r="AF952" s="11"/>
      <c r="AG952" s="25"/>
      <c r="AH952" s="11"/>
      <c r="AI952" s="11">
        <v>65</v>
      </c>
      <c r="AJ952" s="19">
        <v>2</v>
      </c>
      <c r="AK952" s="12">
        <f>(AJ952+AI952)/30*7</f>
        <v>15.633333333333333</v>
      </c>
      <c r="AL952" s="6">
        <f>IF(AK952-C952&lt;0,0,AK952-C952)</f>
        <v>0</v>
      </c>
      <c r="AM952" s="6">
        <f>IF(AL952-R952-S952&lt;0,0,AL952-R952-S952)</f>
        <v>0</v>
      </c>
      <c r="AN952" s="5" t="str">
        <f t="shared" si="29"/>
        <v/>
      </c>
      <c r="AO952" s="5">
        <v>0</v>
      </c>
      <c r="AP952" s="9"/>
      <c r="AQ952" s="5" t="s">
        <v>1210</v>
      </c>
      <c r="AR952" s="5" t="s">
        <v>1230</v>
      </c>
      <c r="AS952" s="8"/>
      <c r="AT952" s="8"/>
      <c r="AU952" s="8"/>
      <c r="AV952" s="8"/>
      <c r="AW952" s="8"/>
      <c r="AX952" s="8"/>
      <c r="AY952" s="8"/>
      <c r="AZ952" s="8"/>
    </row>
    <row r="953" spans="1:52">
      <c r="A953" s="5" t="s">
        <v>233</v>
      </c>
      <c r="B953" s="5">
        <v>1333</v>
      </c>
      <c r="C953" s="19">
        <v>244</v>
      </c>
      <c r="E953" s="14"/>
      <c r="F953" s="11"/>
      <c r="G953" s="11"/>
      <c r="H953" s="11"/>
      <c r="I953" s="11"/>
      <c r="J953" s="25"/>
      <c r="K953" s="11"/>
      <c r="L953" s="11"/>
      <c r="M953" s="19">
        <v>0</v>
      </c>
      <c r="O953" s="6"/>
      <c r="P953" s="16">
        <v>827</v>
      </c>
      <c r="Q953" s="16">
        <v>549</v>
      </c>
      <c r="R953" s="22"/>
      <c r="S953" s="22">
        <f t="shared" si="28"/>
        <v>0</v>
      </c>
      <c r="U953" s="5" t="s">
        <v>1210</v>
      </c>
      <c r="Y953" s="8"/>
      <c r="Z953" s="8"/>
      <c r="AA953" s="8"/>
      <c r="AB953" s="8"/>
      <c r="AC953" s="8"/>
      <c r="AD953" s="8"/>
      <c r="AE953" s="25"/>
      <c r="AF953" s="11"/>
      <c r="AG953" s="25"/>
      <c r="AH953" s="11"/>
      <c r="AI953" s="11">
        <v>16</v>
      </c>
      <c r="AJ953" s="19">
        <v>15</v>
      </c>
      <c r="AK953" s="12">
        <f>(AJ953+AI953)/30*7</f>
        <v>7.2333333333333343</v>
      </c>
      <c r="AL953" s="6">
        <f>IF(AK953-C953&lt;0,0,AK953-C953)</f>
        <v>0</v>
      </c>
      <c r="AM953" s="6">
        <f>IF(AL953-R953-S953&lt;0,0,AL953-R953-S953)</f>
        <v>0</v>
      </c>
      <c r="AN953" s="5" t="str">
        <f t="shared" si="29"/>
        <v/>
      </c>
      <c r="AO953" s="5">
        <v>0</v>
      </c>
      <c r="AP953" s="9"/>
      <c r="AQ953" s="5" t="s">
        <v>1210</v>
      </c>
      <c r="AR953" s="5" t="s">
        <v>1210</v>
      </c>
      <c r="AS953" s="8"/>
      <c r="AT953" s="8"/>
      <c r="AU953" s="8"/>
      <c r="AV953" s="8"/>
      <c r="AW953" s="8"/>
      <c r="AX953" s="8"/>
      <c r="AY953" s="8"/>
      <c r="AZ953" s="8"/>
    </row>
    <row r="954" spans="1:52">
      <c r="A954" s="5" t="s">
        <v>346</v>
      </c>
      <c r="B954" s="5">
        <v>1305</v>
      </c>
      <c r="C954" s="19">
        <v>461</v>
      </c>
      <c r="E954" s="14"/>
      <c r="F954" s="11"/>
      <c r="G954" s="11"/>
      <c r="H954" s="11"/>
      <c r="I954" s="11"/>
      <c r="J954" s="25"/>
      <c r="K954" s="11"/>
      <c r="L954" s="11"/>
      <c r="M954" s="19">
        <v>0</v>
      </c>
      <c r="O954" s="6"/>
      <c r="P954" s="16">
        <v>856</v>
      </c>
      <c r="Q954" s="16">
        <v>0</v>
      </c>
      <c r="R954" s="22"/>
      <c r="S954" s="22">
        <f t="shared" si="28"/>
        <v>0</v>
      </c>
      <c r="T954" s="5" t="s">
        <v>1210</v>
      </c>
      <c r="U954" s="5" t="s">
        <v>1210</v>
      </c>
      <c r="Y954" s="8"/>
      <c r="Z954" s="8"/>
      <c r="AA954" s="8"/>
      <c r="AB954" s="8"/>
      <c r="AC954" s="8"/>
      <c r="AD954" s="8"/>
      <c r="AE954" s="25"/>
      <c r="AF954" s="11"/>
      <c r="AG954" s="25"/>
      <c r="AH954" s="11"/>
      <c r="AI954" s="11">
        <v>7</v>
      </c>
      <c r="AJ954" s="19">
        <v>26</v>
      </c>
      <c r="AK954" s="12">
        <f>(AJ954+AI954)/30*7</f>
        <v>7.7000000000000011</v>
      </c>
      <c r="AL954" s="6">
        <f>IF(AK954-C954&lt;0,0,AK954-C954)</f>
        <v>0</v>
      </c>
      <c r="AM954" s="6">
        <f>IF(AL954-R954-S954&lt;0,0,AL954-R954-S954)</f>
        <v>0</v>
      </c>
      <c r="AN954" s="5" t="str">
        <f t="shared" si="29"/>
        <v/>
      </c>
      <c r="AO954" s="5">
        <v>0</v>
      </c>
      <c r="AP954" s="9"/>
      <c r="AQ954" s="5" t="s">
        <v>1210</v>
      </c>
      <c r="AR954" s="5" t="s">
        <v>1210</v>
      </c>
      <c r="AS954" s="8"/>
      <c r="AT954" s="8"/>
      <c r="AU954" s="8"/>
      <c r="AV954" s="8"/>
      <c r="AW954" s="8"/>
      <c r="AX954" s="8"/>
      <c r="AY954" s="8"/>
      <c r="AZ954" s="8"/>
    </row>
    <row r="955" spans="1:52">
      <c r="A955" s="5" t="s">
        <v>366</v>
      </c>
      <c r="B955" s="5">
        <v>819</v>
      </c>
      <c r="C955" s="19">
        <v>499</v>
      </c>
      <c r="E955" s="14"/>
      <c r="F955" s="11"/>
      <c r="G955" s="11"/>
      <c r="H955" s="11"/>
      <c r="I955" s="11"/>
      <c r="J955" s="25"/>
      <c r="K955" s="11"/>
      <c r="L955" s="11"/>
      <c r="M955" s="19">
        <v>0</v>
      </c>
      <c r="O955" s="6"/>
      <c r="P955" s="16">
        <v>375</v>
      </c>
      <c r="Q955" s="16">
        <v>728</v>
      </c>
      <c r="R955" s="22"/>
      <c r="S955" s="22">
        <f t="shared" si="28"/>
        <v>0</v>
      </c>
      <c r="T955" s="5" t="s">
        <v>1224</v>
      </c>
      <c r="U955" s="5">
        <v>16</v>
      </c>
      <c r="Y955" s="8"/>
      <c r="Z955" s="8"/>
      <c r="AA955" s="8"/>
      <c r="AB955" s="8"/>
      <c r="AC955" s="8"/>
      <c r="AD955" s="8"/>
      <c r="AE955" s="25"/>
      <c r="AF955" s="11"/>
      <c r="AG955" s="25"/>
      <c r="AH955" s="11"/>
      <c r="AI955" s="11">
        <v>37</v>
      </c>
      <c r="AJ955" s="19">
        <v>28</v>
      </c>
      <c r="AK955" s="12">
        <f>(AJ955+AI955)/30*7</f>
        <v>15.166666666666666</v>
      </c>
      <c r="AL955" s="6">
        <f>IF(AK955-C955&lt;0,0,AK955-C955)</f>
        <v>0</v>
      </c>
      <c r="AM955" s="6">
        <f>IF(AL955-R955-S955&lt;0,0,AL955-R955-S955)</f>
        <v>0</v>
      </c>
      <c r="AN955" s="5" t="str">
        <f t="shared" si="29"/>
        <v/>
      </c>
      <c r="AO955" s="5">
        <v>0</v>
      </c>
      <c r="AP955" s="9"/>
      <c r="AQ955" s="5" t="s">
        <v>1210</v>
      </c>
      <c r="AR955" s="5" t="s">
        <v>1230</v>
      </c>
      <c r="AS955" s="8"/>
      <c r="AT955" s="8"/>
      <c r="AU955" s="8"/>
      <c r="AV955" s="8"/>
      <c r="AW955" s="8"/>
      <c r="AX955" s="8"/>
      <c r="AY955" s="8"/>
      <c r="AZ955" s="8"/>
    </row>
    <row r="956" spans="1:52">
      <c r="A956" s="5" t="s">
        <v>364</v>
      </c>
      <c r="B956" s="5">
        <v>963</v>
      </c>
      <c r="C956" s="19">
        <v>933</v>
      </c>
      <c r="E956" s="14"/>
      <c r="F956" s="11"/>
      <c r="G956" s="11"/>
      <c r="H956" s="11"/>
      <c r="I956" s="11"/>
      <c r="J956" s="25"/>
      <c r="K956" s="11"/>
      <c r="L956" s="11"/>
      <c r="M956" s="19">
        <v>0</v>
      </c>
      <c r="O956" s="6"/>
      <c r="P956" s="16">
        <v>804</v>
      </c>
      <c r="Q956" s="16">
        <v>582</v>
      </c>
      <c r="R956" s="22"/>
      <c r="S956" s="22">
        <f t="shared" si="28"/>
        <v>0</v>
      </c>
      <c r="T956" s="5" t="s">
        <v>1210</v>
      </c>
      <c r="U956" s="5" t="s">
        <v>1210</v>
      </c>
      <c r="Y956" s="8"/>
      <c r="Z956" s="8"/>
      <c r="AA956" s="8"/>
      <c r="AB956" s="8"/>
      <c r="AC956" s="8"/>
      <c r="AD956" s="8"/>
      <c r="AE956" s="25"/>
      <c r="AF956" s="11"/>
      <c r="AG956" s="25"/>
      <c r="AH956" s="11"/>
      <c r="AI956" s="11">
        <v>17</v>
      </c>
      <c r="AJ956" s="19">
        <v>14</v>
      </c>
      <c r="AK956" s="12">
        <f>(AJ956+AI956)/30*7</f>
        <v>7.2333333333333343</v>
      </c>
      <c r="AL956" s="6">
        <f>IF(AK956-C956&lt;0,0,AK956-C956)</f>
        <v>0</v>
      </c>
      <c r="AM956" s="6">
        <f>IF(AL956-R956-S956&lt;0,0,AL956-R956-S956)</f>
        <v>0</v>
      </c>
      <c r="AN956" s="5" t="str">
        <f t="shared" si="29"/>
        <v/>
      </c>
      <c r="AO956" s="5">
        <v>0</v>
      </c>
      <c r="AP956" s="9"/>
      <c r="AQ956" s="5" t="s">
        <v>1210</v>
      </c>
      <c r="AR956" s="5" t="s">
        <v>1210</v>
      </c>
      <c r="AS956" s="8"/>
      <c r="AT956" s="8"/>
      <c r="AU956" s="8"/>
      <c r="AV956" s="8"/>
      <c r="AW956" s="8"/>
      <c r="AX956" s="8"/>
      <c r="AY956" s="8"/>
      <c r="AZ956" s="8"/>
    </row>
    <row r="957" spans="1:52">
      <c r="A957" s="5" t="s">
        <v>433</v>
      </c>
      <c r="B957" s="5">
        <v>774</v>
      </c>
      <c r="C957" s="19">
        <v>561</v>
      </c>
      <c r="E957" s="14"/>
      <c r="F957" s="11"/>
      <c r="G957" s="11"/>
      <c r="H957" s="11"/>
      <c r="I957" s="11"/>
      <c r="J957" s="25"/>
      <c r="K957" s="11"/>
      <c r="L957" s="11"/>
      <c r="M957" s="19">
        <v>0</v>
      </c>
      <c r="O957" s="6"/>
      <c r="P957" s="16">
        <v>632</v>
      </c>
      <c r="Q957" s="16">
        <v>333</v>
      </c>
      <c r="R957" s="22"/>
      <c r="S957" s="22">
        <f t="shared" si="28"/>
        <v>0</v>
      </c>
      <c r="T957" s="5" t="s">
        <v>1210</v>
      </c>
      <c r="U957" s="5" t="s">
        <v>1210</v>
      </c>
      <c r="Y957" s="8"/>
      <c r="Z957" s="8"/>
      <c r="AA957" s="8"/>
      <c r="AB957" s="8"/>
      <c r="AC957" s="8"/>
      <c r="AD957" s="8"/>
      <c r="AE957" s="25"/>
      <c r="AF957" s="11"/>
      <c r="AG957" s="25"/>
      <c r="AH957" s="11"/>
      <c r="AI957" s="11">
        <v>50</v>
      </c>
      <c r="AJ957" s="19">
        <v>0</v>
      </c>
      <c r="AK957" s="12">
        <f>(AJ957+AI957)/30*7</f>
        <v>11.666666666666668</v>
      </c>
      <c r="AL957" s="6">
        <f>IF(AK957-C957&lt;0,0,AK957-C957)</f>
        <v>0</v>
      </c>
      <c r="AM957" s="6">
        <f>IF(AL957-R957-S957&lt;0,0,AL957-R957-S957)</f>
        <v>0</v>
      </c>
      <c r="AN957" s="5" t="str">
        <f t="shared" si="29"/>
        <v/>
      </c>
      <c r="AO957" s="5">
        <v>0</v>
      </c>
      <c r="AP957" s="9"/>
      <c r="AQ957" s="5" t="s">
        <v>1210</v>
      </c>
      <c r="AR957" s="5" t="s">
        <v>1230</v>
      </c>
      <c r="AS957" s="8"/>
      <c r="AT957" s="8"/>
      <c r="AU957" s="8"/>
      <c r="AV957" s="8"/>
      <c r="AW957" s="8"/>
      <c r="AX957" s="8"/>
      <c r="AY957" s="8"/>
      <c r="AZ957" s="8"/>
    </row>
    <row r="958" spans="1:52">
      <c r="A958" s="5" t="s">
        <v>401</v>
      </c>
      <c r="B958" s="5">
        <v>1384</v>
      </c>
      <c r="C958" s="19">
        <v>698</v>
      </c>
      <c r="E958" s="14"/>
      <c r="F958" s="11"/>
      <c r="G958" s="11"/>
      <c r="H958" s="11"/>
      <c r="I958" s="11"/>
      <c r="J958" s="25"/>
      <c r="K958" s="11"/>
      <c r="L958" s="11"/>
      <c r="M958" s="19">
        <v>0</v>
      </c>
      <c r="O958" s="6"/>
      <c r="P958" s="16">
        <v>992</v>
      </c>
      <c r="Q958" s="16">
        <v>925</v>
      </c>
      <c r="R958" s="22"/>
      <c r="S958" s="22">
        <f t="shared" si="28"/>
        <v>0</v>
      </c>
      <c r="T958" s="5" t="s">
        <v>1210</v>
      </c>
      <c r="U958" s="5" t="s">
        <v>1210</v>
      </c>
      <c r="Y958" s="8"/>
      <c r="Z958" s="8"/>
      <c r="AA958" s="8"/>
      <c r="AB958" s="8"/>
      <c r="AC958" s="8"/>
      <c r="AD958" s="8"/>
      <c r="AE958" s="25"/>
      <c r="AF958" s="11"/>
      <c r="AG958" s="25"/>
      <c r="AH958" s="11"/>
      <c r="AI958" s="11">
        <v>63</v>
      </c>
      <c r="AJ958" s="19">
        <v>8</v>
      </c>
      <c r="AK958" s="12">
        <f>(AJ958+AI958)/30*7</f>
        <v>16.566666666666666</v>
      </c>
      <c r="AL958" s="6">
        <f>IF(AK958-C958&lt;0,0,AK958-C958)</f>
        <v>0</v>
      </c>
      <c r="AM958" s="6">
        <f>IF(AL958-R958-S958&lt;0,0,AL958-R958-S958)</f>
        <v>0</v>
      </c>
      <c r="AN958" s="5" t="str">
        <f t="shared" si="29"/>
        <v/>
      </c>
      <c r="AO958" s="5">
        <v>0</v>
      </c>
      <c r="AP958" s="9"/>
      <c r="AQ958" s="5" t="s">
        <v>1210</v>
      </c>
      <c r="AR958" s="5" t="s">
        <v>1210</v>
      </c>
      <c r="AS958" s="8"/>
      <c r="AT958" s="8"/>
      <c r="AU958" s="8"/>
      <c r="AV958" s="8"/>
      <c r="AW958" s="8"/>
      <c r="AX958" s="8"/>
      <c r="AY958" s="8"/>
      <c r="AZ958" s="8"/>
    </row>
    <row r="959" spans="1:52">
      <c r="A959" s="5" t="s">
        <v>776</v>
      </c>
      <c r="B959" s="5">
        <v>2208</v>
      </c>
      <c r="C959" s="19">
        <v>902</v>
      </c>
      <c r="E959" s="14"/>
      <c r="F959" s="11"/>
      <c r="G959" s="11"/>
      <c r="H959" s="11"/>
      <c r="I959" s="11"/>
      <c r="J959" s="25"/>
      <c r="K959" s="11"/>
      <c r="L959" s="11"/>
      <c r="M959" s="19">
        <v>0</v>
      </c>
      <c r="O959" s="6"/>
      <c r="P959" s="16">
        <v>978</v>
      </c>
      <c r="Q959" s="16">
        <v>0</v>
      </c>
      <c r="R959" s="22"/>
      <c r="S959" s="22">
        <f t="shared" si="28"/>
        <v>0</v>
      </c>
      <c r="T959" s="5" t="s">
        <v>1210</v>
      </c>
      <c r="U959" s="5" t="s">
        <v>1210</v>
      </c>
      <c r="Y959" s="8"/>
      <c r="Z959" s="8"/>
      <c r="AA959" s="8"/>
      <c r="AB959" s="8"/>
      <c r="AC959" s="8"/>
      <c r="AD959" s="8"/>
      <c r="AE959" s="25"/>
      <c r="AF959" s="11"/>
      <c r="AG959" s="25"/>
      <c r="AH959" s="11"/>
      <c r="AI959" s="11">
        <v>2</v>
      </c>
      <c r="AJ959" s="19">
        <v>5</v>
      </c>
      <c r="AK959" s="12">
        <f>(AJ959+AI959)/30*7</f>
        <v>1.6333333333333333</v>
      </c>
      <c r="AL959" s="6">
        <f>IF(AK959-C959&lt;0,0,AK959-C959)</f>
        <v>0</v>
      </c>
      <c r="AM959" s="6">
        <f>IF(AL959-R959-S959&lt;0,0,AL959-R959-S959)</f>
        <v>0</v>
      </c>
      <c r="AN959" s="5" t="str">
        <f t="shared" si="29"/>
        <v/>
      </c>
      <c r="AO959" s="5">
        <v>0</v>
      </c>
      <c r="AP959" s="9"/>
      <c r="AQ959" s="5" t="s">
        <v>1210</v>
      </c>
      <c r="AR959" s="5" t="s">
        <v>1210</v>
      </c>
      <c r="AS959" s="8"/>
      <c r="AT959" s="8"/>
      <c r="AU959" s="8"/>
      <c r="AV959" s="8"/>
      <c r="AW959" s="8"/>
      <c r="AX959" s="8"/>
      <c r="AY959" s="8"/>
      <c r="AZ959" s="8"/>
    </row>
    <row r="960" spans="1:52">
      <c r="A960" s="5" t="s">
        <v>449</v>
      </c>
      <c r="B960" s="5">
        <v>2172</v>
      </c>
      <c r="C960" s="19">
        <v>318</v>
      </c>
      <c r="E960" s="14"/>
      <c r="F960" s="11"/>
      <c r="G960" s="11"/>
      <c r="H960" s="11"/>
      <c r="I960" s="11"/>
      <c r="J960" s="25"/>
      <c r="K960" s="11"/>
      <c r="L960" s="11"/>
      <c r="M960" s="19">
        <v>0</v>
      </c>
      <c r="O960" s="6"/>
      <c r="P960" s="16">
        <v>628</v>
      </c>
      <c r="Q960" s="16">
        <v>0</v>
      </c>
      <c r="R960" s="22"/>
      <c r="S960" s="22">
        <f t="shared" si="28"/>
        <v>0</v>
      </c>
      <c r="T960" s="5" t="s">
        <v>1210</v>
      </c>
      <c r="U960" s="5" t="s">
        <v>1210</v>
      </c>
      <c r="Y960" s="8"/>
      <c r="Z960" s="8"/>
      <c r="AA960" s="8"/>
      <c r="AB960" s="8"/>
      <c r="AC960" s="8"/>
      <c r="AD960" s="8"/>
      <c r="AE960" s="25"/>
      <c r="AF960" s="11"/>
      <c r="AG960" s="25"/>
      <c r="AH960" s="11"/>
      <c r="AI960" s="11">
        <v>66</v>
      </c>
      <c r="AJ960" s="19">
        <v>0</v>
      </c>
      <c r="AK960" s="12">
        <f>(AJ960+AI960)/30*7</f>
        <v>15.400000000000002</v>
      </c>
      <c r="AL960" s="6">
        <f>IF(AK960-C960&lt;0,0,AK960-C960)</f>
        <v>0</v>
      </c>
      <c r="AM960" s="6">
        <f>IF(AL960-R960-S960&lt;0,0,AL960-R960-S960)</f>
        <v>0</v>
      </c>
      <c r="AN960" s="5" t="str">
        <f t="shared" si="29"/>
        <v/>
      </c>
      <c r="AO960" s="5">
        <v>0</v>
      </c>
      <c r="AP960" s="9"/>
      <c r="AQ960" s="5" t="s">
        <v>1210</v>
      </c>
      <c r="AR960" s="5" t="s">
        <v>1210</v>
      </c>
      <c r="AS960" s="8"/>
      <c r="AT960" s="8"/>
      <c r="AU960" s="8"/>
      <c r="AV960" s="8"/>
      <c r="AW960" s="8"/>
      <c r="AX960" s="8"/>
      <c r="AY960" s="8"/>
      <c r="AZ960" s="8"/>
    </row>
    <row r="961" spans="1:52">
      <c r="A961" s="5" t="s">
        <v>247</v>
      </c>
      <c r="B961" s="5">
        <v>820</v>
      </c>
      <c r="C961" s="19">
        <v>636</v>
      </c>
      <c r="E961" s="14"/>
      <c r="F961" s="11"/>
      <c r="G961" s="11"/>
      <c r="H961" s="11"/>
      <c r="I961" s="11"/>
      <c r="J961" s="25"/>
      <c r="K961" s="11"/>
      <c r="L961" s="11"/>
      <c r="M961" s="19">
        <v>0</v>
      </c>
      <c r="O961" s="6"/>
      <c r="P961" s="16">
        <v>492</v>
      </c>
      <c r="Q961" s="16">
        <v>898</v>
      </c>
      <c r="R961" s="22"/>
      <c r="S961" s="22">
        <f t="shared" si="28"/>
        <v>0</v>
      </c>
      <c r="T961" s="5" t="s">
        <v>1210</v>
      </c>
      <c r="U961" s="5" t="s">
        <v>1210</v>
      </c>
      <c r="Y961" s="8"/>
      <c r="Z961" s="8"/>
      <c r="AA961" s="8"/>
      <c r="AB961" s="8"/>
      <c r="AC961" s="8"/>
      <c r="AD961" s="8"/>
      <c r="AE961" s="25"/>
      <c r="AF961" s="11"/>
      <c r="AG961" s="25"/>
      <c r="AH961" s="11"/>
      <c r="AI961" s="11">
        <v>12</v>
      </c>
      <c r="AJ961" s="19">
        <v>3</v>
      </c>
      <c r="AK961" s="12">
        <f>(AJ961+AI961)/30*7</f>
        <v>3.5</v>
      </c>
      <c r="AL961" s="6">
        <f>IF(AK961-C961&lt;0,0,AK961-C961)</f>
        <v>0</v>
      </c>
      <c r="AM961" s="6">
        <f>IF(AL961-R961-S961&lt;0,0,AL961-R961-S961)</f>
        <v>0</v>
      </c>
      <c r="AN961" s="5" t="str">
        <f t="shared" si="29"/>
        <v/>
      </c>
      <c r="AO961" s="5">
        <v>0</v>
      </c>
      <c r="AP961" s="9"/>
      <c r="AQ961" s="5" t="s">
        <v>1210</v>
      </c>
      <c r="AR961" s="5" t="s">
        <v>1210</v>
      </c>
      <c r="AS961" s="8"/>
      <c r="AT961" s="8"/>
      <c r="AU961" s="8"/>
      <c r="AV961" s="8"/>
      <c r="AW961" s="8"/>
      <c r="AX961" s="8"/>
      <c r="AY961" s="8"/>
      <c r="AZ961" s="8"/>
    </row>
    <row r="962" spans="1:52">
      <c r="A962" s="5" t="s">
        <v>219</v>
      </c>
      <c r="B962" s="5">
        <v>273</v>
      </c>
      <c r="C962" s="19">
        <v>687</v>
      </c>
      <c r="E962" s="14"/>
      <c r="F962" s="11"/>
      <c r="G962" s="11"/>
      <c r="H962" s="11"/>
      <c r="I962" s="11"/>
      <c r="J962" s="25"/>
      <c r="K962" s="11"/>
      <c r="L962" s="11"/>
      <c r="M962" s="19">
        <v>0</v>
      </c>
      <c r="O962" s="6"/>
      <c r="P962" s="16">
        <v>0</v>
      </c>
      <c r="Q962" s="16">
        <v>592</v>
      </c>
      <c r="R962" s="22"/>
      <c r="S962" s="22">
        <f t="shared" si="28"/>
        <v>0</v>
      </c>
      <c r="T962" s="5" t="s">
        <v>1219</v>
      </c>
      <c r="U962" s="5">
        <v>30</v>
      </c>
      <c r="Y962" s="8"/>
      <c r="Z962" s="8"/>
      <c r="AA962" s="8"/>
      <c r="AB962" s="8"/>
      <c r="AC962" s="8"/>
      <c r="AD962" s="8"/>
      <c r="AE962" s="25"/>
      <c r="AF962" s="11"/>
      <c r="AG962" s="25"/>
      <c r="AH962" s="11"/>
      <c r="AI962" s="11">
        <v>78</v>
      </c>
      <c r="AJ962" s="19">
        <v>5</v>
      </c>
      <c r="AK962" s="12">
        <f>(AJ962+AI962)/30*7</f>
        <v>19.366666666666667</v>
      </c>
      <c r="AL962" s="6">
        <f>IF(AK962-C962&lt;0,0,AK962-C962)</f>
        <v>0</v>
      </c>
      <c r="AM962" s="6">
        <f>IF(AL962-R962-S962&lt;0,0,AL962-R962-S962)</f>
        <v>0</v>
      </c>
      <c r="AN962" s="5" t="str">
        <f t="shared" si="29"/>
        <v/>
      </c>
      <c r="AO962" s="5">
        <v>0</v>
      </c>
      <c r="AP962" s="9"/>
      <c r="AQ962" s="5" t="s">
        <v>1210</v>
      </c>
      <c r="AR962" s="5" t="s">
        <v>1210</v>
      </c>
      <c r="AS962" s="8"/>
      <c r="AT962" s="8"/>
      <c r="AU962" s="8"/>
      <c r="AV962" s="8"/>
      <c r="AW962" s="8"/>
      <c r="AX962" s="8"/>
      <c r="AY962" s="8"/>
      <c r="AZ962" s="8"/>
    </row>
    <row r="963" spans="1:52">
      <c r="A963" s="5" t="s">
        <v>490</v>
      </c>
      <c r="B963" s="5">
        <v>1105</v>
      </c>
      <c r="C963" s="19">
        <v>846</v>
      </c>
      <c r="E963" s="14"/>
      <c r="F963" s="11"/>
      <c r="G963" s="11"/>
      <c r="H963" s="11"/>
      <c r="I963" s="11"/>
      <c r="J963" s="25"/>
      <c r="K963" s="11"/>
      <c r="L963" s="11"/>
      <c r="M963" s="19">
        <v>0</v>
      </c>
      <c r="O963" s="6"/>
      <c r="P963" s="16">
        <v>0</v>
      </c>
      <c r="Q963" s="16">
        <v>800</v>
      </c>
      <c r="R963" s="22"/>
      <c r="S963" s="22">
        <f t="shared" si="28"/>
        <v>0</v>
      </c>
      <c r="T963" s="5" t="s">
        <v>1210</v>
      </c>
      <c r="U963" s="5" t="s">
        <v>1210</v>
      </c>
      <c r="Y963" s="8"/>
      <c r="Z963" s="8"/>
      <c r="AA963" s="8"/>
      <c r="AB963" s="8"/>
      <c r="AC963" s="8"/>
      <c r="AD963" s="8"/>
      <c r="AE963" s="25"/>
      <c r="AF963" s="11"/>
      <c r="AG963" s="25"/>
      <c r="AH963" s="11"/>
      <c r="AI963" s="11">
        <v>56</v>
      </c>
      <c r="AJ963" s="19">
        <v>10</v>
      </c>
      <c r="AK963" s="12">
        <f>(AJ963+AI963)/30*7</f>
        <v>15.400000000000002</v>
      </c>
      <c r="AL963" s="6">
        <f>IF(AK963-C963&lt;0,0,AK963-C963)</f>
        <v>0</v>
      </c>
      <c r="AM963" s="6">
        <f>IF(AL963-R963-S963&lt;0,0,AL963-R963-S963)</f>
        <v>0</v>
      </c>
      <c r="AN963" s="5" t="str">
        <f t="shared" si="29"/>
        <v/>
      </c>
      <c r="AO963" s="5">
        <v>0</v>
      </c>
      <c r="AP963" s="9"/>
      <c r="AQ963" s="5" t="s">
        <v>1210</v>
      </c>
      <c r="AR963" s="5" t="s">
        <v>1210</v>
      </c>
      <c r="AS963" s="8"/>
      <c r="AT963" s="8"/>
      <c r="AU963" s="8"/>
      <c r="AV963" s="8"/>
      <c r="AW963" s="8"/>
      <c r="AX963" s="8"/>
      <c r="AY963" s="8"/>
      <c r="AZ963" s="8"/>
    </row>
    <row r="964" spans="1:52">
      <c r="A964" s="5" t="s">
        <v>508</v>
      </c>
      <c r="B964" s="5">
        <v>440</v>
      </c>
      <c r="C964" s="19">
        <v>808</v>
      </c>
      <c r="E964" s="14"/>
      <c r="F964" s="11"/>
      <c r="G964" s="11"/>
      <c r="H964" s="11"/>
      <c r="I964" s="11"/>
      <c r="J964" s="25"/>
      <c r="K964" s="11"/>
      <c r="L964" s="11"/>
      <c r="M964" s="19">
        <v>0</v>
      </c>
      <c r="O964" s="6"/>
      <c r="P964" s="16">
        <v>963</v>
      </c>
      <c r="Q964" s="16">
        <v>517</v>
      </c>
      <c r="R964" s="22"/>
      <c r="S964" s="22">
        <f t="shared" ref="S964:S1027" si="30">IF(AL964&gt;0,IF(Q964&gt;=AL964,ROUND(AL964,0),Q964),0)</f>
        <v>0</v>
      </c>
      <c r="T964" s="5" t="s">
        <v>1210</v>
      </c>
      <c r="U964" s="5" t="s">
        <v>1210</v>
      </c>
      <c r="Y964" s="8"/>
      <c r="Z964" s="8"/>
      <c r="AA964" s="8"/>
      <c r="AB964" s="8"/>
      <c r="AC964" s="8"/>
      <c r="AD964" s="8"/>
      <c r="AE964" s="25"/>
      <c r="AF964" s="11"/>
      <c r="AG964" s="25"/>
      <c r="AH964" s="11"/>
      <c r="AI964" s="11">
        <v>44</v>
      </c>
      <c r="AJ964" s="19">
        <v>12</v>
      </c>
      <c r="AK964" s="12">
        <f>(AJ964+AI964)/30*7</f>
        <v>13.066666666666666</v>
      </c>
      <c r="AL964" s="6">
        <f>IF(AK964-C964&lt;0,0,AK964-C964)</f>
        <v>0</v>
      </c>
      <c r="AM964" s="6">
        <f>IF(AL964-R964-S964&lt;0,0,AL964-R964-S964)</f>
        <v>0</v>
      </c>
      <c r="AN964" s="5" t="str">
        <f t="shared" ref="AN964:AN1027" si="31">IF(AM964&gt;0,IF(LEN(U964)=0,IF(ROUND(AM964-AO964,0)&gt;0,ROUND(AM964-AO964,0),""),IF(U964+AO964&gt;=AM964,"",ROUND(AM964-U964-AO964,0))),"")</f>
        <v/>
      </c>
      <c r="AO964" s="5">
        <v>0</v>
      </c>
      <c r="AP964" s="9"/>
      <c r="AQ964" s="5" t="s">
        <v>1210</v>
      </c>
      <c r="AR964" s="5" t="s">
        <v>1230</v>
      </c>
      <c r="AS964" s="8"/>
      <c r="AT964" s="8"/>
      <c r="AU964" s="8"/>
      <c r="AV964" s="8"/>
      <c r="AW964" s="8"/>
      <c r="AX964" s="8"/>
      <c r="AY964" s="8"/>
      <c r="AZ964" s="8"/>
    </row>
    <row r="965" spans="1:52">
      <c r="A965" s="5" t="s">
        <v>532</v>
      </c>
      <c r="B965" s="5">
        <v>1278</v>
      </c>
      <c r="C965" s="19">
        <v>341</v>
      </c>
      <c r="E965" s="14"/>
      <c r="F965" s="11"/>
      <c r="G965" s="11"/>
      <c r="H965" s="11"/>
      <c r="I965" s="11"/>
      <c r="J965" s="25"/>
      <c r="K965" s="11"/>
      <c r="L965" s="11"/>
      <c r="M965" s="19">
        <v>0</v>
      </c>
      <c r="O965" s="6"/>
      <c r="P965" s="16">
        <v>226</v>
      </c>
      <c r="Q965" s="16">
        <v>0</v>
      </c>
      <c r="R965" s="22"/>
      <c r="S965" s="22">
        <f t="shared" si="30"/>
        <v>0</v>
      </c>
      <c r="T965" s="5" t="s">
        <v>1210</v>
      </c>
      <c r="U965" s="5" t="s">
        <v>1210</v>
      </c>
      <c r="Y965" s="8"/>
      <c r="Z965" s="8"/>
      <c r="AA965" s="8"/>
      <c r="AB965" s="8"/>
      <c r="AC965" s="8"/>
      <c r="AD965" s="8"/>
      <c r="AE965" s="25"/>
      <c r="AF965" s="11"/>
      <c r="AG965" s="25"/>
      <c r="AH965" s="11"/>
      <c r="AI965" s="11">
        <v>25</v>
      </c>
      <c r="AJ965" s="19">
        <v>8</v>
      </c>
      <c r="AK965" s="12">
        <f>(AJ965+AI965)/30*7</f>
        <v>7.7000000000000011</v>
      </c>
      <c r="AL965" s="6">
        <f>IF(AK965-C965&lt;0,0,AK965-C965)</f>
        <v>0</v>
      </c>
      <c r="AM965" s="6">
        <f>IF(AL965-R965-S965&lt;0,0,AL965-R965-S965)</f>
        <v>0</v>
      </c>
      <c r="AN965" s="5" t="str">
        <f t="shared" si="31"/>
        <v/>
      </c>
      <c r="AO965" s="5">
        <v>0</v>
      </c>
      <c r="AP965" s="9"/>
      <c r="AQ965" s="5" t="s">
        <v>1210</v>
      </c>
      <c r="AR965" s="5" t="s">
        <v>1210</v>
      </c>
      <c r="AS965" s="8"/>
      <c r="AT965" s="8"/>
      <c r="AU965" s="8"/>
      <c r="AV965" s="8"/>
      <c r="AW965" s="8"/>
      <c r="AX965" s="8"/>
      <c r="AY965" s="8"/>
      <c r="AZ965" s="8"/>
    </row>
    <row r="966" spans="1:52">
      <c r="A966" s="5" t="s">
        <v>1037</v>
      </c>
      <c r="B966" s="5">
        <v>1924</v>
      </c>
      <c r="C966" s="19">
        <v>349</v>
      </c>
      <c r="E966" s="14"/>
      <c r="F966" s="11"/>
      <c r="G966" s="11"/>
      <c r="H966" s="11"/>
      <c r="I966" s="11"/>
      <c r="J966" s="25"/>
      <c r="K966" s="11"/>
      <c r="L966" s="11"/>
      <c r="M966" s="19">
        <v>0</v>
      </c>
      <c r="O966" s="6"/>
      <c r="P966" s="16">
        <v>478</v>
      </c>
      <c r="Q966" s="16">
        <v>0</v>
      </c>
      <c r="R966" s="22"/>
      <c r="S966" s="22">
        <f t="shared" si="30"/>
        <v>0</v>
      </c>
      <c r="T966" s="5" t="s">
        <v>1210</v>
      </c>
      <c r="U966" s="5" t="s">
        <v>1210</v>
      </c>
      <c r="Y966" s="8"/>
      <c r="Z966" s="8"/>
      <c r="AA966" s="8"/>
      <c r="AB966" s="8"/>
      <c r="AC966" s="8"/>
      <c r="AD966" s="8"/>
      <c r="AE966" s="25"/>
      <c r="AF966" s="11"/>
      <c r="AG966" s="25"/>
      <c r="AH966" s="11"/>
      <c r="AI966" s="11">
        <v>44</v>
      </c>
      <c r="AJ966" s="19">
        <v>0</v>
      </c>
      <c r="AK966" s="12">
        <f>(AJ966+AI966)/30*7</f>
        <v>10.266666666666666</v>
      </c>
      <c r="AL966" s="6">
        <f>IF(AK966-C966&lt;0,0,AK966-C966)</f>
        <v>0</v>
      </c>
      <c r="AM966" s="6">
        <f>IF(AL966-R966-S966&lt;0,0,AL966-R966-S966)</f>
        <v>0</v>
      </c>
      <c r="AN966" s="5" t="str">
        <f t="shared" si="31"/>
        <v/>
      </c>
      <c r="AO966" s="5">
        <v>0</v>
      </c>
      <c r="AP966" s="9"/>
      <c r="AQ966" s="5" t="s">
        <v>1210</v>
      </c>
      <c r="AR966" s="5" t="s">
        <v>1210</v>
      </c>
      <c r="AS966" s="8"/>
      <c r="AT966" s="8"/>
      <c r="AU966" s="8"/>
      <c r="AV966" s="8"/>
      <c r="AW966" s="8"/>
      <c r="AX966" s="8"/>
      <c r="AY966" s="8"/>
      <c r="AZ966" s="8"/>
    </row>
    <row r="967" spans="1:52">
      <c r="A967" s="5" t="s">
        <v>879</v>
      </c>
      <c r="B967" s="5">
        <v>837</v>
      </c>
      <c r="C967" s="19">
        <v>814</v>
      </c>
      <c r="E967" s="14"/>
      <c r="F967" s="11"/>
      <c r="G967" s="11"/>
      <c r="H967" s="11"/>
      <c r="I967" s="11"/>
      <c r="J967" s="25"/>
      <c r="K967" s="11"/>
      <c r="L967" s="11"/>
      <c r="M967" s="19">
        <v>0</v>
      </c>
      <c r="O967" s="6"/>
      <c r="P967" s="16">
        <v>343</v>
      </c>
      <c r="Q967" s="16">
        <v>253</v>
      </c>
      <c r="R967" s="22"/>
      <c r="S967" s="22">
        <f t="shared" si="30"/>
        <v>0</v>
      </c>
      <c r="T967" s="5" t="s">
        <v>1210</v>
      </c>
      <c r="U967" s="5" t="s">
        <v>1210</v>
      </c>
      <c r="Y967" s="8"/>
      <c r="Z967" s="8"/>
      <c r="AA967" s="8"/>
      <c r="AB967" s="8"/>
      <c r="AC967" s="8"/>
      <c r="AD967" s="8"/>
      <c r="AE967" s="25"/>
      <c r="AF967" s="11"/>
      <c r="AG967" s="25"/>
      <c r="AH967" s="11"/>
      <c r="AI967" s="11">
        <v>26</v>
      </c>
      <c r="AJ967" s="19">
        <v>3</v>
      </c>
      <c r="AK967" s="12">
        <f>(AJ967+AI967)/30*7</f>
        <v>6.7666666666666666</v>
      </c>
      <c r="AL967" s="6">
        <f>IF(AK967-C967&lt;0,0,AK967-C967)</f>
        <v>0</v>
      </c>
      <c r="AM967" s="6">
        <f>IF(AL967-R967-S967&lt;0,0,AL967-R967-S967)</f>
        <v>0</v>
      </c>
      <c r="AN967" s="5" t="str">
        <f t="shared" si="31"/>
        <v/>
      </c>
      <c r="AO967" s="5">
        <v>0</v>
      </c>
      <c r="AP967" s="9"/>
      <c r="AQ967" s="5" t="s">
        <v>1210</v>
      </c>
      <c r="AR967" s="5" t="s">
        <v>1230</v>
      </c>
      <c r="AS967" s="8"/>
      <c r="AT967" s="8"/>
      <c r="AU967" s="8"/>
      <c r="AV967" s="8"/>
      <c r="AW967" s="8"/>
      <c r="AX967" s="8"/>
      <c r="AY967" s="8"/>
      <c r="AZ967" s="8"/>
    </row>
    <row r="968" spans="1:52">
      <c r="A968" s="5" t="s">
        <v>989</v>
      </c>
      <c r="B968" s="5">
        <v>1420</v>
      </c>
      <c r="C968" s="19">
        <v>335</v>
      </c>
      <c r="E968" s="14"/>
      <c r="F968" s="11"/>
      <c r="G968" s="11"/>
      <c r="H968" s="11"/>
      <c r="I968" s="11"/>
      <c r="J968" s="25"/>
      <c r="K968" s="11"/>
      <c r="L968" s="11"/>
      <c r="M968" s="19">
        <v>0</v>
      </c>
      <c r="O968" s="6"/>
      <c r="P968" s="16">
        <v>0</v>
      </c>
      <c r="Q968" s="16">
        <v>0</v>
      </c>
      <c r="R968" s="22"/>
      <c r="S968" s="22">
        <f t="shared" si="30"/>
        <v>0</v>
      </c>
      <c r="T968" s="5" t="s">
        <v>1210</v>
      </c>
      <c r="U968" s="5" t="s">
        <v>1210</v>
      </c>
      <c r="Y968" s="8"/>
      <c r="Z968" s="8"/>
      <c r="AA968" s="8"/>
      <c r="AB968" s="8"/>
      <c r="AC968" s="8"/>
      <c r="AD968" s="8"/>
      <c r="AE968" s="25"/>
      <c r="AF968" s="11"/>
      <c r="AG968" s="25"/>
      <c r="AH968" s="11"/>
      <c r="AI968" s="11">
        <v>19</v>
      </c>
      <c r="AJ968" s="19">
        <v>0</v>
      </c>
      <c r="AK968" s="12">
        <f>(AJ968+AI968)/30*7</f>
        <v>4.4333333333333336</v>
      </c>
      <c r="AL968" s="6">
        <f>IF(AK968-C968&lt;0,0,AK968-C968)</f>
        <v>0</v>
      </c>
      <c r="AM968" s="6">
        <f>IF(AL968-R968-S968&lt;0,0,AL968-R968-S968)</f>
        <v>0</v>
      </c>
      <c r="AN968" s="5" t="str">
        <f t="shared" si="31"/>
        <v/>
      </c>
      <c r="AO968" s="5">
        <v>0</v>
      </c>
      <c r="AP968" s="9"/>
      <c r="AQ968" s="5" t="s">
        <v>1210</v>
      </c>
      <c r="AR968" s="5" t="s">
        <v>1230</v>
      </c>
      <c r="AS968" s="8"/>
      <c r="AT968" s="8"/>
      <c r="AU968" s="8"/>
      <c r="AV968" s="8"/>
      <c r="AW968" s="8"/>
      <c r="AX968" s="8"/>
      <c r="AY968" s="8"/>
      <c r="AZ968" s="8"/>
    </row>
    <row r="969" spans="1:52">
      <c r="A969" s="5" t="s">
        <v>479</v>
      </c>
      <c r="B969" s="5">
        <v>838</v>
      </c>
      <c r="C969" s="19">
        <v>934</v>
      </c>
      <c r="E969" s="14"/>
      <c r="F969" s="11"/>
      <c r="G969" s="11"/>
      <c r="H969" s="11"/>
      <c r="I969" s="11"/>
      <c r="J969" s="25"/>
      <c r="K969" s="11"/>
      <c r="L969" s="11"/>
      <c r="M969" s="19">
        <v>0</v>
      </c>
      <c r="O969" s="6"/>
      <c r="P969" s="16">
        <v>799</v>
      </c>
      <c r="Q969" s="16">
        <v>621</v>
      </c>
      <c r="R969" s="22"/>
      <c r="S969" s="22">
        <f t="shared" si="30"/>
        <v>0</v>
      </c>
      <c r="T969" s="5" t="s">
        <v>1210</v>
      </c>
      <c r="U969" s="5" t="s">
        <v>1210</v>
      </c>
      <c r="Y969" s="8"/>
      <c r="Z969" s="8"/>
      <c r="AA969" s="8"/>
      <c r="AB969" s="8"/>
      <c r="AC969" s="8"/>
      <c r="AD969" s="8"/>
      <c r="AE969" s="25"/>
      <c r="AF969" s="11"/>
      <c r="AG969" s="25"/>
      <c r="AH969" s="11"/>
      <c r="AI969" s="11">
        <v>56</v>
      </c>
      <c r="AJ969" s="19">
        <v>8</v>
      </c>
      <c r="AK969" s="12">
        <f>(AJ969+AI969)/30*7</f>
        <v>14.933333333333334</v>
      </c>
      <c r="AL969" s="6">
        <f>IF(AK969-C969&lt;0,0,AK969-C969)</f>
        <v>0</v>
      </c>
      <c r="AM969" s="6">
        <f>IF(AL969-R969-S969&lt;0,0,AL969-R969-S969)</f>
        <v>0</v>
      </c>
      <c r="AN969" s="5" t="str">
        <f t="shared" si="31"/>
        <v/>
      </c>
      <c r="AO969" s="5">
        <v>0</v>
      </c>
      <c r="AP969" s="9"/>
      <c r="AQ969" s="5" t="s">
        <v>1210</v>
      </c>
      <c r="AR969" s="5" t="s">
        <v>1230</v>
      </c>
      <c r="AS969" s="8"/>
      <c r="AT969" s="8"/>
      <c r="AU969" s="8"/>
      <c r="AV969" s="8"/>
      <c r="AW969" s="8"/>
      <c r="AX969" s="8"/>
      <c r="AY969" s="8"/>
      <c r="AZ969" s="8"/>
    </row>
    <row r="970" spans="1:52">
      <c r="A970" s="5" t="s">
        <v>350</v>
      </c>
      <c r="B970" s="5">
        <v>997</v>
      </c>
      <c r="C970" s="19">
        <v>749</v>
      </c>
      <c r="E970" s="14"/>
      <c r="F970" s="11"/>
      <c r="G970" s="11"/>
      <c r="H970" s="11"/>
      <c r="I970" s="11"/>
      <c r="J970" s="25"/>
      <c r="K970" s="11"/>
      <c r="L970" s="11"/>
      <c r="M970" s="19">
        <v>0</v>
      </c>
      <c r="O970" s="6"/>
      <c r="P970" s="16">
        <v>961</v>
      </c>
      <c r="Q970" s="16">
        <v>529</v>
      </c>
      <c r="R970" s="22"/>
      <c r="S970" s="22">
        <f t="shared" si="30"/>
        <v>0</v>
      </c>
      <c r="T970" s="5" t="s">
        <v>1210</v>
      </c>
      <c r="U970" s="5" t="s">
        <v>1210</v>
      </c>
      <c r="Y970" s="8"/>
      <c r="Z970" s="8"/>
      <c r="AA970" s="8"/>
      <c r="AB970" s="8"/>
      <c r="AC970" s="8"/>
      <c r="AD970" s="8"/>
      <c r="AE970" s="25"/>
      <c r="AF970" s="11"/>
      <c r="AG970" s="25"/>
      <c r="AH970" s="11"/>
      <c r="AI970" s="11">
        <v>36</v>
      </c>
      <c r="AJ970" s="19">
        <v>10</v>
      </c>
      <c r="AK970" s="12">
        <f>(AJ970+AI970)/30*7</f>
        <v>10.733333333333334</v>
      </c>
      <c r="AL970" s="6">
        <f>IF(AK970-C970&lt;0,0,AK970-C970)</f>
        <v>0</v>
      </c>
      <c r="AM970" s="6">
        <f>IF(AL970-R970-S970&lt;0,0,AL970-R970-S970)</f>
        <v>0</v>
      </c>
      <c r="AN970" s="5" t="str">
        <f t="shared" si="31"/>
        <v/>
      </c>
      <c r="AO970" s="5">
        <v>0</v>
      </c>
      <c r="AP970" s="9"/>
      <c r="AQ970" s="5" t="s">
        <v>1210</v>
      </c>
      <c r="AR970" s="5" t="s">
        <v>1210</v>
      </c>
      <c r="AS970" s="8"/>
      <c r="AT970" s="8"/>
      <c r="AU970" s="8"/>
      <c r="AV970" s="8"/>
      <c r="AW970" s="8"/>
      <c r="AX970" s="8"/>
      <c r="AY970" s="8"/>
      <c r="AZ970" s="8"/>
    </row>
    <row r="971" spans="1:52">
      <c r="A971" s="5" t="s">
        <v>314</v>
      </c>
      <c r="B971" s="5">
        <v>476</v>
      </c>
      <c r="C971" s="19">
        <v>555</v>
      </c>
      <c r="E971" s="14"/>
      <c r="F971" s="11"/>
      <c r="G971" s="11"/>
      <c r="H971" s="11"/>
      <c r="I971" s="11"/>
      <c r="J971" s="25"/>
      <c r="K971" s="11"/>
      <c r="L971" s="11"/>
      <c r="M971" s="19">
        <v>0</v>
      </c>
      <c r="O971" s="6"/>
      <c r="P971" s="16">
        <v>475</v>
      </c>
      <c r="Q971" s="16">
        <v>0</v>
      </c>
      <c r="R971" s="22"/>
      <c r="S971" s="22">
        <f t="shared" si="30"/>
        <v>0</v>
      </c>
      <c r="T971" s="5" t="s">
        <v>1210</v>
      </c>
      <c r="U971" s="5" t="s">
        <v>1210</v>
      </c>
      <c r="Y971" s="8"/>
      <c r="Z971" s="8"/>
      <c r="AA971" s="8"/>
      <c r="AB971" s="8"/>
      <c r="AC971" s="8"/>
      <c r="AD971" s="8"/>
      <c r="AE971" s="25"/>
      <c r="AF971" s="11"/>
      <c r="AG971" s="25"/>
      <c r="AH971" s="11"/>
      <c r="AI971" s="11">
        <v>22</v>
      </c>
      <c r="AJ971" s="19">
        <v>10</v>
      </c>
      <c r="AK971" s="12">
        <f>(AJ971+AI971)/30*7</f>
        <v>7.4666666666666668</v>
      </c>
      <c r="AL971" s="6">
        <f>IF(AK971-C971&lt;0,0,AK971-C971)</f>
        <v>0</v>
      </c>
      <c r="AM971" s="6">
        <f>IF(AL971-R971-S971&lt;0,0,AL971-R971-S971)</f>
        <v>0</v>
      </c>
      <c r="AN971" s="5" t="str">
        <f t="shared" si="31"/>
        <v/>
      </c>
      <c r="AO971" s="5">
        <v>0</v>
      </c>
      <c r="AP971" s="9"/>
      <c r="AQ971" s="5" t="s">
        <v>1210</v>
      </c>
      <c r="AR971" s="5" t="s">
        <v>1210</v>
      </c>
      <c r="AS971" s="8"/>
      <c r="AT971" s="8"/>
      <c r="AU971" s="8"/>
      <c r="AV971" s="8"/>
      <c r="AW971" s="8"/>
      <c r="AX971" s="8"/>
      <c r="AY971" s="8"/>
      <c r="AZ971" s="8"/>
    </row>
    <row r="972" spans="1:52">
      <c r="A972" s="5" t="s">
        <v>332</v>
      </c>
      <c r="B972" s="5">
        <v>647</v>
      </c>
      <c r="C972" s="19">
        <v>738</v>
      </c>
      <c r="E972" s="14"/>
      <c r="F972" s="11"/>
      <c r="G972" s="11"/>
      <c r="H972" s="11"/>
      <c r="I972" s="11"/>
      <c r="J972" s="25"/>
      <c r="K972" s="11"/>
      <c r="L972" s="11"/>
      <c r="M972" s="19">
        <v>0</v>
      </c>
      <c r="O972" s="6"/>
      <c r="P972" s="16">
        <v>494</v>
      </c>
      <c r="Q972" s="16">
        <v>325</v>
      </c>
      <c r="R972" s="22"/>
      <c r="S972" s="22">
        <f t="shared" si="30"/>
        <v>0</v>
      </c>
      <c r="U972" s="5" t="s">
        <v>1210</v>
      </c>
      <c r="Y972" s="8"/>
      <c r="Z972" s="8"/>
      <c r="AA972" s="8"/>
      <c r="AB972" s="8"/>
      <c r="AC972" s="8"/>
      <c r="AD972" s="8"/>
      <c r="AE972" s="25"/>
      <c r="AF972" s="11"/>
      <c r="AG972" s="25"/>
      <c r="AH972" s="11"/>
      <c r="AI972" s="11">
        <v>12</v>
      </c>
      <c r="AJ972" s="19">
        <v>9</v>
      </c>
      <c r="AK972" s="12">
        <f>(AJ972+AI972)/30*7</f>
        <v>4.8999999999999995</v>
      </c>
      <c r="AL972" s="6">
        <f>IF(AK972-C972&lt;0,0,AK972-C972)</f>
        <v>0</v>
      </c>
      <c r="AM972" s="6">
        <f>IF(AL972-R972-S972&lt;0,0,AL972-R972-S972)</f>
        <v>0</v>
      </c>
      <c r="AN972" s="5" t="str">
        <f t="shared" si="31"/>
        <v/>
      </c>
      <c r="AO972" s="5">
        <v>0</v>
      </c>
      <c r="AP972" s="9"/>
      <c r="AQ972" s="5" t="s">
        <v>1210</v>
      </c>
      <c r="AR972" s="5" t="s">
        <v>1230</v>
      </c>
      <c r="AS972" s="8"/>
      <c r="AT972" s="8"/>
      <c r="AU972" s="8"/>
      <c r="AV972" s="8"/>
      <c r="AW972" s="8"/>
      <c r="AX972" s="8"/>
      <c r="AY972" s="8"/>
      <c r="AZ972" s="8"/>
    </row>
    <row r="973" spans="1:52">
      <c r="A973" s="5" t="s">
        <v>341</v>
      </c>
      <c r="B973" s="5">
        <v>757</v>
      </c>
      <c r="C973" s="19">
        <v>573</v>
      </c>
      <c r="E973" s="14"/>
      <c r="F973" s="11"/>
      <c r="G973" s="11"/>
      <c r="H973" s="11"/>
      <c r="I973" s="11"/>
      <c r="J973" s="25"/>
      <c r="K973" s="11"/>
      <c r="L973" s="11"/>
      <c r="M973" s="19">
        <v>0</v>
      </c>
      <c r="O973" s="6"/>
      <c r="P973" s="16">
        <v>217</v>
      </c>
      <c r="Q973" s="16">
        <v>426</v>
      </c>
      <c r="R973" s="22"/>
      <c r="S973" s="22">
        <f t="shared" si="30"/>
        <v>0</v>
      </c>
      <c r="T973" s="5" t="s">
        <v>1210</v>
      </c>
      <c r="U973" s="5" t="s">
        <v>1210</v>
      </c>
      <c r="Y973" s="8"/>
      <c r="Z973" s="8"/>
      <c r="AA973" s="8"/>
      <c r="AB973" s="8"/>
      <c r="AC973" s="8"/>
      <c r="AD973" s="8"/>
      <c r="AE973" s="25"/>
      <c r="AF973" s="11"/>
      <c r="AG973" s="25"/>
      <c r="AH973" s="11"/>
      <c r="AI973" s="11">
        <v>38</v>
      </c>
      <c r="AJ973" s="19">
        <v>0</v>
      </c>
      <c r="AK973" s="12">
        <f>(AJ973+AI973)/30*7</f>
        <v>8.8666666666666671</v>
      </c>
      <c r="AL973" s="6">
        <f>IF(AK973-C973&lt;0,0,AK973-C973)</f>
        <v>0</v>
      </c>
      <c r="AM973" s="6">
        <f>IF(AL973-R973-S973&lt;0,0,AL973-R973-S973)</f>
        <v>0</v>
      </c>
      <c r="AN973" s="5" t="str">
        <f t="shared" si="31"/>
        <v/>
      </c>
      <c r="AO973" s="5">
        <v>0</v>
      </c>
      <c r="AP973" s="9"/>
      <c r="AQ973" s="5" t="s">
        <v>1210</v>
      </c>
      <c r="AR973" s="5" t="s">
        <v>1210</v>
      </c>
      <c r="AS973" s="8"/>
      <c r="AT973" s="8"/>
      <c r="AU973" s="8"/>
      <c r="AV973" s="8"/>
      <c r="AW973" s="8"/>
      <c r="AX973" s="8"/>
      <c r="AY973" s="8"/>
      <c r="AZ973" s="8"/>
    </row>
    <row r="974" spans="1:52">
      <c r="A974" s="5" t="s">
        <v>338</v>
      </c>
      <c r="B974" s="5">
        <v>461</v>
      </c>
      <c r="C974" s="19">
        <v>990</v>
      </c>
      <c r="E974" s="14"/>
      <c r="F974" s="11"/>
      <c r="G974" s="11"/>
      <c r="H974" s="11"/>
      <c r="I974" s="11"/>
      <c r="J974" s="25"/>
      <c r="K974" s="11"/>
      <c r="L974" s="11"/>
      <c r="M974" s="19">
        <v>0</v>
      </c>
      <c r="O974" s="6"/>
      <c r="P974" s="16">
        <v>852</v>
      </c>
      <c r="Q974" s="16">
        <v>341</v>
      </c>
      <c r="R974" s="22"/>
      <c r="S974" s="22">
        <f t="shared" si="30"/>
        <v>0</v>
      </c>
      <c r="U974" s="5" t="s">
        <v>1210</v>
      </c>
      <c r="Y974" s="8"/>
      <c r="Z974" s="8"/>
      <c r="AA974" s="8"/>
      <c r="AB974" s="8"/>
      <c r="AC974" s="8"/>
      <c r="AD974" s="8"/>
      <c r="AE974" s="25"/>
      <c r="AF974" s="11"/>
      <c r="AG974" s="25"/>
      <c r="AH974" s="11"/>
      <c r="AI974" s="11">
        <v>76</v>
      </c>
      <c r="AJ974" s="19">
        <v>5</v>
      </c>
      <c r="AK974" s="12">
        <f>(AJ974+AI974)/30*7</f>
        <v>18.900000000000002</v>
      </c>
      <c r="AL974" s="6">
        <f>IF(AK974-C974&lt;0,0,AK974-C974)</f>
        <v>0</v>
      </c>
      <c r="AM974" s="6">
        <f>IF(AL974-R974-S974&lt;0,0,AL974-R974-S974)</f>
        <v>0</v>
      </c>
      <c r="AN974" s="5" t="str">
        <f t="shared" si="31"/>
        <v/>
      </c>
      <c r="AO974" s="5">
        <v>0</v>
      </c>
      <c r="AP974" s="9"/>
      <c r="AQ974" s="5" t="s">
        <v>1210</v>
      </c>
      <c r="AR974" s="5" t="s">
        <v>1230</v>
      </c>
      <c r="AS974" s="8"/>
      <c r="AT974" s="8"/>
      <c r="AU974" s="8"/>
      <c r="AV974" s="8"/>
      <c r="AW974" s="8"/>
      <c r="AX974" s="8"/>
      <c r="AY974" s="8"/>
      <c r="AZ974" s="8"/>
    </row>
    <row r="975" spans="1:52">
      <c r="A975" s="5" t="s">
        <v>418</v>
      </c>
      <c r="B975" s="5">
        <v>947</v>
      </c>
      <c r="C975" s="19">
        <v>543</v>
      </c>
      <c r="E975" s="14"/>
      <c r="F975" s="11"/>
      <c r="G975" s="11"/>
      <c r="H975" s="11"/>
      <c r="I975" s="11"/>
      <c r="J975" s="25"/>
      <c r="K975" s="11"/>
      <c r="L975" s="11"/>
      <c r="M975" s="19">
        <v>0</v>
      </c>
      <c r="O975" s="6"/>
      <c r="P975" s="16">
        <v>586</v>
      </c>
      <c r="Q975" s="16">
        <v>303</v>
      </c>
      <c r="R975" s="22"/>
      <c r="S975" s="22">
        <f t="shared" si="30"/>
        <v>0</v>
      </c>
      <c r="T975" s="5" t="s">
        <v>1210</v>
      </c>
      <c r="U975" s="5" t="s">
        <v>1210</v>
      </c>
      <c r="Y975" s="8"/>
      <c r="Z975" s="8"/>
      <c r="AA975" s="8"/>
      <c r="AB975" s="8"/>
      <c r="AC975" s="8"/>
      <c r="AD975" s="8"/>
      <c r="AE975" s="25"/>
      <c r="AF975" s="11"/>
      <c r="AG975" s="25"/>
      <c r="AH975" s="11"/>
      <c r="AI975" s="11">
        <v>54</v>
      </c>
      <c r="AJ975" s="19">
        <v>0</v>
      </c>
      <c r="AK975" s="12">
        <f>(AJ975+AI975)/30*7</f>
        <v>12.6</v>
      </c>
      <c r="AL975" s="6">
        <f>IF(AK975-C975&lt;0,0,AK975-C975)</f>
        <v>0</v>
      </c>
      <c r="AM975" s="6">
        <f>IF(AL975-R975-S975&lt;0,0,AL975-R975-S975)</f>
        <v>0</v>
      </c>
      <c r="AN975" s="5" t="str">
        <f t="shared" si="31"/>
        <v/>
      </c>
      <c r="AO975" s="5">
        <v>0</v>
      </c>
      <c r="AP975" s="9"/>
      <c r="AQ975" s="5" t="s">
        <v>1210</v>
      </c>
      <c r="AR975" s="5" t="s">
        <v>1230</v>
      </c>
      <c r="AS975" s="8"/>
      <c r="AT975" s="8"/>
      <c r="AU975" s="8"/>
      <c r="AV975" s="8"/>
      <c r="AW975" s="8"/>
      <c r="AX975" s="8"/>
      <c r="AY975" s="8"/>
      <c r="AZ975" s="8"/>
    </row>
    <row r="976" spans="1:52">
      <c r="A976" s="5" t="s">
        <v>391</v>
      </c>
      <c r="B976" s="5">
        <v>471</v>
      </c>
      <c r="C976" s="19">
        <v>495</v>
      </c>
      <c r="E976" s="14"/>
      <c r="F976" s="11"/>
      <c r="G976" s="11"/>
      <c r="H976" s="11"/>
      <c r="I976" s="11"/>
      <c r="J976" s="25"/>
      <c r="K976" s="11"/>
      <c r="L976" s="11"/>
      <c r="M976" s="19">
        <v>0</v>
      </c>
      <c r="O976" s="6"/>
      <c r="P976" s="16">
        <v>417</v>
      </c>
      <c r="Q976" s="16">
        <v>236</v>
      </c>
      <c r="R976" s="22"/>
      <c r="S976" s="22">
        <f t="shared" si="30"/>
        <v>0</v>
      </c>
      <c r="T976" s="5" t="s">
        <v>1210</v>
      </c>
      <c r="U976" s="5" t="s">
        <v>1210</v>
      </c>
      <c r="Y976" s="8"/>
      <c r="Z976" s="8"/>
      <c r="AA976" s="8"/>
      <c r="AB976" s="8"/>
      <c r="AC976" s="8"/>
      <c r="AD976" s="8"/>
      <c r="AE976" s="25"/>
      <c r="AF976" s="11"/>
      <c r="AG976" s="25"/>
      <c r="AH976" s="11"/>
      <c r="AI976" s="11">
        <v>77</v>
      </c>
      <c r="AJ976" s="19">
        <v>0</v>
      </c>
      <c r="AK976" s="12">
        <f>(AJ976+AI976)/30*7</f>
        <v>17.966666666666669</v>
      </c>
      <c r="AL976" s="6">
        <f>IF(AK976-C976&lt;0,0,AK976-C976)</f>
        <v>0</v>
      </c>
      <c r="AM976" s="6">
        <f>IF(AL976-R976-S976&lt;0,0,AL976-R976-S976)</f>
        <v>0</v>
      </c>
      <c r="AN976" s="5" t="str">
        <f t="shared" si="31"/>
        <v/>
      </c>
      <c r="AO976" s="5">
        <v>0</v>
      </c>
      <c r="AP976" s="9"/>
      <c r="AQ976" s="5" t="s">
        <v>1210</v>
      </c>
      <c r="AR976" s="5" t="s">
        <v>1230</v>
      </c>
      <c r="AS976" s="8"/>
      <c r="AT976" s="8"/>
      <c r="AU976" s="8"/>
      <c r="AV976" s="8"/>
      <c r="AW976" s="8"/>
      <c r="AX976" s="8"/>
      <c r="AY976" s="8"/>
      <c r="AZ976" s="8"/>
    </row>
    <row r="977" spans="1:52">
      <c r="A977" s="5" t="s">
        <v>394</v>
      </c>
      <c r="B977" s="5">
        <v>876</v>
      </c>
      <c r="C977" s="19">
        <v>959</v>
      </c>
      <c r="E977" s="14"/>
      <c r="F977" s="11"/>
      <c r="G977" s="11"/>
      <c r="H977" s="11"/>
      <c r="I977" s="11"/>
      <c r="J977" s="25"/>
      <c r="K977" s="11"/>
      <c r="L977" s="11"/>
      <c r="M977" s="19">
        <v>10</v>
      </c>
      <c r="O977" s="6"/>
      <c r="P977" s="16">
        <v>918</v>
      </c>
      <c r="Q977" s="16">
        <v>501</v>
      </c>
      <c r="R977" s="22"/>
      <c r="S977" s="22">
        <f t="shared" si="30"/>
        <v>0</v>
      </c>
      <c r="T977" s="5" t="s">
        <v>1210</v>
      </c>
      <c r="U977" s="5" t="s">
        <v>1210</v>
      </c>
      <c r="Y977" s="8"/>
      <c r="Z977" s="8"/>
      <c r="AA977" s="8"/>
      <c r="AB977" s="8"/>
      <c r="AC977" s="8"/>
      <c r="AD977" s="8"/>
      <c r="AE977" s="25"/>
      <c r="AF977" s="11"/>
      <c r="AG977" s="25"/>
      <c r="AH977" s="11"/>
      <c r="AI977" s="11">
        <v>70</v>
      </c>
      <c r="AJ977" s="19">
        <v>24</v>
      </c>
      <c r="AK977" s="12">
        <f>(AJ977+AI977)/30*7</f>
        <v>21.933333333333334</v>
      </c>
      <c r="AL977" s="6">
        <f>IF(AK977-C977&lt;0,0,AK977-C977)</f>
        <v>0</v>
      </c>
      <c r="AM977" s="6">
        <f>IF(AL977-R977-S977&lt;0,0,AL977-R977-S977)</f>
        <v>0</v>
      </c>
      <c r="AN977" s="5" t="str">
        <f t="shared" si="31"/>
        <v/>
      </c>
      <c r="AO977" s="5">
        <v>0</v>
      </c>
      <c r="AP977" s="9"/>
      <c r="AQ977" s="5" t="s">
        <v>1210</v>
      </c>
      <c r="AR977" s="5" t="s">
        <v>1210</v>
      </c>
      <c r="AS977" s="8"/>
      <c r="AT977" s="8"/>
      <c r="AU977" s="8"/>
      <c r="AV977" s="8"/>
      <c r="AW977" s="8"/>
      <c r="AX977" s="8"/>
      <c r="AY977" s="8"/>
      <c r="AZ977" s="8"/>
    </row>
    <row r="978" spans="1:52">
      <c r="A978" s="5" t="s">
        <v>524</v>
      </c>
      <c r="B978" s="5">
        <v>1630</v>
      </c>
      <c r="C978" s="19">
        <v>881</v>
      </c>
      <c r="E978" s="14"/>
      <c r="F978" s="11"/>
      <c r="G978" s="11"/>
      <c r="H978" s="11"/>
      <c r="I978" s="11"/>
      <c r="J978" s="25"/>
      <c r="K978" s="11"/>
      <c r="L978" s="11"/>
      <c r="M978" s="19">
        <v>0</v>
      </c>
      <c r="O978" s="6"/>
      <c r="P978" s="16">
        <v>434</v>
      </c>
      <c r="Q978" s="16">
        <v>0</v>
      </c>
      <c r="R978" s="22"/>
      <c r="S978" s="22">
        <f t="shared" si="30"/>
        <v>0</v>
      </c>
      <c r="T978" s="5" t="s">
        <v>1210</v>
      </c>
      <c r="U978" s="5" t="s">
        <v>1210</v>
      </c>
      <c r="Y978" s="8"/>
      <c r="Z978" s="8"/>
      <c r="AA978" s="8"/>
      <c r="AB978" s="8"/>
      <c r="AC978" s="8"/>
      <c r="AD978" s="8"/>
      <c r="AE978" s="25"/>
      <c r="AF978" s="11"/>
      <c r="AG978" s="25"/>
      <c r="AH978" s="11"/>
      <c r="AI978" s="11">
        <v>58</v>
      </c>
      <c r="AJ978" s="19">
        <v>5</v>
      </c>
      <c r="AK978" s="12">
        <f>(AJ978+AI978)/30*7</f>
        <v>14.700000000000001</v>
      </c>
      <c r="AL978" s="6">
        <f>IF(AK978-C978&lt;0,0,AK978-C978)</f>
        <v>0</v>
      </c>
      <c r="AM978" s="6">
        <f>IF(AL978-R978-S978&lt;0,0,AL978-R978-S978)</f>
        <v>0</v>
      </c>
      <c r="AN978" s="5" t="str">
        <f t="shared" si="31"/>
        <v/>
      </c>
      <c r="AO978" s="5">
        <v>0</v>
      </c>
      <c r="AP978" s="9"/>
      <c r="AQ978" s="5" t="s">
        <v>1210</v>
      </c>
      <c r="AR978" s="5" t="s">
        <v>1210</v>
      </c>
      <c r="AS978" s="8"/>
      <c r="AT978" s="8"/>
      <c r="AU978" s="8"/>
      <c r="AV978" s="8"/>
      <c r="AW978" s="8"/>
      <c r="AX978" s="8"/>
      <c r="AY978" s="8"/>
      <c r="AZ978" s="8"/>
    </row>
    <row r="979" spans="1:52">
      <c r="A979" s="5" t="s">
        <v>424</v>
      </c>
      <c r="B979" s="5">
        <v>1351</v>
      </c>
      <c r="C979" s="19">
        <v>870</v>
      </c>
      <c r="E979" s="14"/>
      <c r="F979" s="11"/>
      <c r="G979" s="11"/>
      <c r="H979" s="11"/>
      <c r="I979" s="11"/>
      <c r="J979" s="25"/>
      <c r="K979" s="11"/>
      <c r="L979" s="11"/>
      <c r="M979" s="19">
        <v>0</v>
      </c>
      <c r="O979" s="6"/>
      <c r="P979" s="16">
        <v>435</v>
      </c>
      <c r="Q979" s="16">
        <v>860</v>
      </c>
      <c r="R979" s="22"/>
      <c r="S979" s="22">
        <f t="shared" si="30"/>
        <v>0</v>
      </c>
      <c r="T979" s="5" t="s">
        <v>1210</v>
      </c>
      <c r="U979" s="5" t="s">
        <v>1210</v>
      </c>
      <c r="Y979" s="8"/>
      <c r="Z979" s="8"/>
      <c r="AA979" s="8"/>
      <c r="AB979" s="8"/>
      <c r="AC979" s="8"/>
      <c r="AD979" s="8"/>
      <c r="AE979" s="25"/>
      <c r="AF979" s="11"/>
      <c r="AG979" s="25"/>
      <c r="AH979" s="11"/>
      <c r="AI979" s="11">
        <v>12</v>
      </c>
      <c r="AJ979" s="19">
        <v>6</v>
      </c>
      <c r="AK979" s="12">
        <f>(AJ979+AI979)/30*7</f>
        <v>4.2</v>
      </c>
      <c r="AL979" s="6">
        <f>IF(AK979-C979&lt;0,0,AK979-C979)</f>
        <v>0</v>
      </c>
      <c r="AM979" s="6">
        <f>IF(AL979-R979-S979&lt;0,0,AL979-R979-S979)</f>
        <v>0</v>
      </c>
      <c r="AN979" s="5" t="str">
        <f t="shared" si="31"/>
        <v/>
      </c>
      <c r="AO979" s="5">
        <v>0</v>
      </c>
      <c r="AP979" s="9"/>
      <c r="AQ979" s="5" t="s">
        <v>1210</v>
      </c>
      <c r="AR979" s="5" t="s">
        <v>1230</v>
      </c>
      <c r="AS979" s="8"/>
      <c r="AT979" s="8"/>
      <c r="AU979" s="8"/>
      <c r="AV979" s="8"/>
      <c r="AW979" s="8"/>
      <c r="AX979" s="8"/>
      <c r="AY979" s="8"/>
      <c r="AZ979" s="8"/>
    </row>
    <row r="980" spans="1:52">
      <c r="A980" s="5" t="s">
        <v>485</v>
      </c>
      <c r="B980" s="5">
        <v>1801</v>
      </c>
      <c r="C980" s="19">
        <v>431</v>
      </c>
      <c r="E980" s="14"/>
      <c r="F980" s="11"/>
      <c r="G980" s="11"/>
      <c r="H980" s="11"/>
      <c r="I980" s="11"/>
      <c r="J980" s="25"/>
      <c r="K980" s="11"/>
      <c r="L980" s="11"/>
      <c r="M980" s="19">
        <v>0</v>
      </c>
      <c r="O980" s="6"/>
      <c r="P980" s="16">
        <v>496</v>
      </c>
      <c r="Q980" s="16">
        <v>0</v>
      </c>
      <c r="R980" s="22"/>
      <c r="S980" s="22">
        <f t="shared" si="30"/>
        <v>0</v>
      </c>
      <c r="T980" s="5" t="s">
        <v>1210</v>
      </c>
      <c r="U980" s="5" t="s">
        <v>1210</v>
      </c>
      <c r="Y980" s="8"/>
      <c r="Z980" s="8"/>
      <c r="AA980" s="8"/>
      <c r="AB980" s="8"/>
      <c r="AC980" s="8"/>
      <c r="AD980" s="8"/>
      <c r="AE980" s="25"/>
      <c r="AF980" s="11"/>
      <c r="AG980" s="25"/>
      <c r="AH980" s="11"/>
      <c r="AI980" s="11">
        <v>13</v>
      </c>
      <c r="AJ980" s="19">
        <v>11</v>
      </c>
      <c r="AK980" s="12">
        <f>(AJ980+AI980)/30*7</f>
        <v>5.6000000000000005</v>
      </c>
      <c r="AL980" s="6">
        <f>IF(AK980-C980&lt;0,0,AK980-C980)</f>
        <v>0</v>
      </c>
      <c r="AM980" s="6">
        <f>IF(AL980-R980-S980&lt;0,0,AL980-R980-S980)</f>
        <v>0</v>
      </c>
      <c r="AN980" s="5" t="str">
        <f t="shared" si="31"/>
        <v/>
      </c>
      <c r="AO980" s="5">
        <v>0</v>
      </c>
      <c r="AP980" s="9"/>
      <c r="AQ980" s="5" t="s">
        <v>1210</v>
      </c>
      <c r="AR980" s="5" t="s">
        <v>1210</v>
      </c>
      <c r="AS980" s="8"/>
      <c r="AT980" s="8"/>
      <c r="AU980" s="8"/>
      <c r="AV980" s="8"/>
      <c r="AW980" s="8"/>
      <c r="AX980" s="8"/>
      <c r="AY980" s="8"/>
      <c r="AZ980" s="8"/>
    </row>
    <row r="981" spans="1:52">
      <c r="A981" s="5" t="s">
        <v>534</v>
      </c>
      <c r="B981" s="5" t="s">
        <v>1151</v>
      </c>
      <c r="C981" s="19">
        <v>784</v>
      </c>
      <c r="E981" s="14"/>
      <c r="F981" s="11"/>
      <c r="G981" s="11"/>
      <c r="H981" s="11"/>
      <c r="I981" s="11"/>
      <c r="J981" s="25"/>
      <c r="K981" s="11"/>
      <c r="L981" s="11"/>
      <c r="M981" s="19">
        <v>0</v>
      </c>
      <c r="O981" s="6"/>
      <c r="P981" s="16">
        <v>0</v>
      </c>
      <c r="Q981" s="16">
        <v>454</v>
      </c>
      <c r="R981" s="22"/>
      <c r="S981" s="22">
        <f t="shared" si="30"/>
        <v>0</v>
      </c>
      <c r="T981" s="5" t="s">
        <v>1210</v>
      </c>
      <c r="U981" s="5" t="s">
        <v>1210</v>
      </c>
      <c r="Y981" s="8"/>
      <c r="Z981" s="8"/>
      <c r="AA981" s="8"/>
      <c r="AB981" s="8"/>
      <c r="AC981" s="8"/>
      <c r="AD981" s="8"/>
      <c r="AE981" s="25"/>
      <c r="AF981" s="11"/>
      <c r="AG981" s="25"/>
      <c r="AH981" s="11"/>
      <c r="AI981" s="11">
        <v>57</v>
      </c>
      <c r="AJ981" s="19">
        <v>0</v>
      </c>
      <c r="AK981" s="12">
        <f>(AJ981+AI981)/30*7</f>
        <v>13.299999999999999</v>
      </c>
      <c r="AL981" s="6">
        <f>IF(AK981-C981&lt;0,0,AK981-C981)</f>
        <v>0</v>
      </c>
      <c r="AM981" s="6">
        <f>IF(AL981-R981-S981&lt;0,0,AL981-R981-S981)</f>
        <v>0</v>
      </c>
      <c r="AN981" s="5" t="str">
        <f t="shared" si="31"/>
        <v/>
      </c>
      <c r="AO981" s="5">
        <v>0</v>
      </c>
      <c r="AP981" s="9"/>
      <c r="AQ981" s="5" t="s">
        <v>1210</v>
      </c>
      <c r="AR981" s="5" t="s">
        <v>1210</v>
      </c>
      <c r="AS981" s="8"/>
      <c r="AT981" s="8"/>
      <c r="AU981" s="8"/>
      <c r="AV981" s="8"/>
      <c r="AW981" s="8"/>
      <c r="AX981" s="8"/>
      <c r="AY981" s="8"/>
      <c r="AZ981" s="8"/>
    </row>
    <row r="982" spans="1:52">
      <c r="A982" s="5" t="s">
        <v>453</v>
      </c>
      <c r="B982" s="5">
        <v>1329</v>
      </c>
      <c r="C982" s="19">
        <v>531</v>
      </c>
      <c r="E982" s="14"/>
      <c r="F982" s="11"/>
      <c r="G982" s="11"/>
      <c r="H982" s="11"/>
      <c r="I982" s="11"/>
      <c r="J982" s="25"/>
      <c r="K982" s="11"/>
      <c r="L982" s="11"/>
      <c r="M982" s="19">
        <v>1</v>
      </c>
      <c r="O982" s="6"/>
      <c r="P982" s="16">
        <v>837</v>
      </c>
      <c r="Q982" s="16">
        <v>0</v>
      </c>
      <c r="R982" s="22"/>
      <c r="S982" s="22">
        <f t="shared" si="30"/>
        <v>0</v>
      </c>
      <c r="T982" s="5" t="s">
        <v>1210</v>
      </c>
      <c r="U982" s="5" t="s">
        <v>1210</v>
      </c>
      <c r="Y982" s="8"/>
      <c r="Z982" s="8"/>
      <c r="AA982" s="8"/>
      <c r="AB982" s="8"/>
      <c r="AC982" s="8"/>
      <c r="AD982" s="8"/>
      <c r="AE982" s="25"/>
      <c r="AF982" s="11"/>
      <c r="AG982" s="25"/>
      <c r="AH982" s="11"/>
      <c r="AI982" s="11">
        <v>42</v>
      </c>
      <c r="AJ982" s="19">
        <v>0</v>
      </c>
      <c r="AK982" s="12">
        <f>(AJ982+AI982)/30*7</f>
        <v>9.7999999999999989</v>
      </c>
      <c r="AL982" s="6">
        <f>IF(AK982-C982&lt;0,0,AK982-C982)</f>
        <v>0</v>
      </c>
      <c r="AM982" s="6">
        <f>IF(AL982-R982-S982&lt;0,0,AL982-R982-S982)</f>
        <v>0</v>
      </c>
      <c r="AN982" s="5" t="str">
        <f t="shared" si="31"/>
        <v/>
      </c>
      <c r="AO982" s="5">
        <v>0</v>
      </c>
      <c r="AP982" s="9"/>
      <c r="AQ982" s="5" t="s">
        <v>1210</v>
      </c>
      <c r="AR982" s="5" t="s">
        <v>1210</v>
      </c>
      <c r="AS982" s="8"/>
      <c r="AT982" s="8"/>
      <c r="AU982" s="8"/>
      <c r="AV982" s="8"/>
      <c r="AW982" s="8"/>
      <c r="AX982" s="8"/>
      <c r="AY982" s="8"/>
      <c r="AZ982" s="8"/>
    </row>
    <row r="983" spans="1:52">
      <c r="A983" s="5" t="s">
        <v>421</v>
      </c>
      <c r="B983" s="5">
        <v>731</v>
      </c>
      <c r="C983" s="19">
        <v>446</v>
      </c>
      <c r="E983" s="14"/>
      <c r="F983" s="11"/>
      <c r="G983" s="11"/>
      <c r="H983" s="11"/>
      <c r="I983" s="11"/>
      <c r="J983" s="25"/>
      <c r="K983" s="11"/>
      <c r="L983" s="11"/>
      <c r="M983" s="19">
        <v>0</v>
      </c>
      <c r="O983" s="6"/>
      <c r="P983" s="16">
        <v>580</v>
      </c>
      <c r="Q983" s="16">
        <v>0</v>
      </c>
      <c r="R983" s="22"/>
      <c r="S983" s="22">
        <f t="shared" si="30"/>
        <v>0</v>
      </c>
      <c r="U983" s="5" t="s">
        <v>1210</v>
      </c>
      <c r="Y983" s="8"/>
      <c r="Z983" s="8"/>
      <c r="AA983" s="8"/>
      <c r="AB983" s="8"/>
      <c r="AC983" s="8"/>
      <c r="AD983" s="8"/>
      <c r="AE983" s="25"/>
      <c r="AF983" s="11"/>
      <c r="AG983" s="25"/>
      <c r="AH983" s="11"/>
      <c r="AI983" s="11">
        <v>78</v>
      </c>
      <c r="AJ983" s="19">
        <v>5</v>
      </c>
      <c r="AK983" s="12">
        <f>(AJ983+AI983)/30*7</f>
        <v>19.366666666666667</v>
      </c>
      <c r="AL983" s="6">
        <f>IF(AK983-C983&lt;0,0,AK983-C983)</f>
        <v>0</v>
      </c>
      <c r="AM983" s="6">
        <f>IF(AL983-R983-S983&lt;0,0,AL983-R983-S983)</f>
        <v>0</v>
      </c>
      <c r="AN983" s="5" t="str">
        <f t="shared" si="31"/>
        <v/>
      </c>
      <c r="AO983" s="5">
        <v>0</v>
      </c>
      <c r="AP983" s="9"/>
      <c r="AQ983" s="5" t="s">
        <v>1210</v>
      </c>
      <c r="AR983" s="5" t="s">
        <v>1230</v>
      </c>
      <c r="AS983" s="8"/>
      <c r="AT983" s="8"/>
      <c r="AU983" s="8"/>
      <c r="AV983" s="8"/>
      <c r="AW983" s="8"/>
      <c r="AX983" s="8"/>
      <c r="AY983" s="8"/>
      <c r="AZ983" s="8"/>
    </row>
    <row r="984" spans="1:52">
      <c r="A984" s="5" t="s">
        <v>1110</v>
      </c>
      <c r="B984" s="5">
        <v>1120</v>
      </c>
      <c r="C984" s="19">
        <v>477</v>
      </c>
      <c r="E984" s="14"/>
      <c r="F984" s="11"/>
      <c r="G984" s="11"/>
      <c r="H984" s="11"/>
      <c r="I984" s="11"/>
      <c r="J984" s="25"/>
      <c r="K984" s="11"/>
      <c r="L984" s="11"/>
      <c r="M984" s="19">
        <v>0</v>
      </c>
      <c r="O984" s="6"/>
      <c r="P984" s="16">
        <v>712</v>
      </c>
      <c r="Q984" s="16">
        <v>262</v>
      </c>
      <c r="R984" s="22"/>
      <c r="S984" s="22">
        <f t="shared" si="30"/>
        <v>0</v>
      </c>
      <c r="T984" s="5" t="s">
        <v>1210</v>
      </c>
      <c r="U984" s="5" t="s">
        <v>1210</v>
      </c>
      <c r="Y984" s="8"/>
      <c r="Z984" s="8"/>
      <c r="AA984" s="8"/>
      <c r="AB984" s="8"/>
      <c r="AC984" s="8"/>
      <c r="AD984" s="8"/>
      <c r="AE984" s="25"/>
      <c r="AF984" s="11"/>
      <c r="AG984" s="25"/>
      <c r="AH984" s="11"/>
      <c r="AI984" s="11">
        <v>77</v>
      </c>
      <c r="AJ984" s="19">
        <v>4</v>
      </c>
      <c r="AK984" s="12">
        <f>(AJ984+AI984)/30*7</f>
        <v>18.900000000000002</v>
      </c>
      <c r="AL984" s="6">
        <f>IF(AK984-C984&lt;0,0,AK984-C984)</f>
        <v>0</v>
      </c>
      <c r="AM984" s="6">
        <f>IF(AL984-R984-S984&lt;0,0,AL984-R984-S984)</f>
        <v>0</v>
      </c>
      <c r="AN984" s="5" t="str">
        <f t="shared" si="31"/>
        <v/>
      </c>
      <c r="AO984" s="5">
        <v>0</v>
      </c>
      <c r="AP984" s="9"/>
      <c r="AQ984" s="5" t="s">
        <v>1210</v>
      </c>
      <c r="AR984" s="5" t="s">
        <v>1230</v>
      </c>
      <c r="AS984" s="8"/>
      <c r="AT984" s="8"/>
      <c r="AU984" s="8"/>
      <c r="AV984" s="8"/>
      <c r="AW984" s="8"/>
      <c r="AX984" s="8"/>
      <c r="AY984" s="8"/>
      <c r="AZ984" s="8"/>
    </row>
    <row r="985" spans="1:52">
      <c r="A985" s="5" t="s">
        <v>958</v>
      </c>
      <c r="B985" s="5" t="s">
        <v>1191</v>
      </c>
      <c r="C985" s="19">
        <v>479</v>
      </c>
      <c r="E985" s="14"/>
      <c r="F985" s="11"/>
      <c r="G985" s="11"/>
      <c r="H985" s="11"/>
      <c r="I985" s="11"/>
      <c r="J985" s="25"/>
      <c r="K985" s="11"/>
      <c r="L985" s="11"/>
      <c r="M985" s="19">
        <v>0</v>
      </c>
      <c r="O985" s="6"/>
      <c r="P985" s="16">
        <v>449</v>
      </c>
      <c r="Q985" s="16">
        <v>0</v>
      </c>
      <c r="R985" s="22"/>
      <c r="S985" s="22">
        <f t="shared" si="30"/>
        <v>0</v>
      </c>
      <c r="T985" s="5" t="s">
        <v>1210</v>
      </c>
      <c r="U985" s="5" t="s">
        <v>1210</v>
      </c>
      <c r="Y985" s="8"/>
      <c r="Z985" s="8"/>
      <c r="AA985" s="8"/>
      <c r="AB985" s="8"/>
      <c r="AC985" s="8"/>
      <c r="AD985" s="8"/>
      <c r="AE985" s="25"/>
      <c r="AF985" s="11"/>
      <c r="AG985" s="25"/>
      <c r="AH985" s="11"/>
      <c r="AI985" s="11">
        <v>98</v>
      </c>
      <c r="AJ985" s="19">
        <v>4</v>
      </c>
      <c r="AK985" s="12">
        <f>(AJ985+AI985)/30*7</f>
        <v>23.8</v>
      </c>
      <c r="AL985" s="6">
        <f>IF(AK985-C985&lt;0,0,AK985-C985)</f>
        <v>0</v>
      </c>
      <c r="AM985" s="6">
        <f>IF(AL985-R985-S985&lt;0,0,AL985-R985-S985)</f>
        <v>0</v>
      </c>
      <c r="AN985" s="5" t="str">
        <f t="shared" si="31"/>
        <v/>
      </c>
      <c r="AO985" s="5">
        <v>0</v>
      </c>
      <c r="AP985" s="9"/>
      <c r="AQ985" s="5" t="s">
        <v>1210</v>
      </c>
      <c r="AR985" s="5" t="s">
        <v>1210</v>
      </c>
      <c r="AS985" s="8"/>
      <c r="AT985" s="8"/>
      <c r="AU985" s="8"/>
      <c r="AV985" s="8"/>
      <c r="AW985" s="8"/>
      <c r="AX985" s="8"/>
      <c r="AY985" s="8"/>
      <c r="AZ985" s="8"/>
    </row>
    <row r="986" spans="1:52">
      <c r="A986" s="5" t="s">
        <v>520</v>
      </c>
      <c r="B986" s="5">
        <v>451</v>
      </c>
      <c r="C986" s="19">
        <v>297</v>
      </c>
      <c r="E986" s="14"/>
      <c r="F986" s="11"/>
      <c r="G986" s="11"/>
      <c r="H986" s="11"/>
      <c r="I986" s="11"/>
      <c r="J986" s="25"/>
      <c r="K986" s="11"/>
      <c r="L986" s="11"/>
      <c r="M986" s="19">
        <v>0</v>
      </c>
      <c r="O986" s="6"/>
      <c r="P986" s="16">
        <v>0</v>
      </c>
      <c r="Q986" s="16">
        <v>0</v>
      </c>
      <c r="R986" s="22"/>
      <c r="S986" s="22">
        <f t="shared" si="30"/>
        <v>0</v>
      </c>
      <c r="T986" s="5" t="s">
        <v>1210</v>
      </c>
      <c r="U986" s="5" t="s">
        <v>1210</v>
      </c>
      <c r="Y986" s="8"/>
      <c r="Z986" s="8"/>
      <c r="AA986" s="8"/>
      <c r="AB986" s="8"/>
      <c r="AC986" s="8"/>
      <c r="AD986" s="8"/>
      <c r="AE986" s="25"/>
      <c r="AF986" s="11"/>
      <c r="AG986" s="25"/>
      <c r="AH986" s="11"/>
      <c r="AI986" s="11">
        <v>75</v>
      </c>
      <c r="AJ986" s="19">
        <v>8</v>
      </c>
      <c r="AK986" s="12">
        <f>(AJ986+AI986)/30*7</f>
        <v>19.366666666666667</v>
      </c>
      <c r="AL986" s="6">
        <f>IF(AK986-C986&lt;0,0,AK986-C986)</f>
        <v>0</v>
      </c>
      <c r="AM986" s="6">
        <f>IF(AL986-R986-S986&lt;0,0,AL986-R986-S986)</f>
        <v>0</v>
      </c>
      <c r="AN986" s="5" t="str">
        <f t="shared" si="31"/>
        <v/>
      </c>
      <c r="AO986" s="5">
        <v>0</v>
      </c>
      <c r="AP986" s="9"/>
      <c r="AQ986" s="5" t="s">
        <v>1210</v>
      </c>
      <c r="AR986" s="5" t="s">
        <v>1210</v>
      </c>
      <c r="AS986" s="8"/>
      <c r="AT986" s="8"/>
      <c r="AU986" s="8"/>
      <c r="AV986" s="8"/>
      <c r="AW986" s="8"/>
      <c r="AX986" s="8"/>
      <c r="AY986" s="8"/>
      <c r="AZ986" s="8"/>
    </row>
    <row r="987" spans="1:52">
      <c r="A987" s="5" t="s">
        <v>514</v>
      </c>
      <c r="B987" s="5">
        <v>1784</v>
      </c>
      <c r="C987" s="19">
        <v>758</v>
      </c>
      <c r="E987" s="14"/>
      <c r="F987" s="11"/>
      <c r="G987" s="11"/>
      <c r="H987" s="11"/>
      <c r="I987" s="11"/>
      <c r="J987" s="25"/>
      <c r="K987" s="11"/>
      <c r="L987" s="11"/>
      <c r="M987" s="19">
        <v>0</v>
      </c>
      <c r="O987" s="6"/>
      <c r="P987" s="16">
        <v>740</v>
      </c>
      <c r="Q987" s="16">
        <v>0</v>
      </c>
      <c r="R987" s="22"/>
      <c r="S987" s="22">
        <f t="shared" si="30"/>
        <v>0</v>
      </c>
      <c r="T987" s="5" t="s">
        <v>1210</v>
      </c>
      <c r="U987" s="5" t="s">
        <v>1210</v>
      </c>
      <c r="Y987" s="8"/>
      <c r="Z987" s="8"/>
      <c r="AA987" s="8"/>
      <c r="AB987" s="8"/>
      <c r="AC987" s="8"/>
      <c r="AD987" s="8"/>
      <c r="AE987" s="25"/>
      <c r="AF987" s="11"/>
      <c r="AG987" s="25"/>
      <c r="AH987" s="11"/>
      <c r="AI987" s="11">
        <v>58</v>
      </c>
      <c r="AJ987" s="19">
        <v>8</v>
      </c>
      <c r="AK987" s="12">
        <f>(AJ987+AI987)/30*7</f>
        <v>15.400000000000002</v>
      </c>
      <c r="AL987" s="6">
        <f>IF(AK987-C987&lt;0,0,AK987-C987)</f>
        <v>0</v>
      </c>
      <c r="AM987" s="6">
        <f>IF(AL987-R987-S987&lt;0,0,AL987-R987-S987)</f>
        <v>0</v>
      </c>
      <c r="AN987" s="5" t="str">
        <f t="shared" si="31"/>
        <v/>
      </c>
      <c r="AO987" s="5">
        <v>0</v>
      </c>
      <c r="AP987" s="9"/>
      <c r="AQ987" s="5" t="s">
        <v>1210</v>
      </c>
      <c r="AR987" s="5" t="s">
        <v>1210</v>
      </c>
      <c r="AS987" s="8"/>
      <c r="AT987" s="8"/>
      <c r="AU987" s="8"/>
      <c r="AV987" s="8"/>
      <c r="AW987" s="8"/>
      <c r="AX987" s="8"/>
      <c r="AY987" s="8"/>
      <c r="AZ987" s="8"/>
    </row>
    <row r="988" spans="1:52">
      <c r="A988" s="5" t="s">
        <v>982</v>
      </c>
      <c r="B988" s="5">
        <v>2219</v>
      </c>
      <c r="C988" s="19">
        <v>726</v>
      </c>
      <c r="E988" s="14"/>
      <c r="F988" s="11"/>
      <c r="G988" s="11"/>
      <c r="H988" s="11"/>
      <c r="I988" s="11"/>
      <c r="J988" s="25"/>
      <c r="K988" s="11"/>
      <c r="L988" s="11"/>
      <c r="M988" s="19">
        <v>0</v>
      </c>
      <c r="O988" s="6"/>
      <c r="P988" s="16">
        <v>642</v>
      </c>
      <c r="Q988" s="16">
        <v>0</v>
      </c>
      <c r="R988" s="22"/>
      <c r="S988" s="22">
        <f t="shared" si="30"/>
        <v>0</v>
      </c>
      <c r="T988" s="5" t="s">
        <v>1210</v>
      </c>
      <c r="U988" s="5" t="s">
        <v>1210</v>
      </c>
      <c r="Y988" s="8"/>
      <c r="Z988" s="8"/>
      <c r="AA988" s="8"/>
      <c r="AB988" s="8"/>
      <c r="AC988" s="8"/>
      <c r="AD988" s="8"/>
      <c r="AE988" s="25"/>
      <c r="AF988" s="11"/>
      <c r="AG988" s="25"/>
      <c r="AH988" s="11"/>
      <c r="AI988" s="11">
        <v>83</v>
      </c>
      <c r="AJ988" s="19">
        <v>41</v>
      </c>
      <c r="AK988" s="12">
        <f>(AJ988+AI988)/30*7</f>
        <v>28.933333333333337</v>
      </c>
      <c r="AL988" s="6">
        <f>IF(AK988-C988&lt;0,0,AK988-C988)</f>
        <v>0</v>
      </c>
      <c r="AM988" s="6">
        <f>IF(AL988-R988-S988&lt;0,0,AL988-R988-S988)</f>
        <v>0</v>
      </c>
      <c r="AN988" s="5" t="str">
        <f t="shared" si="31"/>
        <v/>
      </c>
      <c r="AO988" s="5">
        <v>0</v>
      </c>
      <c r="AP988" s="9"/>
      <c r="AQ988" s="5" t="s">
        <v>1210</v>
      </c>
      <c r="AR988" s="5" t="s">
        <v>1210</v>
      </c>
      <c r="AS988" s="8"/>
      <c r="AT988" s="8"/>
      <c r="AU988" s="8"/>
      <c r="AV988" s="8"/>
      <c r="AW988" s="8"/>
      <c r="AX988" s="8"/>
      <c r="AY988" s="8"/>
      <c r="AZ988" s="8"/>
    </row>
    <row r="989" spans="1:52">
      <c r="A989" s="5" t="s">
        <v>867</v>
      </c>
      <c r="B989" s="5">
        <v>777</v>
      </c>
      <c r="C989" s="19">
        <v>303</v>
      </c>
      <c r="E989" s="14"/>
      <c r="F989" s="11"/>
      <c r="G989" s="11"/>
      <c r="H989" s="11"/>
      <c r="I989" s="11"/>
      <c r="J989" s="25"/>
      <c r="K989" s="11"/>
      <c r="L989" s="11"/>
      <c r="M989" s="19">
        <v>0</v>
      </c>
      <c r="O989" s="6"/>
      <c r="P989" s="16">
        <v>352</v>
      </c>
      <c r="Q989" s="16">
        <v>353</v>
      </c>
      <c r="R989" s="22"/>
      <c r="S989" s="22">
        <f t="shared" si="30"/>
        <v>0</v>
      </c>
      <c r="T989" s="5" t="s">
        <v>1210</v>
      </c>
      <c r="U989" s="5" t="s">
        <v>1210</v>
      </c>
      <c r="Y989" s="8"/>
      <c r="Z989" s="8"/>
      <c r="AA989" s="8"/>
      <c r="AB989" s="8"/>
      <c r="AC989" s="8"/>
      <c r="AD989" s="8"/>
      <c r="AE989" s="25"/>
      <c r="AF989" s="11"/>
      <c r="AG989" s="25"/>
      <c r="AH989" s="11"/>
      <c r="AI989" s="11">
        <v>13</v>
      </c>
      <c r="AJ989" s="19">
        <v>0</v>
      </c>
      <c r="AK989" s="12">
        <f>(AJ989+AI989)/30*7</f>
        <v>3.0333333333333332</v>
      </c>
      <c r="AL989" s="6">
        <f>IF(AK989-C989&lt;0,0,AK989-C989)</f>
        <v>0</v>
      </c>
      <c r="AM989" s="6">
        <f>IF(AL989-R989-S989&lt;0,0,AL989-R989-S989)</f>
        <v>0</v>
      </c>
      <c r="AN989" s="5" t="str">
        <f t="shared" si="31"/>
        <v/>
      </c>
      <c r="AO989" s="5">
        <v>0</v>
      </c>
      <c r="AP989" s="9"/>
      <c r="AQ989" s="5" t="s">
        <v>1210</v>
      </c>
      <c r="AR989" s="5" t="s">
        <v>1230</v>
      </c>
      <c r="AS989" s="8"/>
      <c r="AT989" s="8"/>
      <c r="AU989" s="8"/>
      <c r="AV989" s="8"/>
      <c r="AW989" s="8"/>
      <c r="AX989" s="8"/>
      <c r="AY989" s="8"/>
      <c r="AZ989" s="8"/>
    </row>
    <row r="990" spans="1:52">
      <c r="A990" s="5" t="s">
        <v>761</v>
      </c>
      <c r="B990" s="5">
        <v>1365</v>
      </c>
      <c r="C990" s="19">
        <v>892</v>
      </c>
      <c r="E990" s="14"/>
      <c r="F990" s="11"/>
      <c r="G990" s="11"/>
      <c r="H990" s="11"/>
      <c r="I990" s="11"/>
      <c r="J990" s="25"/>
      <c r="K990" s="11"/>
      <c r="L990" s="11"/>
      <c r="M990" s="19">
        <v>0</v>
      </c>
      <c r="O990" s="6"/>
      <c r="P990" s="16">
        <v>775</v>
      </c>
      <c r="Q990" s="16">
        <v>0</v>
      </c>
      <c r="R990" s="22"/>
      <c r="S990" s="22">
        <f t="shared" si="30"/>
        <v>0</v>
      </c>
      <c r="T990" s="5" t="s">
        <v>1210</v>
      </c>
      <c r="U990" s="5" t="s">
        <v>1210</v>
      </c>
      <c r="Y990" s="8"/>
      <c r="Z990" s="8"/>
      <c r="AA990" s="8"/>
      <c r="AB990" s="8"/>
      <c r="AC990" s="8"/>
      <c r="AD990" s="8"/>
      <c r="AE990" s="25"/>
      <c r="AF990" s="11"/>
      <c r="AG990" s="25"/>
      <c r="AH990" s="11"/>
      <c r="AI990" s="11">
        <v>91</v>
      </c>
      <c r="AJ990" s="19">
        <v>0</v>
      </c>
      <c r="AK990" s="12">
        <f>(AJ990+AI990)/30*7</f>
        <v>21.233333333333334</v>
      </c>
      <c r="AL990" s="6">
        <f>IF(AK990-C990&lt;0,0,AK990-C990)</f>
        <v>0</v>
      </c>
      <c r="AM990" s="6">
        <f>IF(AL990-R990-S990&lt;0,0,AL990-R990-S990)</f>
        <v>0</v>
      </c>
      <c r="AN990" s="5" t="str">
        <f t="shared" si="31"/>
        <v/>
      </c>
      <c r="AO990" s="5">
        <v>0</v>
      </c>
      <c r="AP990" s="9"/>
      <c r="AQ990" s="5" t="s">
        <v>1210</v>
      </c>
      <c r="AR990" s="5" t="s">
        <v>1210</v>
      </c>
      <c r="AS990" s="8"/>
      <c r="AT990" s="8"/>
      <c r="AU990" s="8"/>
      <c r="AV990" s="8"/>
      <c r="AW990" s="8"/>
      <c r="AX990" s="8"/>
      <c r="AY990" s="8"/>
      <c r="AZ990" s="8"/>
    </row>
    <row r="991" spans="1:52">
      <c r="A991" s="5" t="s">
        <v>853</v>
      </c>
      <c r="B991" s="5">
        <v>2117</v>
      </c>
      <c r="C991" s="19">
        <v>691</v>
      </c>
      <c r="E991" s="14"/>
      <c r="F991" s="11"/>
      <c r="G991" s="11"/>
      <c r="H991" s="11"/>
      <c r="I991" s="11"/>
      <c r="J991" s="25"/>
      <c r="K991" s="11"/>
      <c r="L991" s="11"/>
      <c r="M991" s="19">
        <v>0</v>
      </c>
      <c r="O991" s="6"/>
      <c r="P991" s="16">
        <v>866</v>
      </c>
      <c r="Q991" s="16">
        <v>0</v>
      </c>
      <c r="R991" s="22"/>
      <c r="S991" s="22">
        <f t="shared" si="30"/>
        <v>0</v>
      </c>
      <c r="T991" s="5" t="s">
        <v>1210</v>
      </c>
      <c r="U991" s="5" t="s">
        <v>1210</v>
      </c>
      <c r="Y991" s="8"/>
      <c r="Z991" s="8"/>
      <c r="AA991" s="8"/>
      <c r="AB991" s="8"/>
      <c r="AC991" s="8"/>
      <c r="AD991" s="8"/>
      <c r="AE991" s="25"/>
      <c r="AF991" s="11"/>
      <c r="AG991" s="25"/>
      <c r="AH991" s="11"/>
      <c r="AI991" s="11">
        <v>3</v>
      </c>
      <c r="AJ991" s="19">
        <v>1</v>
      </c>
      <c r="AK991" s="12">
        <f>(AJ991+AI991)/30*7</f>
        <v>0.93333333333333335</v>
      </c>
      <c r="AL991" s="6">
        <f>IF(AK991-C991&lt;0,0,AK991-C991)</f>
        <v>0</v>
      </c>
      <c r="AM991" s="6">
        <f>IF(AL991-R991-S991&lt;0,0,AL991-R991-S991)</f>
        <v>0</v>
      </c>
      <c r="AN991" s="5" t="str">
        <f t="shared" si="31"/>
        <v/>
      </c>
      <c r="AO991" s="5">
        <v>0</v>
      </c>
      <c r="AP991" s="9"/>
      <c r="AQ991" s="5" t="s">
        <v>1210</v>
      </c>
      <c r="AR991" s="5" t="s">
        <v>1210</v>
      </c>
      <c r="AS991" s="8"/>
      <c r="AT991" s="8"/>
      <c r="AU991" s="8"/>
      <c r="AV991" s="8"/>
      <c r="AW991" s="8"/>
      <c r="AX991" s="8"/>
      <c r="AY991" s="8"/>
      <c r="AZ991" s="8"/>
    </row>
    <row r="992" spans="1:52">
      <c r="A992" s="5" t="s">
        <v>662</v>
      </c>
      <c r="B992" s="5">
        <v>1479</v>
      </c>
      <c r="C992" s="19">
        <v>545</v>
      </c>
      <c r="E992" s="14"/>
      <c r="F992" s="11"/>
      <c r="G992" s="11"/>
      <c r="H992" s="11"/>
      <c r="I992" s="11"/>
      <c r="J992" s="25"/>
      <c r="K992" s="11"/>
      <c r="L992" s="11"/>
      <c r="M992" s="19">
        <v>0</v>
      </c>
      <c r="O992" s="6"/>
      <c r="P992" s="16">
        <v>919</v>
      </c>
      <c r="Q992" s="16">
        <v>915</v>
      </c>
      <c r="R992" s="22"/>
      <c r="S992" s="22">
        <f t="shared" si="30"/>
        <v>0</v>
      </c>
      <c r="T992" s="5" t="s">
        <v>1210</v>
      </c>
      <c r="U992" s="5" t="s">
        <v>1210</v>
      </c>
      <c r="Y992" s="8"/>
      <c r="Z992" s="8"/>
      <c r="AA992" s="8"/>
      <c r="AB992" s="8"/>
      <c r="AC992" s="8"/>
      <c r="AD992" s="8"/>
      <c r="AE992" s="25"/>
      <c r="AF992" s="11"/>
      <c r="AG992" s="25"/>
      <c r="AH992" s="11"/>
      <c r="AI992" s="11">
        <v>67</v>
      </c>
      <c r="AJ992" s="19">
        <v>0</v>
      </c>
      <c r="AK992" s="12">
        <f>(AJ992+AI992)/30*7</f>
        <v>15.633333333333333</v>
      </c>
      <c r="AL992" s="6">
        <f>IF(AK992-C992&lt;0,0,AK992-C992)</f>
        <v>0</v>
      </c>
      <c r="AM992" s="6">
        <f>IF(AL992-R992-S992&lt;0,0,AL992-R992-S992)</f>
        <v>0</v>
      </c>
      <c r="AN992" s="5" t="str">
        <f t="shared" si="31"/>
        <v/>
      </c>
      <c r="AO992" s="5">
        <v>0</v>
      </c>
      <c r="AP992" s="9"/>
      <c r="AQ992" s="5" t="s">
        <v>1210</v>
      </c>
      <c r="AR992" s="5" t="s">
        <v>1230</v>
      </c>
      <c r="AS992" s="8"/>
      <c r="AT992" s="8"/>
      <c r="AU992" s="8"/>
      <c r="AV992" s="8"/>
      <c r="AW992" s="8"/>
      <c r="AX992" s="8"/>
      <c r="AY992" s="8"/>
      <c r="AZ992" s="8"/>
    </row>
    <row r="993" spans="1:52">
      <c r="A993" s="5" t="s">
        <v>958</v>
      </c>
      <c r="B993" s="5" t="s">
        <v>1191</v>
      </c>
      <c r="C993" s="19">
        <v>479</v>
      </c>
      <c r="E993" s="14"/>
      <c r="F993" s="11"/>
      <c r="G993" s="11"/>
      <c r="H993" s="11"/>
      <c r="I993" s="11"/>
      <c r="J993" s="25"/>
      <c r="K993" s="11"/>
      <c r="L993" s="11"/>
      <c r="M993" s="19">
        <v>0</v>
      </c>
      <c r="O993" s="6"/>
      <c r="P993" s="16">
        <v>449</v>
      </c>
      <c r="Q993" s="16">
        <v>0</v>
      </c>
      <c r="R993" s="22"/>
      <c r="S993" s="22">
        <f t="shared" si="30"/>
        <v>0</v>
      </c>
      <c r="T993" s="5" t="s">
        <v>1210</v>
      </c>
      <c r="U993" s="5" t="s">
        <v>1210</v>
      </c>
      <c r="Y993" s="8"/>
      <c r="Z993" s="8"/>
      <c r="AA993" s="8"/>
      <c r="AB993" s="8"/>
      <c r="AC993" s="8"/>
      <c r="AD993" s="8"/>
      <c r="AE993" s="25"/>
      <c r="AF993" s="11"/>
      <c r="AG993" s="25"/>
      <c r="AH993" s="11"/>
      <c r="AI993" s="11">
        <v>81</v>
      </c>
      <c r="AJ993" s="19">
        <v>4</v>
      </c>
      <c r="AK993" s="12">
        <f>(AJ993+AI993)/30*7</f>
        <v>19.833333333333336</v>
      </c>
      <c r="AL993" s="6">
        <f>IF(AK993-C993&lt;0,0,AK993-C993)</f>
        <v>0</v>
      </c>
      <c r="AM993" s="6">
        <f>IF(AL993-R993-S993&lt;0,0,AL993-R993-S993)</f>
        <v>0</v>
      </c>
      <c r="AN993" s="5" t="str">
        <f t="shared" si="31"/>
        <v/>
      </c>
      <c r="AO993" s="5">
        <v>0</v>
      </c>
      <c r="AP993" s="9"/>
      <c r="AQ993" s="5" t="s">
        <v>1210</v>
      </c>
      <c r="AR993" s="5" t="s">
        <v>1210</v>
      </c>
      <c r="AS993" s="8"/>
      <c r="AT993" s="8"/>
      <c r="AU993" s="8"/>
      <c r="AV993" s="8"/>
      <c r="AW993" s="8"/>
      <c r="AX993" s="8"/>
      <c r="AY993" s="8"/>
      <c r="AZ993" s="8"/>
    </row>
    <row r="994" spans="1:52">
      <c r="A994" s="5" t="s">
        <v>491</v>
      </c>
      <c r="B994" s="5">
        <v>1901</v>
      </c>
      <c r="C994" s="19">
        <v>875</v>
      </c>
      <c r="E994" s="14"/>
      <c r="F994" s="11"/>
      <c r="G994" s="11"/>
      <c r="H994" s="11"/>
      <c r="I994" s="11"/>
      <c r="J994" s="25"/>
      <c r="K994" s="11"/>
      <c r="L994" s="11"/>
      <c r="M994" s="19">
        <v>0</v>
      </c>
      <c r="O994" s="6"/>
      <c r="P994" s="16">
        <v>449</v>
      </c>
      <c r="Q994" s="16">
        <v>0</v>
      </c>
      <c r="R994" s="22"/>
      <c r="S994" s="22">
        <f t="shared" si="30"/>
        <v>0</v>
      </c>
      <c r="T994" s="5" t="s">
        <v>1210</v>
      </c>
      <c r="U994" s="5" t="s">
        <v>1210</v>
      </c>
      <c r="Y994" s="8"/>
      <c r="Z994" s="8"/>
      <c r="AA994" s="8"/>
      <c r="AB994" s="8"/>
      <c r="AC994" s="8"/>
      <c r="AD994" s="8"/>
      <c r="AE994" s="25"/>
      <c r="AF994" s="11"/>
      <c r="AG994" s="25"/>
      <c r="AH994" s="11"/>
      <c r="AI994" s="11">
        <v>99</v>
      </c>
      <c r="AJ994" s="19">
        <v>28</v>
      </c>
      <c r="AK994" s="12">
        <f>(AJ994+AI994)/30*7</f>
        <v>29.633333333333333</v>
      </c>
      <c r="AL994" s="6">
        <f>IF(AK994-C994&lt;0,0,AK994-C994)</f>
        <v>0</v>
      </c>
      <c r="AM994" s="6">
        <f>IF(AL994-R994-S994&lt;0,0,AL994-R994-S994)</f>
        <v>0</v>
      </c>
      <c r="AN994" s="5" t="str">
        <f t="shared" si="31"/>
        <v/>
      </c>
      <c r="AO994" s="5">
        <v>0</v>
      </c>
      <c r="AP994" s="9"/>
      <c r="AQ994" s="5" t="s">
        <v>1210</v>
      </c>
      <c r="AR994" s="5" t="s">
        <v>1210</v>
      </c>
      <c r="AS994" s="8"/>
      <c r="AT994" s="8"/>
      <c r="AU994" s="8"/>
      <c r="AV994" s="8"/>
      <c r="AW994" s="8"/>
      <c r="AX994" s="8"/>
      <c r="AY994" s="8"/>
      <c r="AZ994" s="8"/>
    </row>
    <row r="995" spans="1:52">
      <c r="A995" s="5" t="s">
        <v>322</v>
      </c>
      <c r="B995" s="5">
        <v>532</v>
      </c>
      <c r="C995" s="19">
        <v>795</v>
      </c>
      <c r="E995" s="14"/>
      <c r="F995" s="11"/>
      <c r="G995" s="11"/>
      <c r="H995" s="11"/>
      <c r="I995" s="11"/>
      <c r="J995" s="25"/>
      <c r="K995" s="11"/>
      <c r="L995" s="11"/>
      <c r="M995" s="19">
        <v>0</v>
      </c>
      <c r="O995" s="6"/>
      <c r="P995" s="16">
        <v>757</v>
      </c>
      <c r="Q995" s="16">
        <v>702</v>
      </c>
      <c r="R995" s="22"/>
      <c r="S995" s="22">
        <f t="shared" si="30"/>
        <v>0</v>
      </c>
      <c r="T995" s="5" t="s">
        <v>1210</v>
      </c>
      <c r="U995" s="5" t="s">
        <v>1210</v>
      </c>
      <c r="Y995" s="8"/>
      <c r="Z995" s="8"/>
      <c r="AA995" s="8"/>
      <c r="AB995" s="8"/>
      <c r="AC995" s="8"/>
      <c r="AD995" s="8"/>
      <c r="AE995" s="25"/>
      <c r="AF995" s="11"/>
      <c r="AG995" s="25"/>
      <c r="AH995" s="11"/>
      <c r="AI995" s="11">
        <v>12</v>
      </c>
      <c r="AJ995" s="19">
        <v>22</v>
      </c>
      <c r="AK995" s="12">
        <f>(AJ995+AI995)/30*7</f>
        <v>7.9333333333333336</v>
      </c>
      <c r="AL995" s="6">
        <f>IF(AK995-C995&lt;0,0,AK995-C995)</f>
        <v>0</v>
      </c>
      <c r="AM995" s="6">
        <f>IF(AL995-R995-S995&lt;0,0,AL995-R995-S995)</f>
        <v>0</v>
      </c>
      <c r="AN995" s="5" t="str">
        <f t="shared" si="31"/>
        <v/>
      </c>
      <c r="AO995" s="5">
        <v>0</v>
      </c>
      <c r="AP995" s="9"/>
      <c r="AQ995" s="5" t="s">
        <v>1210</v>
      </c>
      <c r="AR995" s="5" t="s">
        <v>1210</v>
      </c>
      <c r="AS995" s="8"/>
      <c r="AT995" s="8"/>
      <c r="AU995" s="8"/>
      <c r="AV995" s="8"/>
      <c r="AW995" s="8"/>
      <c r="AX995" s="8"/>
      <c r="AY995" s="8"/>
      <c r="AZ995" s="8"/>
    </row>
    <row r="996" spans="1:52">
      <c r="A996" s="5" t="s">
        <v>458</v>
      </c>
      <c r="B996" s="5">
        <v>844</v>
      </c>
      <c r="C996" s="19">
        <v>978</v>
      </c>
      <c r="E996" s="14"/>
      <c r="F996" s="11"/>
      <c r="G996" s="11"/>
      <c r="H996" s="11"/>
      <c r="I996" s="11"/>
      <c r="J996" s="25"/>
      <c r="K996" s="11"/>
      <c r="L996" s="11"/>
      <c r="M996" s="19">
        <v>0</v>
      </c>
      <c r="O996" s="6"/>
      <c r="P996" s="16">
        <v>862</v>
      </c>
      <c r="Q996" s="16">
        <v>454</v>
      </c>
      <c r="R996" s="22"/>
      <c r="S996" s="22">
        <f t="shared" si="30"/>
        <v>0</v>
      </c>
      <c r="T996" s="5" t="s">
        <v>1210</v>
      </c>
      <c r="U996" s="5" t="s">
        <v>1210</v>
      </c>
      <c r="Y996" s="8"/>
      <c r="Z996" s="8"/>
      <c r="AA996" s="8"/>
      <c r="AB996" s="8"/>
      <c r="AC996" s="8"/>
      <c r="AD996" s="8"/>
      <c r="AE996" s="25"/>
      <c r="AF996" s="11"/>
      <c r="AG996" s="25"/>
      <c r="AH996" s="11"/>
      <c r="AI996" s="11">
        <v>36</v>
      </c>
      <c r="AJ996" s="19">
        <v>4</v>
      </c>
      <c r="AK996" s="12">
        <f>(AJ996+AI996)/30*7</f>
        <v>9.3333333333333321</v>
      </c>
      <c r="AL996" s="6">
        <f>IF(AK996-C996&lt;0,0,AK996-C996)</f>
        <v>0</v>
      </c>
      <c r="AM996" s="6">
        <f>IF(AL996-R996-S996&lt;0,0,AL996-R996-S996)</f>
        <v>0</v>
      </c>
      <c r="AN996" s="5" t="str">
        <f t="shared" si="31"/>
        <v/>
      </c>
      <c r="AO996" s="5">
        <v>0</v>
      </c>
      <c r="AP996" s="9"/>
      <c r="AQ996" s="5" t="s">
        <v>1210</v>
      </c>
      <c r="AR996" s="5" t="s">
        <v>1210</v>
      </c>
      <c r="AS996" s="8"/>
      <c r="AT996" s="8"/>
      <c r="AU996" s="8"/>
      <c r="AV996" s="8"/>
      <c r="AW996" s="8"/>
      <c r="AX996" s="8"/>
      <c r="AY996" s="8"/>
      <c r="AZ996" s="8"/>
    </row>
    <row r="997" spans="1:52">
      <c r="A997" s="5" t="s">
        <v>648</v>
      </c>
      <c r="B997" s="5">
        <v>2216</v>
      </c>
      <c r="C997" s="19">
        <v>686</v>
      </c>
      <c r="E997" s="14"/>
      <c r="F997" s="11"/>
      <c r="G997" s="11"/>
      <c r="H997" s="11"/>
      <c r="I997" s="11"/>
      <c r="J997" s="25"/>
      <c r="K997" s="11"/>
      <c r="L997" s="11"/>
      <c r="M997" s="19">
        <v>0</v>
      </c>
      <c r="O997" s="6"/>
      <c r="P997" s="16">
        <v>637</v>
      </c>
      <c r="Q997" s="16">
        <v>0</v>
      </c>
      <c r="R997" s="22"/>
      <c r="S997" s="22">
        <f t="shared" si="30"/>
        <v>0</v>
      </c>
      <c r="T997" s="5" t="s">
        <v>1210</v>
      </c>
      <c r="U997" s="5" t="s">
        <v>1210</v>
      </c>
      <c r="Y997" s="8"/>
      <c r="Z997" s="8"/>
      <c r="AA997" s="8"/>
      <c r="AB997" s="8"/>
      <c r="AC997" s="8"/>
      <c r="AD997" s="8"/>
      <c r="AE997" s="25"/>
      <c r="AF997" s="11"/>
      <c r="AG997" s="25"/>
      <c r="AH997" s="11"/>
      <c r="AI997" s="11">
        <v>34</v>
      </c>
      <c r="AJ997" s="19">
        <v>11</v>
      </c>
      <c r="AK997" s="12">
        <f>(AJ997+AI997)/30*7</f>
        <v>10.5</v>
      </c>
      <c r="AL997" s="6">
        <f>IF(AK997-C997&lt;0,0,AK997-C997)</f>
        <v>0</v>
      </c>
      <c r="AM997" s="6">
        <f>IF(AL997-R997-S997&lt;0,0,AL997-R997-S997)</f>
        <v>0</v>
      </c>
      <c r="AN997" s="5" t="str">
        <f t="shared" si="31"/>
        <v/>
      </c>
      <c r="AO997" s="5">
        <v>0</v>
      </c>
      <c r="AP997" s="9"/>
      <c r="AQ997" s="5" t="s">
        <v>1210</v>
      </c>
      <c r="AR997" s="5" t="s">
        <v>1210</v>
      </c>
      <c r="AS997" s="8"/>
      <c r="AT997" s="8"/>
      <c r="AU997" s="8"/>
      <c r="AV997" s="8"/>
      <c r="AW997" s="8"/>
      <c r="AX997" s="8"/>
      <c r="AY997" s="8"/>
      <c r="AZ997" s="8"/>
    </row>
    <row r="998" spans="1:52">
      <c r="A998" s="5" t="s">
        <v>310</v>
      </c>
      <c r="B998" s="5">
        <v>562</v>
      </c>
      <c r="C998" s="19">
        <v>783</v>
      </c>
      <c r="E998" s="14"/>
      <c r="F998" s="11"/>
      <c r="G998" s="11"/>
      <c r="H998" s="11"/>
      <c r="I998" s="11"/>
      <c r="J998" s="25"/>
      <c r="K998" s="11"/>
      <c r="L998" s="11"/>
      <c r="M998" s="19">
        <v>0</v>
      </c>
      <c r="O998" s="6"/>
      <c r="P998" s="16">
        <v>303</v>
      </c>
      <c r="Q998" s="16">
        <v>766</v>
      </c>
      <c r="R998" s="22"/>
      <c r="S998" s="22">
        <f t="shared" si="30"/>
        <v>0</v>
      </c>
      <c r="T998" s="5" t="s">
        <v>1210</v>
      </c>
      <c r="U998" s="5" t="s">
        <v>1210</v>
      </c>
      <c r="Y998" s="8"/>
      <c r="Z998" s="8"/>
      <c r="AA998" s="8"/>
      <c r="AB998" s="8"/>
      <c r="AC998" s="8"/>
      <c r="AD998" s="8"/>
      <c r="AE998" s="25"/>
      <c r="AF998" s="11"/>
      <c r="AG998" s="25"/>
      <c r="AH998" s="11"/>
      <c r="AI998" s="11">
        <v>15</v>
      </c>
      <c r="AJ998" s="19">
        <v>18</v>
      </c>
      <c r="AK998" s="12">
        <f>(AJ998+AI998)/30*7</f>
        <v>7.7000000000000011</v>
      </c>
      <c r="AL998" s="6">
        <f>IF(AK998-C998&lt;0,0,AK998-C998)</f>
        <v>0</v>
      </c>
      <c r="AM998" s="6">
        <f>IF(AL998-R998-S998&lt;0,0,AL998-R998-S998)</f>
        <v>0</v>
      </c>
      <c r="AN998" s="5" t="str">
        <f t="shared" si="31"/>
        <v/>
      </c>
      <c r="AO998" s="5">
        <v>0</v>
      </c>
      <c r="AP998" s="9"/>
      <c r="AQ998" s="5" t="s">
        <v>1210</v>
      </c>
      <c r="AR998" s="5" t="s">
        <v>1210</v>
      </c>
      <c r="AS998" s="8"/>
      <c r="AT998" s="8"/>
      <c r="AU998" s="8"/>
      <c r="AV998" s="8"/>
      <c r="AW998" s="8"/>
      <c r="AX998" s="8"/>
      <c r="AY998" s="8"/>
      <c r="AZ998" s="8"/>
    </row>
    <row r="999" spans="1:52">
      <c r="A999" s="5" t="s">
        <v>495</v>
      </c>
      <c r="B999" s="5">
        <v>677</v>
      </c>
      <c r="C999" s="19">
        <v>933</v>
      </c>
      <c r="E999" s="14"/>
      <c r="F999" s="11"/>
      <c r="G999" s="11"/>
      <c r="H999" s="11"/>
      <c r="I999" s="11"/>
      <c r="J999" s="25"/>
      <c r="K999" s="11"/>
      <c r="L999" s="11"/>
      <c r="M999" s="19">
        <v>0</v>
      </c>
      <c r="O999" s="6"/>
      <c r="P999" s="16">
        <v>579</v>
      </c>
      <c r="Q999" s="16">
        <v>0</v>
      </c>
      <c r="R999" s="22"/>
      <c r="S999" s="22">
        <f t="shared" si="30"/>
        <v>0</v>
      </c>
      <c r="T999" s="5" t="s">
        <v>1210</v>
      </c>
      <c r="U999" s="5" t="s">
        <v>1210</v>
      </c>
      <c r="Y999" s="8"/>
      <c r="Z999" s="8"/>
      <c r="AA999" s="8"/>
      <c r="AB999" s="8"/>
      <c r="AC999" s="8"/>
      <c r="AD999" s="8"/>
      <c r="AE999" s="25"/>
      <c r="AF999" s="11"/>
      <c r="AG999" s="25"/>
      <c r="AH999" s="11"/>
      <c r="AI999" s="11">
        <v>31</v>
      </c>
      <c r="AJ999" s="19">
        <v>0</v>
      </c>
      <c r="AK999" s="12">
        <f>(AJ999+AI999)/30*7</f>
        <v>7.2333333333333343</v>
      </c>
      <c r="AL999" s="6">
        <f>IF(AK999-C999&lt;0,0,AK999-C999)</f>
        <v>0</v>
      </c>
      <c r="AM999" s="6">
        <f>IF(AL999-R999-S999&lt;0,0,AL999-R999-S999)</f>
        <v>0</v>
      </c>
      <c r="AN999" s="5" t="str">
        <f t="shared" si="31"/>
        <v/>
      </c>
      <c r="AO999" s="5">
        <v>0</v>
      </c>
      <c r="AP999" s="9"/>
      <c r="AQ999" s="5" t="s">
        <v>1210</v>
      </c>
      <c r="AR999" s="5" t="s">
        <v>1230</v>
      </c>
      <c r="AS999" s="8"/>
      <c r="AT999" s="8"/>
      <c r="AU999" s="8"/>
      <c r="AV999" s="8"/>
      <c r="AW999" s="8"/>
      <c r="AX999" s="8"/>
      <c r="AY999" s="8"/>
      <c r="AZ999" s="8"/>
    </row>
    <row r="1000" spans="1:52">
      <c r="A1000" s="5" t="s">
        <v>345</v>
      </c>
      <c r="B1000" s="5">
        <v>760</v>
      </c>
      <c r="C1000" s="19">
        <v>752</v>
      </c>
      <c r="E1000" s="14"/>
      <c r="F1000" s="11"/>
      <c r="G1000" s="11"/>
      <c r="H1000" s="11"/>
      <c r="I1000" s="11"/>
      <c r="J1000" s="25"/>
      <c r="K1000" s="11"/>
      <c r="L1000" s="11"/>
      <c r="M1000" s="19">
        <v>0</v>
      </c>
      <c r="O1000" s="6"/>
      <c r="P1000" s="16">
        <v>536</v>
      </c>
      <c r="Q1000" s="16">
        <v>624</v>
      </c>
      <c r="R1000" s="22"/>
      <c r="S1000" s="22">
        <f t="shared" si="30"/>
        <v>0</v>
      </c>
      <c r="T1000" s="5" t="s">
        <v>1210</v>
      </c>
      <c r="U1000" s="5" t="s">
        <v>1210</v>
      </c>
      <c r="Y1000" s="8"/>
      <c r="Z1000" s="8"/>
      <c r="AA1000" s="8"/>
      <c r="AB1000" s="8"/>
      <c r="AC1000" s="8"/>
      <c r="AD1000" s="8"/>
      <c r="AE1000" s="25"/>
      <c r="AF1000" s="11"/>
      <c r="AG1000" s="25"/>
      <c r="AH1000" s="11"/>
      <c r="AI1000" s="11">
        <v>66</v>
      </c>
      <c r="AJ1000" s="19">
        <v>0</v>
      </c>
      <c r="AK1000" s="12">
        <f>(AJ1000+AI1000)/30*7</f>
        <v>15.400000000000002</v>
      </c>
      <c r="AL1000" s="6">
        <f>IF(AK1000-C1000&lt;0,0,AK1000-C1000)</f>
        <v>0</v>
      </c>
      <c r="AM1000" s="6">
        <f>IF(AL1000-R1000-S1000&lt;0,0,AL1000-R1000-S1000)</f>
        <v>0</v>
      </c>
      <c r="AN1000" s="5" t="str">
        <f t="shared" si="31"/>
        <v/>
      </c>
      <c r="AO1000" s="5">
        <v>0</v>
      </c>
      <c r="AP1000" s="9"/>
      <c r="AQ1000" s="5" t="s">
        <v>1210</v>
      </c>
      <c r="AR1000" s="5" t="s">
        <v>1230</v>
      </c>
      <c r="AS1000" s="8"/>
      <c r="AT1000" s="8"/>
      <c r="AU1000" s="8"/>
      <c r="AV1000" s="8"/>
      <c r="AW1000" s="8"/>
      <c r="AX1000" s="8"/>
      <c r="AY1000" s="8"/>
      <c r="AZ1000" s="8"/>
    </row>
    <row r="1001" spans="1:52">
      <c r="A1001" s="5" t="s">
        <v>933</v>
      </c>
      <c r="B1001" s="5">
        <v>1104</v>
      </c>
      <c r="C1001" s="19">
        <v>906</v>
      </c>
      <c r="E1001" s="14"/>
      <c r="F1001" s="11"/>
      <c r="G1001" s="11"/>
      <c r="H1001" s="11"/>
      <c r="I1001" s="11"/>
      <c r="J1001" s="25"/>
      <c r="K1001" s="11"/>
      <c r="L1001" s="11"/>
      <c r="M1001" s="19">
        <v>0</v>
      </c>
      <c r="O1001" s="6"/>
      <c r="P1001" s="16">
        <v>839</v>
      </c>
      <c r="Q1001" s="16">
        <v>0</v>
      </c>
      <c r="R1001" s="22"/>
      <c r="S1001" s="22">
        <f t="shared" si="30"/>
        <v>0</v>
      </c>
      <c r="T1001" s="5" t="s">
        <v>1227</v>
      </c>
      <c r="U1001" s="5">
        <v>835</v>
      </c>
      <c r="Y1001" s="8"/>
      <c r="Z1001" s="8"/>
      <c r="AA1001" s="8"/>
      <c r="AB1001" s="8"/>
      <c r="AC1001" s="8"/>
      <c r="AD1001" s="8"/>
      <c r="AE1001" s="25"/>
      <c r="AF1001" s="11"/>
      <c r="AG1001" s="25"/>
      <c r="AH1001" s="11"/>
      <c r="AI1001" s="11">
        <v>62</v>
      </c>
      <c r="AJ1001" s="19">
        <v>0</v>
      </c>
      <c r="AK1001" s="12">
        <f>(AJ1001+AI1001)/30*7</f>
        <v>14.466666666666669</v>
      </c>
      <c r="AL1001" s="6">
        <f>IF(AK1001-C1001&lt;0,0,AK1001-C1001)</f>
        <v>0</v>
      </c>
      <c r="AM1001" s="6">
        <f>IF(AL1001-R1001-S1001&lt;0,0,AL1001-R1001-S1001)</f>
        <v>0</v>
      </c>
      <c r="AN1001" s="5" t="str">
        <f t="shared" si="31"/>
        <v/>
      </c>
      <c r="AO1001" s="5">
        <v>0</v>
      </c>
      <c r="AP1001" s="9"/>
      <c r="AQ1001" s="5" t="s">
        <v>1210</v>
      </c>
      <c r="AR1001" s="5" t="s">
        <v>1230</v>
      </c>
      <c r="AS1001" s="8"/>
      <c r="AT1001" s="8"/>
      <c r="AU1001" s="8"/>
      <c r="AV1001" s="8"/>
      <c r="AW1001" s="8"/>
      <c r="AX1001" s="8"/>
      <c r="AY1001" s="8"/>
      <c r="AZ1001" s="8"/>
    </row>
    <row r="1002" spans="1:52">
      <c r="A1002" s="5" t="s">
        <v>260</v>
      </c>
      <c r="B1002" s="5">
        <v>729</v>
      </c>
      <c r="C1002" s="19">
        <v>570</v>
      </c>
      <c r="E1002" s="14"/>
      <c r="F1002" s="11"/>
      <c r="G1002" s="11"/>
      <c r="H1002" s="11"/>
      <c r="I1002" s="11"/>
      <c r="J1002" s="25"/>
      <c r="K1002" s="11"/>
      <c r="L1002" s="11"/>
      <c r="M1002" s="19">
        <v>0</v>
      </c>
      <c r="O1002" s="6"/>
      <c r="P1002" s="16">
        <v>909</v>
      </c>
      <c r="Q1002" s="16">
        <v>801</v>
      </c>
      <c r="R1002" s="22"/>
      <c r="S1002" s="22">
        <f t="shared" si="30"/>
        <v>0</v>
      </c>
      <c r="T1002" s="5" t="s">
        <v>1210</v>
      </c>
      <c r="U1002" s="5" t="s">
        <v>1210</v>
      </c>
      <c r="Y1002" s="8"/>
      <c r="Z1002" s="8"/>
      <c r="AA1002" s="8"/>
      <c r="AB1002" s="8"/>
      <c r="AC1002" s="8"/>
      <c r="AD1002" s="8"/>
      <c r="AE1002" s="25"/>
      <c r="AF1002" s="11"/>
      <c r="AG1002" s="25"/>
      <c r="AH1002" s="11"/>
      <c r="AI1002" s="11">
        <v>16</v>
      </c>
      <c r="AJ1002" s="19">
        <v>42</v>
      </c>
      <c r="AK1002" s="12">
        <f>(AJ1002+AI1002)/30*7</f>
        <v>13.533333333333333</v>
      </c>
      <c r="AL1002" s="6">
        <f>IF(AK1002-C1002&lt;0,0,AK1002-C1002)</f>
        <v>0</v>
      </c>
      <c r="AM1002" s="6">
        <f>IF(AL1002-R1002-S1002&lt;0,0,AL1002-R1002-S1002)</f>
        <v>0</v>
      </c>
      <c r="AN1002" s="5" t="str">
        <f t="shared" si="31"/>
        <v/>
      </c>
      <c r="AO1002" s="5">
        <v>0</v>
      </c>
      <c r="AP1002" s="9"/>
      <c r="AQ1002" s="5" t="s">
        <v>1210</v>
      </c>
      <c r="AR1002" s="5" t="s">
        <v>1210</v>
      </c>
      <c r="AS1002" s="8"/>
      <c r="AT1002" s="8"/>
      <c r="AU1002" s="8"/>
      <c r="AV1002" s="8"/>
      <c r="AW1002" s="8"/>
      <c r="AX1002" s="8"/>
      <c r="AY1002" s="8"/>
      <c r="AZ1002" s="8"/>
    </row>
    <row r="1003" spans="1:52">
      <c r="A1003" s="5" t="s">
        <v>340</v>
      </c>
      <c r="B1003" s="5">
        <v>962</v>
      </c>
      <c r="C1003" s="19">
        <v>485</v>
      </c>
      <c r="E1003" s="14"/>
      <c r="F1003" s="11"/>
      <c r="G1003" s="11"/>
      <c r="H1003" s="11"/>
      <c r="I1003" s="11"/>
      <c r="J1003" s="25"/>
      <c r="K1003" s="11"/>
      <c r="L1003" s="11"/>
      <c r="M1003" s="19">
        <v>0</v>
      </c>
      <c r="O1003" s="6"/>
      <c r="P1003" s="16">
        <v>318</v>
      </c>
      <c r="Q1003" s="16">
        <v>275</v>
      </c>
      <c r="R1003" s="22"/>
      <c r="S1003" s="22">
        <f t="shared" si="30"/>
        <v>0</v>
      </c>
      <c r="T1003" s="5" t="s">
        <v>1210</v>
      </c>
      <c r="U1003" s="5" t="s">
        <v>1210</v>
      </c>
      <c r="Y1003" s="8"/>
      <c r="Z1003" s="8"/>
      <c r="AA1003" s="8"/>
      <c r="AB1003" s="8"/>
      <c r="AC1003" s="8"/>
      <c r="AD1003" s="8"/>
      <c r="AE1003" s="25"/>
      <c r="AF1003" s="11"/>
      <c r="AG1003" s="25"/>
      <c r="AH1003" s="11"/>
      <c r="AI1003" s="11">
        <v>43</v>
      </c>
      <c r="AJ1003" s="19">
        <v>12</v>
      </c>
      <c r="AK1003" s="12">
        <f>(AJ1003+AI1003)/30*7</f>
        <v>12.833333333333332</v>
      </c>
      <c r="AL1003" s="6">
        <f>IF(AK1003-C1003&lt;0,0,AK1003-C1003)</f>
        <v>0</v>
      </c>
      <c r="AM1003" s="6">
        <f>IF(AL1003-R1003-S1003&lt;0,0,AL1003-R1003-S1003)</f>
        <v>0</v>
      </c>
      <c r="AN1003" s="5" t="str">
        <f t="shared" si="31"/>
        <v/>
      </c>
      <c r="AO1003" s="5">
        <v>0</v>
      </c>
      <c r="AP1003" s="9"/>
      <c r="AQ1003" s="5" t="s">
        <v>1210</v>
      </c>
      <c r="AR1003" s="5" t="s">
        <v>1210</v>
      </c>
      <c r="AS1003" s="8"/>
      <c r="AT1003" s="8"/>
      <c r="AU1003" s="8"/>
      <c r="AV1003" s="8"/>
      <c r="AW1003" s="8"/>
      <c r="AX1003" s="8"/>
      <c r="AY1003" s="8"/>
      <c r="AZ1003" s="8"/>
    </row>
    <row r="1004" spans="1:52">
      <c r="A1004" s="5" t="s">
        <v>420</v>
      </c>
      <c r="B1004" s="5">
        <v>889</v>
      </c>
      <c r="C1004" s="19">
        <v>282</v>
      </c>
      <c r="E1004" s="14"/>
      <c r="F1004" s="11"/>
      <c r="G1004" s="11"/>
      <c r="H1004" s="11"/>
      <c r="I1004" s="11"/>
      <c r="J1004" s="25"/>
      <c r="K1004" s="11"/>
      <c r="L1004" s="11"/>
      <c r="M1004" s="19">
        <v>0</v>
      </c>
      <c r="O1004" s="6"/>
      <c r="P1004" s="16">
        <v>332</v>
      </c>
      <c r="Q1004" s="16">
        <v>291</v>
      </c>
      <c r="R1004" s="22"/>
      <c r="S1004" s="22">
        <f t="shared" si="30"/>
        <v>0</v>
      </c>
      <c r="T1004" s="5" t="s">
        <v>1210</v>
      </c>
      <c r="U1004" s="5" t="s">
        <v>1210</v>
      </c>
      <c r="Y1004" s="8"/>
      <c r="Z1004" s="8"/>
      <c r="AA1004" s="8"/>
      <c r="AB1004" s="8"/>
      <c r="AC1004" s="8"/>
      <c r="AD1004" s="8"/>
      <c r="AE1004" s="25"/>
      <c r="AF1004" s="11"/>
      <c r="AG1004" s="25"/>
      <c r="AH1004" s="11"/>
      <c r="AI1004" s="11">
        <v>3</v>
      </c>
      <c r="AJ1004" s="19">
        <v>0</v>
      </c>
      <c r="AK1004" s="12">
        <f>(AJ1004+AI1004)/30*7</f>
        <v>0.70000000000000007</v>
      </c>
      <c r="AL1004" s="6">
        <f>IF(AK1004-C1004&lt;0,0,AK1004-C1004)</f>
        <v>0</v>
      </c>
      <c r="AM1004" s="6">
        <f>IF(AL1004-R1004-S1004&lt;0,0,AL1004-R1004-S1004)</f>
        <v>0</v>
      </c>
      <c r="AN1004" s="5" t="str">
        <f t="shared" si="31"/>
        <v/>
      </c>
      <c r="AO1004" s="5">
        <v>0</v>
      </c>
      <c r="AP1004" s="9"/>
      <c r="AQ1004" s="5" t="s">
        <v>1210</v>
      </c>
      <c r="AR1004" s="5" t="s">
        <v>1230</v>
      </c>
      <c r="AS1004" s="8"/>
      <c r="AT1004" s="8"/>
      <c r="AU1004" s="8"/>
      <c r="AV1004" s="8"/>
      <c r="AW1004" s="8"/>
      <c r="AX1004" s="8"/>
      <c r="AY1004" s="8"/>
      <c r="AZ1004" s="8"/>
    </row>
    <row r="1005" spans="1:52">
      <c r="A1005" s="5" t="s">
        <v>409</v>
      </c>
      <c r="B1005" s="5">
        <v>790</v>
      </c>
      <c r="C1005" s="19">
        <v>903</v>
      </c>
      <c r="E1005" s="14"/>
      <c r="F1005" s="11"/>
      <c r="G1005" s="11"/>
      <c r="H1005" s="11"/>
      <c r="I1005" s="11"/>
      <c r="J1005" s="25"/>
      <c r="K1005" s="11"/>
      <c r="L1005" s="11"/>
      <c r="M1005" s="19">
        <v>0</v>
      </c>
      <c r="O1005" s="6"/>
      <c r="P1005" s="16">
        <v>811</v>
      </c>
      <c r="Q1005" s="16">
        <v>0</v>
      </c>
      <c r="R1005" s="22"/>
      <c r="S1005" s="22">
        <f t="shared" si="30"/>
        <v>0</v>
      </c>
      <c r="T1005" s="5" t="s">
        <v>1210</v>
      </c>
      <c r="U1005" s="5" t="s">
        <v>1210</v>
      </c>
      <c r="Y1005" s="8"/>
      <c r="Z1005" s="8"/>
      <c r="AA1005" s="8"/>
      <c r="AB1005" s="8"/>
      <c r="AC1005" s="8"/>
      <c r="AD1005" s="8"/>
      <c r="AE1005" s="25"/>
      <c r="AF1005" s="11"/>
      <c r="AG1005" s="25"/>
      <c r="AH1005" s="11"/>
      <c r="AI1005" s="11">
        <v>23</v>
      </c>
      <c r="AJ1005" s="19">
        <v>0</v>
      </c>
      <c r="AK1005" s="12">
        <f>(AJ1005+AI1005)/30*7</f>
        <v>5.3666666666666671</v>
      </c>
      <c r="AL1005" s="6">
        <f>IF(AK1005-C1005&lt;0,0,AK1005-C1005)</f>
        <v>0</v>
      </c>
      <c r="AM1005" s="6">
        <f>IF(AL1005-R1005-S1005&lt;0,0,AL1005-R1005-S1005)</f>
        <v>0</v>
      </c>
      <c r="AN1005" s="5" t="str">
        <f t="shared" si="31"/>
        <v/>
      </c>
      <c r="AO1005" s="5">
        <v>0</v>
      </c>
      <c r="AP1005" s="9"/>
      <c r="AQ1005" s="5" t="s">
        <v>1210</v>
      </c>
      <c r="AR1005" s="5" t="s">
        <v>1210</v>
      </c>
      <c r="AS1005" s="8"/>
      <c r="AT1005" s="8"/>
      <c r="AU1005" s="8"/>
      <c r="AV1005" s="8"/>
      <c r="AW1005" s="8"/>
      <c r="AX1005" s="8"/>
      <c r="AY1005" s="8"/>
      <c r="AZ1005" s="8"/>
    </row>
    <row r="1006" spans="1:52">
      <c r="A1006" s="5" t="s">
        <v>377</v>
      </c>
      <c r="B1006" s="5">
        <v>803</v>
      </c>
      <c r="C1006" s="19">
        <v>366</v>
      </c>
      <c r="E1006" s="14"/>
      <c r="F1006" s="11"/>
      <c r="G1006" s="11"/>
      <c r="H1006" s="11"/>
      <c r="I1006" s="11"/>
      <c r="J1006" s="25"/>
      <c r="K1006" s="11"/>
      <c r="L1006" s="11"/>
      <c r="M1006" s="19">
        <v>0</v>
      </c>
      <c r="O1006" s="6"/>
      <c r="P1006" s="16">
        <v>912</v>
      </c>
      <c r="Q1006" s="16">
        <v>507</v>
      </c>
      <c r="R1006" s="22"/>
      <c r="S1006" s="22">
        <f t="shared" si="30"/>
        <v>0</v>
      </c>
      <c r="T1006" s="5" t="s">
        <v>1210</v>
      </c>
      <c r="U1006" s="5" t="s">
        <v>1210</v>
      </c>
      <c r="Y1006" s="8"/>
      <c r="Z1006" s="8"/>
      <c r="AA1006" s="8"/>
      <c r="AB1006" s="8"/>
      <c r="AC1006" s="8"/>
      <c r="AD1006" s="8"/>
      <c r="AE1006" s="25"/>
      <c r="AF1006" s="11"/>
      <c r="AG1006" s="25"/>
      <c r="AH1006" s="11"/>
      <c r="AI1006" s="11">
        <v>24</v>
      </c>
      <c r="AJ1006" s="19">
        <v>6</v>
      </c>
      <c r="AK1006" s="12">
        <f>(AJ1006+AI1006)/30*7</f>
        <v>7</v>
      </c>
      <c r="AL1006" s="6">
        <f>IF(AK1006-C1006&lt;0,0,AK1006-C1006)</f>
        <v>0</v>
      </c>
      <c r="AM1006" s="6">
        <f>IF(AL1006-R1006-S1006&lt;0,0,AL1006-R1006-S1006)</f>
        <v>0</v>
      </c>
      <c r="AN1006" s="5" t="str">
        <f t="shared" si="31"/>
        <v/>
      </c>
      <c r="AO1006" s="5">
        <v>0</v>
      </c>
      <c r="AP1006" s="9"/>
      <c r="AQ1006" s="5" t="s">
        <v>1210</v>
      </c>
      <c r="AR1006" s="5" t="s">
        <v>1230</v>
      </c>
      <c r="AS1006" s="8"/>
      <c r="AT1006" s="8"/>
      <c r="AU1006" s="8"/>
      <c r="AV1006" s="8"/>
      <c r="AW1006" s="8"/>
      <c r="AX1006" s="8"/>
      <c r="AY1006" s="8"/>
      <c r="AZ1006" s="8"/>
    </row>
    <row r="1007" spans="1:52">
      <c r="A1007" s="5" t="s">
        <v>403</v>
      </c>
      <c r="B1007" s="5">
        <v>937</v>
      </c>
      <c r="C1007" s="19">
        <v>846</v>
      </c>
      <c r="E1007" s="14"/>
      <c r="F1007" s="11"/>
      <c r="G1007" s="11"/>
      <c r="H1007" s="11"/>
      <c r="I1007" s="11"/>
      <c r="J1007" s="25"/>
      <c r="K1007" s="11"/>
      <c r="L1007" s="11"/>
      <c r="M1007" s="19">
        <v>0</v>
      </c>
      <c r="O1007" s="6"/>
      <c r="P1007" s="16">
        <v>364</v>
      </c>
      <c r="Q1007" s="16">
        <v>751</v>
      </c>
      <c r="R1007" s="22"/>
      <c r="S1007" s="22">
        <f t="shared" si="30"/>
        <v>0</v>
      </c>
      <c r="T1007" s="5" t="s">
        <v>1210</v>
      </c>
      <c r="U1007" s="5" t="s">
        <v>1210</v>
      </c>
      <c r="Y1007" s="8"/>
      <c r="Z1007" s="8"/>
      <c r="AA1007" s="8"/>
      <c r="AB1007" s="8"/>
      <c r="AC1007" s="8"/>
      <c r="AD1007" s="8"/>
      <c r="AE1007" s="25"/>
      <c r="AF1007" s="11"/>
      <c r="AG1007" s="25"/>
      <c r="AH1007" s="11"/>
      <c r="AI1007" s="11">
        <v>87</v>
      </c>
      <c r="AJ1007" s="19">
        <v>14</v>
      </c>
      <c r="AK1007" s="12">
        <f>(AJ1007+AI1007)/30*7</f>
        <v>23.566666666666666</v>
      </c>
      <c r="AL1007" s="6">
        <f>IF(AK1007-C1007&lt;0,0,AK1007-C1007)</f>
        <v>0</v>
      </c>
      <c r="AM1007" s="6">
        <f>IF(AL1007-R1007-S1007&lt;0,0,AL1007-R1007-S1007)</f>
        <v>0</v>
      </c>
      <c r="AN1007" s="5" t="str">
        <f t="shared" si="31"/>
        <v/>
      </c>
      <c r="AO1007" s="5">
        <v>0</v>
      </c>
      <c r="AP1007" s="9"/>
      <c r="AQ1007" s="5" t="s">
        <v>1210</v>
      </c>
      <c r="AR1007" s="5" t="s">
        <v>1230</v>
      </c>
      <c r="AS1007" s="8"/>
      <c r="AT1007" s="8"/>
      <c r="AU1007" s="8"/>
      <c r="AV1007" s="8"/>
      <c r="AW1007" s="8"/>
      <c r="AX1007" s="8"/>
      <c r="AY1007" s="8"/>
      <c r="AZ1007" s="8"/>
    </row>
    <row r="1008" spans="1:52">
      <c r="A1008" s="5" t="s">
        <v>400</v>
      </c>
      <c r="B1008" s="5">
        <v>413</v>
      </c>
      <c r="C1008" s="19">
        <v>603</v>
      </c>
      <c r="E1008" s="14"/>
      <c r="F1008" s="11"/>
      <c r="G1008" s="11"/>
      <c r="H1008" s="11"/>
      <c r="I1008" s="11"/>
      <c r="J1008" s="25"/>
      <c r="K1008" s="11"/>
      <c r="L1008" s="11"/>
      <c r="M1008" s="19">
        <v>2</v>
      </c>
      <c r="O1008" s="6"/>
      <c r="P1008" s="16">
        <v>253</v>
      </c>
      <c r="Q1008" s="16">
        <v>547</v>
      </c>
      <c r="R1008" s="22"/>
      <c r="S1008" s="22">
        <f t="shared" si="30"/>
        <v>0</v>
      </c>
      <c r="U1008" s="5" t="s">
        <v>1210</v>
      </c>
      <c r="Y1008" s="8"/>
      <c r="Z1008" s="8"/>
      <c r="AA1008" s="8"/>
      <c r="AB1008" s="8"/>
      <c r="AC1008" s="8"/>
      <c r="AD1008" s="8"/>
      <c r="AE1008" s="25"/>
      <c r="AF1008" s="11"/>
      <c r="AG1008" s="25"/>
      <c r="AH1008" s="11"/>
      <c r="AI1008" s="11">
        <v>95</v>
      </c>
      <c r="AJ1008" s="19">
        <v>3</v>
      </c>
      <c r="AK1008" s="12">
        <f>(AJ1008+AI1008)/30*7</f>
        <v>22.866666666666667</v>
      </c>
      <c r="AL1008" s="6">
        <f>IF(AK1008-C1008&lt;0,0,AK1008-C1008)</f>
        <v>0</v>
      </c>
      <c r="AM1008" s="6">
        <f>IF(AL1008-R1008-S1008&lt;0,0,AL1008-R1008-S1008)</f>
        <v>0</v>
      </c>
      <c r="AN1008" s="5" t="str">
        <f t="shared" si="31"/>
        <v/>
      </c>
      <c r="AO1008" s="5">
        <v>0</v>
      </c>
      <c r="AP1008" s="9"/>
      <c r="AQ1008" s="5" t="s">
        <v>1210</v>
      </c>
      <c r="AR1008" s="5" t="s">
        <v>1230</v>
      </c>
      <c r="AS1008" s="8"/>
      <c r="AT1008" s="8"/>
      <c r="AU1008" s="8"/>
      <c r="AV1008" s="8"/>
      <c r="AW1008" s="8"/>
      <c r="AX1008" s="8"/>
      <c r="AY1008" s="8"/>
      <c r="AZ1008" s="8"/>
    </row>
    <row r="1009" spans="1:52">
      <c r="A1009" s="5" t="s">
        <v>466</v>
      </c>
      <c r="B1009" s="5">
        <v>1746</v>
      </c>
      <c r="C1009" s="19">
        <v>852</v>
      </c>
      <c r="E1009" s="14"/>
      <c r="F1009" s="11"/>
      <c r="G1009" s="11"/>
      <c r="H1009" s="11"/>
      <c r="I1009" s="11"/>
      <c r="J1009" s="25"/>
      <c r="K1009" s="11"/>
      <c r="L1009" s="11"/>
      <c r="M1009" s="19">
        <v>0</v>
      </c>
      <c r="O1009" s="6"/>
      <c r="P1009" s="16">
        <v>904</v>
      </c>
      <c r="Q1009" s="16">
        <v>0</v>
      </c>
      <c r="R1009" s="22"/>
      <c r="S1009" s="22">
        <f t="shared" si="30"/>
        <v>0</v>
      </c>
      <c r="T1009" s="5" t="s">
        <v>1210</v>
      </c>
      <c r="U1009" s="5" t="s">
        <v>1210</v>
      </c>
      <c r="Y1009" s="8"/>
      <c r="Z1009" s="8"/>
      <c r="AA1009" s="8"/>
      <c r="AB1009" s="8"/>
      <c r="AC1009" s="8"/>
      <c r="AD1009" s="8"/>
      <c r="AE1009" s="25"/>
      <c r="AF1009" s="11"/>
      <c r="AG1009" s="25"/>
      <c r="AH1009" s="11"/>
      <c r="AI1009" s="11">
        <v>7</v>
      </c>
      <c r="AJ1009" s="19">
        <v>7</v>
      </c>
      <c r="AK1009" s="12">
        <f>(AJ1009+AI1009)/30*7</f>
        <v>3.2666666666666666</v>
      </c>
      <c r="AL1009" s="6">
        <f>IF(AK1009-C1009&lt;0,0,AK1009-C1009)</f>
        <v>0</v>
      </c>
      <c r="AM1009" s="6">
        <f>IF(AL1009-R1009-S1009&lt;0,0,AL1009-R1009-S1009)</f>
        <v>0</v>
      </c>
      <c r="AN1009" s="5" t="str">
        <f t="shared" si="31"/>
        <v/>
      </c>
      <c r="AO1009" s="5">
        <v>0</v>
      </c>
      <c r="AP1009" s="9"/>
      <c r="AQ1009" s="5" t="s">
        <v>1210</v>
      </c>
      <c r="AR1009" s="5" t="s">
        <v>1230</v>
      </c>
      <c r="AS1009" s="8"/>
      <c r="AT1009" s="8"/>
      <c r="AU1009" s="8"/>
      <c r="AV1009" s="8"/>
      <c r="AW1009" s="8"/>
      <c r="AX1009" s="8"/>
      <c r="AY1009" s="8"/>
      <c r="AZ1009" s="8"/>
    </row>
    <row r="1010" spans="1:52">
      <c r="A1010" s="5" t="s">
        <v>531</v>
      </c>
      <c r="B1010" s="5">
        <v>831</v>
      </c>
      <c r="C1010" s="19">
        <v>550</v>
      </c>
      <c r="E1010" s="14"/>
      <c r="F1010" s="11"/>
      <c r="G1010" s="11"/>
      <c r="H1010" s="11"/>
      <c r="I1010" s="11"/>
      <c r="J1010" s="25"/>
      <c r="K1010" s="11"/>
      <c r="L1010" s="11"/>
      <c r="M1010" s="19">
        <v>0</v>
      </c>
      <c r="O1010" s="6"/>
      <c r="P1010" s="16">
        <v>544</v>
      </c>
      <c r="Q1010" s="16">
        <v>563</v>
      </c>
      <c r="R1010" s="22"/>
      <c r="S1010" s="22">
        <f t="shared" si="30"/>
        <v>0</v>
      </c>
      <c r="T1010" s="5" t="s">
        <v>1210</v>
      </c>
      <c r="U1010" s="5" t="s">
        <v>1210</v>
      </c>
      <c r="Y1010" s="8"/>
      <c r="Z1010" s="8"/>
      <c r="AA1010" s="8"/>
      <c r="AB1010" s="8"/>
      <c r="AC1010" s="8"/>
      <c r="AD1010" s="8"/>
      <c r="AE1010" s="25"/>
      <c r="AF1010" s="11"/>
      <c r="AG1010" s="25"/>
      <c r="AH1010" s="11"/>
      <c r="AI1010" s="11">
        <v>74</v>
      </c>
      <c r="AJ1010" s="19">
        <v>0</v>
      </c>
      <c r="AK1010" s="12">
        <f>(AJ1010+AI1010)/30*7</f>
        <v>17.266666666666666</v>
      </c>
      <c r="AL1010" s="6">
        <f>IF(AK1010-C1010&lt;0,0,AK1010-C1010)</f>
        <v>0</v>
      </c>
      <c r="AM1010" s="6">
        <f>IF(AL1010-R1010-S1010&lt;0,0,AL1010-R1010-S1010)</f>
        <v>0</v>
      </c>
      <c r="AN1010" s="5" t="str">
        <f t="shared" si="31"/>
        <v/>
      </c>
      <c r="AO1010" s="5">
        <v>0</v>
      </c>
      <c r="AP1010" s="9"/>
      <c r="AQ1010" s="5" t="s">
        <v>1210</v>
      </c>
      <c r="AR1010" s="5" t="s">
        <v>1230</v>
      </c>
      <c r="AS1010" s="8"/>
      <c r="AT1010" s="8"/>
      <c r="AU1010" s="8"/>
      <c r="AV1010" s="8"/>
      <c r="AW1010" s="8"/>
      <c r="AX1010" s="8"/>
      <c r="AY1010" s="8"/>
      <c r="AZ1010" s="8"/>
    </row>
    <row r="1011" spans="1:52">
      <c r="A1011" s="5" t="s">
        <v>500</v>
      </c>
      <c r="B1011" s="5">
        <v>505</v>
      </c>
      <c r="C1011" s="19">
        <v>709</v>
      </c>
      <c r="E1011" s="14"/>
      <c r="F1011" s="11"/>
      <c r="G1011" s="11"/>
      <c r="H1011" s="11"/>
      <c r="I1011" s="11"/>
      <c r="J1011" s="25"/>
      <c r="K1011" s="11"/>
      <c r="L1011" s="11"/>
      <c r="M1011" s="19">
        <v>0</v>
      </c>
      <c r="O1011" s="6"/>
      <c r="P1011" s="16">
        <v>796</v>
      </c>
      <c r="Q1011" s="16">
        <v>0</v>
      </c>
      <c r="R1011" s="22"/>
      <c r="S1011" s="22">
        <f t="shared" si="30"/>
        <v>0</v>
      </c>
      <c r="T1011" s="5" t="s">
        <v>1210</v>
      </c>
      <c r="U1011" s="5" t="s">
        <v>1210</v>
      </c>
      <c r="Y1011" s="8"/>
      <c r="Z1011" s="8"/>
      <c r="AA1011" s="8"/>
      <c r="AB1011" s="8"/>
      <c r="AC1011" s="8"/>
      <c r="AD1011" s="8"/>
      <c r="AE1011" s="25"/>
      <c r="AF1011" s="11"/>
      <c r="AG1011" s="25"/>
      <c r="AH1011" s="11"/>
      <c r="AI1011" s="11">
        <v>37</v>
      </c>
      <c r="AJ1011" s="19">
        <v>0</v>
      </c>
      <c r="AK1011" s="12">
        <f>(AJ1011+AI1011)/30*7</f>
        <v>8.6333333333333329</v>
      </c>
      <c r="AL1011" s="6">
        <f>IF(AK1011-C1011&lt;0,0,AK1011-C1011)</f>
        <v>0</v>
      </c>
      <c r="AM1011" s="6">
        <f>IF(AL1011-R1011-S1011&lt;0,0,AL1011-R1011-S1011)</f>
        <v>0</v>
      </c>
      <c r="AN1011" s="5" t="str">
        <f t="shared" si="31"/>
        <v/>
      </c>
      <c r="AO1011" s="5">
        <v>0</v>
      </c>
      <c r="AP1011" s="9"/>
      <c r="AQ1011" s="5" t="s">
        <v>1210</v>
      </c>
      <c r="AR1011" s="5" t="s">
        <v>1230</v>
      </c>
      <c r="AS1011" s="8"/>
      <c r="AT1011" s="8"/>
      <c r="AU1011" s="8"/>
      <c r="AV1011" s="8"/>
      <c r="AW1011" s="8"/>
      <c r="AX1011" s="8"/>
      <c r="AY1011" s="8"/>
      <c r="AZ1011" s="8"/>
    </row>
    <row r="1012" spans="1:52">
      <c r="A1012" s="5" t="s">
        <v>580</v>
      </c>
      <c r="B1012" s="5">
        <v>941</v>
      </c>
      <c r="C1012" s="19">
        <v>772</v>
      </c>
      <c r="E1012" s="14"/>
      <c r="F1012" s="11"/>
      <c r="G1012" s="11"/>
      <c r="H1012" s="11"/>
      <c r="I1012" s="11"/>
      <c r="J1012" s="25"/>
      <c r="K1012" s="11"/>
      <c r="L1012" s="11"/>
      <c r="M1012" s="19">
        <v>0</v>
      </c>
      <c r="O1012" s="6"/>
      <c r="P1012" s="16">
        <v>0</v>
      </c>
      <c r="Q1012" s="16">
        <v>552</v>
      </c>
      <c r="R1012" s="22"/>
      <c r="S1012" s="22">
        <f t="shared" si="30"/>
        <v>0</v>
      </c>
      <c r="T1012" s="5" t="s">
        <v>1210</v>
      </c>
      <c r="U1012" s="5" t="s">
        <v>1210</v>
      </c>
      <c r="Y1012" s="8"/>
      <c r="Z1012" s="8"/>
      <c r="AA1012" s="8"/>
      <c r="AB1012" s="8"/>
      <c r="AC1012" s="8"/>
      <c r="AD1012" s="8"/>
      <c r="AE1012" s="25"/>
      <c r="AF1012" s="11"/>
      <c r="AG1012" s="25"/>
      <c r="AH1012" s="11"/>
      <c r="AI1012" s="11">
        <v>13</v>
      </c>
      <c r="AJ1012" s="19">
        <v>16</v>
      </c>
      <c r="AK1012" s="12">
        <f>(AJ1012+AI1012)/30*7</f>
        <v>6.7666666666666666</v>
      </c>
      <c r="AL1012" s="6">
        <f>IF(AK1012-C1012&lt;0,0,AK1012-C1012)</f>
        <v>0</v>
      </c>
      <c r="AM1012" s="6">
        <f>IF(AL1012-R1012-S1012&lt;0,0,AL1012-R1012-S1012)</f>
        <v>0</v>
      </c>
      <c r="AN1012" s="5" t="str">
        <f t="shared" si="31"/>
        <v/>
      </c>
      <c r="AO1012" s="5">
        <v>0</v>
      </c>
      <c r="AP1012" s="9"/>
      <c r="AQ1012" s="5" t="s">
        <v>1210</v>
      </c>
      <c r="AR1012" s="5" t="s">
        <v>1230</v>
      </c>
      <c r="AS1012" s="8"/>
      <c r="AT1012" s="8"/>
      <c r="AU1012" s="8"/>
      <c r="AV1012" s="8"/>
      <c r="AW1012" s="8"/>
      <c r="AX1012" s="8"/>
      <c r="AY1012" s="8"/>
      <c r="AZ1012" s="8"/>
    </row>
    <row r="1013" spans="1:52">
      <c r="A1013" s="5" t="s">
        <v>550</v>
      </c>
      <c r="B1013" s="5">
        <v>1007</v>
      </c>
      <c r="C1013" s="19">
        <v>379</v>
      </c>
      <c r="E1013" s="14"/>
      <c r="F1013" s="11"/>
      <c r="G1013" s="11"/>
      <c r="H1013" s="11"/>
      <c r="I1013" s="11"/>
      <c r="J1013" s="25"/>
      <c r="K1013" s="11"/>
      <c r="L1013" s="11"/>
      <c r="M1013" s="19">
        <v>0</v>
      </c>
      <c r="O1013" s="6"/>
      <c r="P1013" s="16">
        <v>427</v>
      </c>
      <c r="Q1013" s="16">
        <v>758</v>
      </c>
      <c r="R1013" s="22"/>
      <c r="S1013" s="22">
        <f t="shared" si="30"/>
        <v>0</v>
      </c>
      <c r="T1013" s="5" t="s">
        <v>1210</v>
      </c>
      <c r="U1013" s="5" t="s">
        <v>1210</v>
      </c>
      <c r="Y1013" s="8"/>
      <c r="Z1013" s="8"/>
      <c r="AA1013" s="8"/>
      <c r="AB1013" s="8"/>
      <c r="AC1013" s="8"/>
      <c r="AD1013" s="8"/>
      <c r="AE1013" s="25"/>
      <c r="AF1013" s="11"/>
      <c r="AG1013" s="25"/>
      <c r="AH1013" s="11"/>
      <c r="AI1013" s="11">
        <v>92</v>
      </c>
      <c r="AJ1013" s="19">
        <v>0</v>
      </c>
      <c r="AK1013" s="12">
        <f>(AJ1013+AI1013)/30*7</f>
        <v>21.466666666666669</v>
      </c>
      <c r="AL1013" s="6">
        <f>IF(AK1013-C1013&lt;0,0,AK1013-C1013)</f>
        <v>0</v>
      </c>
      <c r="AM1013" s="6">
        <f>IF(AL1013-R1013-S1013&lt;0,0,AL1013-R1013-S1013)</f>
        <v>0</v>
      </c>
      <c r="AN1013" s="5" t="str">
        <f t="shared" si="31"/>
        <v/>
      </c>
      <c r="AO1013" s="5">
        <v>0</v>
      </c>
      <c r="AP1013" s="9"/>
      <c r="AQ1013" s="5" t="s">
        <v>1210</v>
      </c>
      <c r="AR1013" s="5" t="s">
        <v>1210</v>
      </c>
      <c r="AS1013" s="8"/>
      <c r="AT1013" s="8"/>
      <c r="AU1013" s="8"/>
      <c r="AV1013" s="8"/>
      <c r="AW1013" s="8"/>
      <c r="AX1013" s="8"/>
      <c r="AY1013" s="8"/>
      <c r="AZ1013" s="8"/>
    </row>
    <row r="1014" spans="1:52">
      <c r="A1014" s="5" t="s">
        <v>925</v>
      </c>
      <c r="B1014" s="5">
        <v>1371</v>
      </c>
      <c r="C1014" s="19">
        <v>865</v>
      </c>
      <c r="E1014" s="14"/>
      <c r="F1014" s="11"/>
      <c r="G1014" s="11"/>
      <c r="H1014" s="11"/>
      <c r="I1014" s="11"/>
      <c r="J1014" s="25"/>
      <c r="K1014" s="11"/>
      <c r="L1014" s="11"/>
      <c r="M1014" s="19">
        <v>0</v>
      </c>
      <c r="O1014" s="6"/>
      <c r="P1014" s="16">
        <v>287</v>
      </c>
      <c r="Q1014" s="16">
        <v>616</v>
      </c>
      <c r="R1014" s="22"/>
      <c r="S1014" s="22">
        <f t="shared" si="30"/>
        <v>0</v>
      </c>
      <c r="T1014" s="5" t="s">
        <v>1210</v>
      </c>
      <c r="U1014" s="5" t="s">
        <v>1210</v>
      </c>
      <c r="Y1014" s="8"/>
      <c r="Z1014" s="8"/>
      <c r="AA1014" s="8"/>
      <c r="AB1014" s="8"/>
      <c r="AC1014" s="8"/>
      <c r="AD1014" s="8"/>
      <c r="AE1014" s="25"/>
      <c r="AF1014" s="11"/>
      <c r="AG1014" s="25"/>
      <c r="AH1014" s="11"/>
      <c r="AI1014" s="11">
        <v>54</v>
      </c>
      <c r="AJ1014" s="19">
        <v>0</v>
      </c>
      <c r="AK1014" s="12">
        <f>(AJ1014+AI1014)/30*7</f>
        <v>12.6</v>
      </c>
      <c r="AL1014" s="6">
        <f>IF(AK1014-C1014&lt;0,0,AK1014-C1014)</f>
        <v>0</v>
      </c>
      <c r="AM1014" s="6">
        <f>IF(AL1014-R1014-S1014&lt;0,0,AL1014-R1014-S1014)</f>
        <v>0</v>
      </c>
      <c r="AN1014" s="5" t="str">
        <f t="shared" si="31"/>
        <v/>
      </c>
      <c r="AO1014" s="5">
        <v>0</v>
      </c>
      <c r="AP1014" s="9"/>
      <c r="AQ1014" s="5" t="s">
        <v>1210</v>
      </c>
      <c r="AR1014" s="5" t="s">
        <v>1230</v>
      </c>
      <c r="AS1014" s="8"/>
      <c r="AT1014" s="8"/>
      <c r="AU1014" s="8"/>
      <c r="AV1014" s="8"/>
      <c r="AW1014" s="8"/>
      <c r="AX1014" s="8"/>
      <c r="AY1014" s="8"/>
      <c r="AZ1014" s="8"/>
    </row>
    <row r="1015" spans="1:52">
      <c r="A1015" s="5" t="s">
        <v>797</v>
      </c>
      <c r="B1015" s="5">
        <v>1372</v>
      </c>
      <c r="C1015" s="19">
        <v>221</v>
      </c>
      <c r="E1015" s="14"/>
      <c r="F1015" s="11"/>
      <c r="G1015" s="11"/>
      <c r="H1015" s="11"/>
      <c r="I1015" s="11"/>
      <c r="J1015" s="25"/>
      <c r="K1015" s="11"/>
      <c r="L1015" s="11"/>
      <c r="M1015" s="19">
        <v>0</v>
      </c>
      <c r="O1015" s="6"/>
      <c r="P1015" s="16">
        <v>747</v>
      </c>
      <c r="Q1015" s="16">
        <v>563</v>
      </c>
      <c r="R1015" s="22"/>
      <c r="S1015" s="22">
        <f t="shared" si="30"/>
        <v>0</v>
      </c>
      <c r="T1015" s="5" t="s">
        <v>1210</v>
      </c>
      <c r="U1015" s="5" t="s">
        <v>1210</v>
      </c>
      <c r="Y1015" s="8"/>
      <c r="Z1015" s="8"/>
      <c r="AA1015" s="8"/>
      <c r="AB1015" s="8"/>
      <c r="AC1015" s="8"/>
      <c r="AD1015" s="8"/>
      <c r="AE1015" s="25"/>
      <c r="AF1015" s="11"/>
      <c r="AG1015" s="25"/>
      <c r="AH1015" s="11"/>
      <c r="AI1015" s="11">
        <v>25</v>
      </c>
      <c r="AJ1015" s="19">
        <v>0</v>
      </c>
      <c r="AK1015" s="12">
        <f>(AJ1015+AI1015)/30*7</f>
        <v>5.8333333333333339</v>
      </c>
      <c r="AL1015" s="6">
        <f>IF(AK1015-C1015&lt;0,0,AK1015-C1015)</f>
        <v>0</v>
      </c>
      <c r="AM1015" s="6">
        <f>IF(AL1015-R1015-S1015&lt;0,0,AL1015-R1015-S1015)</f>
        <v>0</v>
      </c>
      <c r="AN1015" s="5" t="str">
        <f t="shared" si="31"/>
        <v/>
      </c>
      <c r="AO1015" s="5">
        <v>0</v>
      </c>
      <c r="AP1015" s="9"/>
      <c r="AQ1015" s="5" t="s">
        <v>1210</v>
      </c>
      <c r="AR1015" s="5" t="s">
        <v>1230</v>
      </c>
      <c r="AS1015" s="8"/>
      <c r="AT1015" s="8"/>
      <c r="AU1015" s="8"/>
      <c r="AV1015" s="8"/>
      <c r="AW1015" s="8"/>
      <c r="AX1015" s="8"/>
      <c r="AY1015" s="8"/>
      <c r="AZ1015" s="8"/>
    </row>
    <row r="1016" spans="1:52">
      <c r="A1016" s="5" t="s">
        <v>762</v>
      </c>
      <c r="B1016" s="5">
        <v>272</v>
      </c>
      <c r="C1016" s="19">
        <v>339</v>
      </c>
      <c r="E1016" s="14"/>
      <c r="F1016" s="11"/>
      <c r="G1016" s="11"/>
      <c r="H1016" s="11"/>
      <c r="I1016" s="11"/>
      <c r="J1016" s="25"/>
      <c r="K1016" s="11"/>
      <c r="L1016" s="11"/>
      <c r="M1016" s="19">
        <v>0</v>
      </c>
      <c r="O1016" s="6"/>
      <c r="P1016" s="16">
        <v>0</v>
      </c>
      <c r="Q1016" s="16">
        <v>0</v>
      </c>
      <c r="R1016" s="22"/>
      <c r="S1016" s="22">
        <f t="shared" si="30"/>
        <v>0</v>
      </c>
      <c r="T1016" s="5" t="s">
        <v>1210</v>
      </c>
      <c r="U1016" s="5" t="s">
        <v>1210</v>
      </c>
      <c r="Y1016" s="8"/>
      <c r="Z1016" s="8"/>
      <c r="AA1016" s="8"/>
      <c r="AB1016" s="8"/>
      <c r="AC1016" s="8"/>
      <c r="AD1016" s="8"/>
      <c r="AE1016" s="25"/>
      <c r="AF1016" s="11"/>
      <c r="AG1016" s="25"/>
      <c r="AH1016" s="11"/>
      <c r="AI1016" s="11">
        <v>33</v>
      </c>
      <c r="AJ1016" s="19">
        <v>0</v>
      </c>
      <c r="AK1016" s="12">
        <f>(AJ1016+AI1016)/30*7</f>
        <v>7.7000000000000011</v>
      </c>
      <c r="AL1016" s="6">
        <f>IF(AK1016-C1016&lt;0,0,AK1016-C1016)</f>
        <v>0</v>
      </c>
      <c r="AM1016" s="6">
        <f>IF(AL1016-R1016-S1016&lt;0,0,AL1016-R1016-S1016)</f>
        <v>0</v>
      </c>
      <c r="AN1016" s="5" t="str">
        <f t="shared" si="31"/>
        <v/>
      </c>
      <c r="AO1016" s="5">
        <v>0</v>
      </c>
      <c r="AP1016" s="9"/>
      <c r="AQ1016" s="5" t="s">
        <v>1210</v>
      </c>
      <c r="AR1016" s="5" t="s">
        <v>1230</v>
      </c>
      <c r="AS1016" s="8"/>
      <c r="AT1016" s="8"/>
      <c r="AU1016" s="8"/>
      <c r="AV1016" s="8"/>
      <c r="AW1016" s="8"/>
      <c r="AX1016" s="8"/>
      <c r="AY1016" s="8"/>
      <c r="AZ1016" s="8"/>
    </row>
    <row r="1017" spans="1:52">
      <c r="A1017" s="5" t="s">
        <v>769</v>
      </c>
      <c r="B1017" s="5">
        <v>553</v>
      </c>
      <c r="C1017" s="19">
        <v>284</v>
      </c>
      <c r="E1017" s="14"/>
      <c r="F1017" s="11"/>
      <c r="G1017" s="11"/>
      <c r="H1017" s="11"/>
      <c r="I1017" s="11"/>
      <c r="J1017" s="25"/>
      <c r="K1017" s="11"/>
      <c r="L1017" s="11"/>
      <c r="M1017" s="19">
        <v>0</v>
      </c>
      <c r="O1017" s="6"/>
      <c r="P1017" s="16">
        <v>0</v>
      </c>
      <c r="Q1017" s="16">
        <v>0</v>
      </c>
      <c r="R1017" s="22"/>
      <c r="S1017" s="22">
        <f t="shared" si="30"/>
        <v>0</v>
      </c>
      <c r="T1017" s="5">
        <v>390</v>
      </c>
      <c r="U1017" s="5">
        <v>0</v>
      </c>
      <c r="Y1017" s="8"/>
      <c r="Z1017" s="8"/>
      <c r="AA1017" s="8"/>
      <c r="AB1017" s="8"/>
      <c r="AC1017" s="8"/>
      <c r="AD1017" s="8"/>
      <c r="AE1017" s="25"/>
      <c r="AF1017" s="11"/>
      <c r="AG1017" s="25"/>
      <c r="AH1017" s="11"/>
      <c r="AI1017" s="11">
        <v>20</v>
      </c>
      <c r="AJ1017" s="19">
        <v>0</v>
      </c>
      <c r="AK1017" s="12">
        <f>(AJ1017+AI1017)/30*7</f>
        <v>4.6666666666666661</v>
      </c>
      <c r="AL1017" s="6">
        <f>IF(AK1017-C1017&lt;0,0,AK1017-C1017)</f>
        <v>0</v>
      </c>
      <c r="AM1017" s="6">
        <f>IF(AL1017-R1017-S1017&lt;0,0,AL1017-R1017-S1017)</f>
        <v>0</v>
      </c>
      <c r="AN1017" s="5" t="str">
        <f t="shared" si="31"/>
        <v/>
      </c>
      <c r="AO1017" s="5">
        <v>0</v>
      </c>
      <c r="AP1017" s="9"/>
      <c r="AQ1017" s="5" t="s">
        <v>1210</v>
      </c>
      <c r="AR1017" s="5" t="s">
        <v>1230</v>
      </c>
      <c r="AS1017" s="8"/>
      <c r="AT1017" s="8"/>
      <c r="AU1017" s="8"/>
      <c r="AV1017" s="8"/>
      <c r="AW1017" s="8"/>
      <c r="AX1017" s="8"/>
      <c r="AY1017" s="8"/>
      <c r="AZ1017" s="8"/>
    </row>
    <row r="1018" spans="1:52">
      <c r="A1018" s="5" t="s">
        <v>1014</v>
      </c>
      <c r="B1018" s="5">
        <v>1866</v>
      </c>
      <c r="C1018" s="19">
        <v>324</v>
      </c>
      <c r="E1018" s="14"/>
      <c r="F1018" s="11"/>
      <c r="G1018" s="11"/>
      <c r="H1018" s="11"/>
      <c r="I1018" s="11"/>
      <c r="J1018" s="25"/>
      <c r="K1018" s="11"/>
      <c r="L1018" s="11"/>
      <c r="M1018" s="19">
        <v>0</v>
      </c>
      <c r="O1018" s="6"/>
      <c r="P1018" s="16">
        <v>904</v>
      </c>
      <c r="Q1018" s="16">
        <v>0</v>
      </c>
      <c r="R1018" s="22"/>
      <c r="S1018" s="22">
        <f t="shared" si="30"/>
        <v>0</v>
      </c>
      <c r="T1018" s="5" t="s">
        <v>1210</v>
      </c>
      <c r="U1018" s="5" t="s">
        <v>1210</v>
      </c>
      <c r="Y1018" s="8"/>
      <c r="Z1018" s="8"/>
      <c r="AA1018" s="8"/>
      <c r="AB1018" s="8"/>
      <c r="AC1018" s="8"/>
      <c r="AD1018" s="8"/>
      <c r="AE1018" s="25"/>
      <c r="AF1018" s="11"/>
      <c r="AG1018" s="25"/>
      <c r="AH1018" s="11"/>
      <c r="AI1018" s="11">
        <v>9</v>
      </c>
      <c r="AJ1018" s="19">
        <v>0</v>
      </c>
      <c r="AK1018" s="12">
        <f>(AJ1018+AI1018)/30*7</f>
        <v>2.1</v>
      </c>
      <c r="AL1018" s="6">
        <f>IF(AK1018-C1018&lt;0,0,AK1018-C1018)</f>
        <v>0</v>
      </c>
      <c r="AM1018" s="6">
        <f>IF(AL1018-R1018-S1018&lt;0,0,AL1018-R1018-S1018)</f>
        <v>0</v>
      </c>
      <c r="AN1018" s="5" t="str">
        <f t="shared" si="31"/>
        <v/>
      </c>
      <c r="AO1018" s="5">
        <v>0</v>
      </c>
      <c r="AP1018" s="9"/>
      <c r="AQ1018" s="5" t="s">
        <v>1210</v>
      </c>
      <c r="AR1018" s="5" t="s">
        <v>1210</v>
      </c>
      <c r="AS1018" s="8"/>
      <c r="AT1018" s="8"/>
      <c r="AU1018" s="8"/>
      <c r="AV1018" s="8"/>
      <c r="AW1018" s="8"/>
      <c r="AX1018" s="8"/>
      <c r="AY1018" s="8"/>
      <c r="AZ1018" s="8"/>
    </row>
    <row r="1019" spans="1:52">
      <c r="A1019" s="5" t="s">
        <v>578</v>
      </c>
      <c r="B1019" s="5">
        <v>1923</v>
      </c>
      <c r="C1019" s="19">
        <v>685</v>
      </c>
      <c r="E1019" s="14"/>
      <c r="F1019" s="11"/>
      <c r="G1019" s="11"/>
      <c r="H1019" s="11"/>
      <c r="I1019" s="11"/>
      <c r="J1019" s="25"/>
      <c r="K1019" s="11"/>
      <c r="L1019" s="11"/>
      <c r="M1019" s="19">
        <v>0</v>
      </c>
      <c r="O1019" s="6"/>
      <c r="P1019" s="16">
        <v>896</v>
      </c>
      <c r="Q1019" s="16">
        <v>0</v>
      </c>
      <c r="R1019" s="22"/>
      <c r="S1019" s="22">
        <f t="shared" si="30"/>
        <v>0</v>
      </c>
      <c r="T1019" s="5" t="s">
        <v>1210</v>
      </c>
      <c r="U1019" s="5" t="s">
        <v>1210</v>
      </c>
      <c r="Y1019" s="8"/>
      <c r="Z1019" s="8"/>
      <c r="AA1019" s="8"/>
      <c r="AB1019" s="8"/>
      <c r="AC1019" s="8"/>
      <c r="AD1019" s="8"/>
      <c r="AE1019" s="25"/>
      <c r="AF1019" s="11"/>
      <c r="AG1019" s="25"/>
      <c r="AH1019" s="11"/>
      <c r="AI1019" s="11">
        <v>14</v>
      </c>
      <c r="AJ1019" s="19">
        <v>0</v>
      </c>
      <c r="AK1019" s="12">
        <f>(AJ1019+AI1019)/30*7</f>
        <v>3.2666666666666666</v>
      </c>
      <c r="AL1019" s="6">
        <f>IF(AK1019-C1019&lt;0,0,AK1019-C1019)</f>
        <v>0</v>
      </c>
      <c r="AM1019" s="6">
        <f>IF(AL1019-R1019-S1019&lt;0,0,AL1019-R1019-S1019)</f>
        <v>0</v>
      </c>
      <c r="AN1019" s="5" t="str">
        <f t="shared" si="31"/>
        <v/>
      </c>
      <c r="AO1019" s="5">
        <v>0</v>
      </c>
      <c r="AP1019" s="9"/>
      <c r="AQ1019" s="5" t="s">
        <v>1210</v>
      </c>
      <c r="AR1019" s="5" t="s">
        <v>1210</v>
      </c>
      <c r="AS1019" s="8"/>
      <c r="AT1019" s="8"/>
      <c r="AU1019" s="8"/>
      <c r="AV1019" s="8"/>
      <c r="AW1019" s="8"/>
      <c r="AX1019" s="8"/>
      <c r="AY1019" s="8"/>
      <c r="AZ1019" s="8"/>
    </row>
    <row r="1020" spans="1:52">
      <c r="A1020" s="5" t="s">
        <v>917</v>
      </c>
      <c r="B1020" s="5">
        <v>1413</v>
      </c>
      <c r="C1020" s="19">
        <v>521</v>
      </c>
      <c r="E1020" s="14"/>
      <c r="F1020" s="11"/>
      <c r="G1020" s="11"/>
      <c r="H1020" s="11"/>
      <c r="I1020" s="11"/>
      <c r="J1020" s="25"/>
      <c r="K1020" s="11"/>
      <c r="L1020" s="11"/>
      <c r="M1020" s="19">
        <v>0</v>
      </c>
      <c r="O1020" s="6"/>
      <c r="P1020" s="16">
        <v>0</v>
      </c>
      <c r="Q1020" s="16">
        <v>0</v>
      </c>
      <c r="R1020" s="22"/>
      <c r="S1020" s="22">
        <f t="shared" si="30"/>
        <v>0</v>
      </c>
      <c r="T1020" s="5">
        <v>1827</v>
      </c>
      <c r="U1020" s="5">
        <v>723</v>
      </c>
      <c r="Y1020" s="8"/>
      <c r="Z1020" s="8"/>
      <c r="AA1020" s="8"/>
      <c r="AB1020" s="8"/>
      <c r="AC1020" s="8"/>
      <c r="AD1020" s="8"/>
      <c r="AE1020" s="25"/>
      <c r="AF1020" s="11"/>
      <c r="AG1020" s="25"/>
      <c r="AH1020" s="11"/>
      <c r="AI1020" s="11">
        <v>11</v>
      </c>
      <c r="AJ1020" s="19">
        <v>0</v>
      </c>
      <c r="AK1020" s="12">
        <f>(AJ1020+AI1020)/30*7</f>
        <v>2.5666666666666664</v>
      </c>
      <c r="AL1020" s="6">
        <f>IF(AK1020-C1020&lt;0,0,AK1020-C1020)</f>
        <v>0</v>
      </c>
      <c r="AM1020" s="6">
        <f>IF(AL1020-R1020-S1020&lt;0,0,AL1020-R1020-S1020)</f>
        <v>0</v>
      </c>
      <c r="AN1020" s="5" t="str">
        <f t="shared" si="31"/>
        <v/>
      </c>
      <c r="AO1020" s="5">
        <v>0</v>
      </c>
      <c r="AP1020" s="9"/>
      <c r="AQ1020" s="5" t="s">
        <v>1210</v>
      </c>
      <c r="AR1020" s="5" t="s">
        <v>1210</v>
      </c>
      <c r="AS1020" s="8"/>
      <c r="AT1020" s="8"/>
      <c r="AU1020" s="8"/>
      <c r="AV1020" s="8"/>
      <c r="AW1020" s="8"/>
      <c r="AX1020" s="8"/>
      <c r="AY1020" s="8"/>
      <c r="AZ1020" s="8"/>
    </row>
    <row r="1021" spans="1:52">
      <c r="A1021" s="5" t="s">
        <v>525</v>
      </c>
      <c r="B1021" s="5">
        <v>1314</v>
      </c>
      <c r="C1021" s="19">
        <v>864</v>
      </c>
      <c r="E1021" s="14"/>
      <c r="F1021" s="11"/>
      <c r="G1021" s="11"/>
      <c r="H1021" s="11"/>
      <c r="I1021" s="11"/>
      <c r="J1021" s="25"/>
      <c r="K1021" s="11"/>
      <c r="L1021" s="11"/>
      <c r="M1021" s="19">
        <v>0</v>
      </c>
      <c r="O1021" s="6"/>
      <c r="P1021" s="16">
        <v>0</v>
      </c>
      <c r="Q1021" s="16">
        <v>728</v>
      </c>
      <c r="R1021" s="22"/>
      <c r="S1021" s="22">
        <f t="shared" si="30"/>
        <v>0</v>
      </c>
      <c r="T1021" s="5" t="s">
        <v>1210</v>
      </c>
      <c r="U1021" s="5" t="s">
        <v>1210</v>
      </c>
      <c r="Y1021" s="8"/>
      <c r="Z1021" s="8"/>
      <c r="AA1021" s="8"/>
      <c r="AB1021" s="8"/>
      <c r="AC1021" s="8"/>
      <c r="AD1021" s="8"/>
      <c r="AE1021" s="25"/>
      <c r="AF1021" s="11"/>
      <c r="AG1021" s="25"/>
      <c r="AH1021" s="11"/>
      <c r="AI1021" s="11">
        <v>48</v>
      </c>
      <c r="AJ1021" s="19">
        <v>0</v>
      </c>
      <c r="AK1021" s="12">
        <f>(AJ1021+AI1021)/30*7</f>
        <v>11.200000000000001</v>
      </c>
      <c r="AL1021" s="6">
        <f>IF(AK1021-C1021&lt;0,0,AK1021-C1021)</f>
        <v>0</v>
      </c>
      <c r="AM1021" s="6">
        <f>IF(AL1021-R1021-S1021&lt;0,0,AL1021-R1021-S1021)</f>
        <v>0</v>
      </c>
      <c r="AN1021" s="5" t="str">
        <f t="shared" si="31"/>
        <v/>
      </c>
      <c r="AO1021" s="5">
        <v>0</v>
      </c>
      <c r="AP1021" s="9"/>
      <c r="AQ1021" s="5" t="s">
        <v>1210</v>
      </c>
      <c r="AR1021" s="5" t="s">
        <v>1210</v>
      </c>
      <c r="AS1021" s="8"/>
      <c r="AT1021" s="8"/>
      <c r="AU1021" s="8"/>
      <c r="AV1021" s="8"/>
      <c r="AW1021" s="8"/>
      <c r="AX1021" s="8"/>
      <c r="AY1021" s="8"/>
      <c r="AZ1021" s="8"/>
    </row>
    <row r="1022" spans="1:52">
      <c r="A1022" s="5" t="s">
        <v>907</v>
      </c>
      <c r="B1022" s="5">
        <v>1665</v>
      </c>
      <c r="C1022" s="19">
        <v>831</v>
      </c>
      <c r="E1022" s="14"/>
      <c r="F1022" s="11"/>
      <c r="G1022" s="11"/>
      <c r="H1022" s="11"/>
      <c r="I1022" s="11"/>
      <c r="J1022" s="25"/>
      <c r="K1022" s="11"/>
      <c r="L1022" s="11"/>
      <c r="M1022" s="19">
        <v>0</v>
      </c>
      <c r="O1022" s="6"/>
      <c r="P1022" s="16">
        <v>0</v>
      </c>
      <c r="Q1022" s="16">
        <v>0</v>
      </c>
      <c r="R1022" s="22"/>
      <c r="S1022" s="22">
        <f t="shared" si="30"/>
        <v>0</v>
      </c>
      <c r="T1022" s="5">
        <v>1833</v>
      </c>
      <c r="U1022" s="5">
        <v>327</v>
      </c>
      <c r="Y1022" s="8"/>
      <c r="Z1022" s="8"/>
      <c r="AA1022" s="8"/>
      <c r="AB1022" s="8"/>
      <c r="AC1022" s="8"/>
      <c r="AD1022" s="8"/>
      <c r="AE1022" s="25"/>
      <c r="AF1022" s="11"/>
      <c r="AG1022" s="25"/>
      <c r="AH1022" s="11"/>
      <c r="AI1022" s="11">
        <v>65</v>
      </c>
      <c r="AJ1022" s="19">
        <v>0</v>
      </c>
      <c r="AK1022" s="12">
        <f>(AJ1022+AI1022)/30*7</f>
        <v>15.166666666666666</v>
      </c>
      <c r="AL1022" s="6">
        <f>IF(AK1022-C1022&lt;0,0,AK1022-C1022)</f>
        <v>0</v>
      </c>
      <c r="AM1022" s="6">
        <f>IF(AL1022-R1022-S1022&lt;0,0,AL1022-R1022-S1022)</f>
        <v>0</v>
      </c>
      <c r="AN1022" s="5" t="str">
        <f t="shared" si="31"/>
        <v/>
      </c>
      <c r="AO1022" s="5">
        <v>0</v>
      </c>
      <c r="AP1022" s="9"/>
      <c r="AQ1022" s="5" t="s">
        <v>1210</v>
      </c>
      <c r="AR1022" s="5" t="s">
        <v>1210</v>
      </c>
      <c r="AS1022" s="8"/>
      <c r="AT1022" s="8"/>
      <c r="AU1022" s="8"/>
      <c r="AV1022" s="8"/>
      <c r="AW1022" s="8"/>
      <c r="AX1022" s="8"/>
      <c r="AY1022" s="8"/>
      <c r="AZ1022" s="8"/>
    </row>
    <row r="1023" spans="1:52">
      <c r="A1023" s="5" t="s">
        <v>384</v>
      </c>
      <c r="B1023" s="5">
        <v>484</v>
      </c>
      <c r="C1023" s="19">
        <v>488</v>
      </c>
      <c r="E1023" s="14"/>
      <c r="F1023" s="11"/>
      <c r="G1023" s="11"/>
      <c r="H1023" s="11"/>
      <c r="I1023" s="11"/>
      <c r="J1023" s="25"/>
      <c r="K1023" s="11"/>
      <c r="L1023" s="11"/>
      <c r="M1023" s="19">
        <v>0</v>
      </c>
      <c r="O1023" s="6"/>
      <c r="P1023" s="16">
        <v>462</v>
      </c>
      <c r="Q1023" s="16">
        <v>405</v>
      </c>
      <c r="R1023" s="22"/>
      <c r="S1023" s="22">
        <f t="shared" si="30"/>
        <v>0</v>
      </c>
      <c r="T1023" s="5" t="s">
        <v>1210</v>
      </c>
      <c r="U1023" s="5" t="s">
        <v>1210</v>
      </c>
      <c r="Y1023" s="8"/>
      <c r="Z1023" s="8"/>
      <c r="AA1023" s="8"/>
      <c r="AB1023" s="8"/>
      <c r="AC1023" s="8"/>
      <c r="AD1023" s="8"/>
      <c r="AE1023" s="25"/>
      <c r="AF1023" s="11"/>
      <c r="AG1023" s="25"/>
      <c r="AH1023" s="11"/>
      <c r="AI1023" s="11">
        <v>19</v>
      </c>
      <c r="AJ1023" s="19">
        <v>0</v>
      </c>
      <c r="AK1023" s="12">
        <f>(AJ1023+AI1023)/30*7</f>
        <v>4.4333333333333336</v>
      </c>
      <c r="AL1023" s="6">
        <f>IF(AK1023-C1023&lt;0,0,AK1023-C1023)</f>
        <v>0</v>
      </c>
      <c r="AM1023" s="6">
        <f>IF(AL1023-R1023-S1023&lt;0,0,AL1023-R1023-S1023)</f>
        <v>0</v>
      </c>
      <c r="AN1023" s="5" t="str">
        <f t="shared" si="31"/>
        <v/>
      </c>
      <c r="AO1023" s="5">
        <v>0</v>
      </c>
      <c r="AP1023" s="9"/>
      <c r="AQ1023" s="5" t="s">
        <v>1210</v>
      </c>
      <c r="AR1023" s="5" t="s">
        <v>1210</v>
      </c>
      <c r="AS1023" s="8"/>
      <c r="AT1023" s="8"/>
      <c r="AU1023" s="8"/>
      <c r="AV1023" s="8"/>
      <c r="AW1023" s="8"/>
      <c r="AX1023" s="8"/>
      <c r="AY1023" s="8"/>
      <c r="AZ1023" s="8"/>
    </row>
    <row r="1024" spans="1:52">
      <c r="A1024" s="5" t="s">
        <v>602</v>
      </c>
      <c r="B1024" s="5">
        <v>576</v>
      </c>
      <c r="C1024" s="19">
        <v>204</v>
      </c>
      <c r="E1024" s="14"/>
      <c r="F1024" s="11"/>
      <c r="G1024" s="11"/>
      <c r="H1024" s="11"/>
      <c r="I1024" s="11"/>
      <c r="J1024" s="25"/>
      <c r="K1024" s="11"/>
      <c r="L1024" s="11"/>
      <c r="M1024" s="19">
        <v>0</v>
      </c>
      <c r="O1024" s="6"/>
      <c r="P1024" s="16">
        <v>0</v>
      </c>
      <c r="Q1024" s="16">
        <v>0</v>
      </c>
      <c r="R1024" s="22"/>
      <c r="S1024" s="22">
        <f t="shared" si="30"/>
        <v>0</v>
      </c>
      <c r="T1024" s="5" t="s">
        <v>1210</v>
      </c>
      <c r="U1024" s="5" t="s">
        <v>1210</v>
      </c>
      <c r="Y1024" s="8"/>
      <c r="Z1024" s="8"/>
      <c r="AA1024" s="8"/>
      <c r="AB1024" s="8"/>
      <c r="AC1024" s="8"/>
      <c r="AD1024" s="8"/>
      <c r="AE1024" s="25"/>
      <c r="AF1024" s="11"/>
      <c r="AG1024" s="25"/>
      <c r="AH1024" s="11"/>
      <c r="AI1024" s="11">
        <v>100</v>
      </c>
      <c r="AJ1024" s="19">
        <v>0</v>
      </c>
      <c r="AK1024" s="12">
        <f>(AJ1024+AI1024)/30*7</f>
        <v>23.333333333333336</v>
      </c>
      <c r="AL1024" s="6">
        <f>IF(AK1024-C1024&lt;0,0,AK1024-C1024)</f>
        <v>0</v>
      </c>
      <c r="AM1024" s="6">
        <f>IF(AL1024-R1024-S1024&lt;0,0,AL1024-R1024-S1024)</f>
        <v>0</v>
      </c>
      <c r="AN1024" s="5" t="str">
        <f t="shared" si="31"/>
        <v/>
      </c>
      <c r="AO1024" s="5">
        <v>0</v>
      </c>
      <c r="AP1024" s="9"/>
      <c r="AQ1024" s="5" t="s">
        <v>1210</v>
      </c>
      <c r="AR1024" s="5" t="s">
        <v>1210</v>
      </c>
      <c r="AS1024" s="8"/>
      <c r="AT1024" s="8"/>
      <c r="AU1024" s="8"/>
      <c r="AV1024" s="8"/>
      <c r="AW1024" s="8"/>
      <c r="AX1024" s="8"/>
      <c r="AY1024" s="8"/>
      <c r="AZ1024" s="8"/>
    </row>
    <row r="1025" spans="1:52">
      <c r="A1025" s="5" t="s">
        <v>556</v>
      </c>
      <c r="B1025" s="5">
        <v>242</v>
      </c>
      <c r="C1025" s="19">
        <v>773</v>
      </c>
      <c r="E1025" s="14"/>
      <c r="F1025" s="11"/>
      <c r="G1025" s="11"/>
      <c r="H1025" s="11"/>
      <c r="I1025" s="11"/>
      <c r="J1025" s="25"/>
      <c r="K1025" s="11"/>
      <c r="L1025" s="11"/>
      <c r="M1025" s="19">
        <v>0</v>
      </c>
      <c r="O1025" s="6"/>
      <c r="P1025" s="16">
        <v>0</v>
      </c>
      <c r="Q1025" s="16">
        <v>0</v>
      </c>
      <c r="R1025" s="22"/>
      <c r="S1025" s="22">
        <f t="shared" si="30"/>
        <v>0</v>
      </c>
      <c r="T1025" s="5" t="s">
        <v>1210</v>
      </c>
      <c r="U1025" s="5" t="s">
        <v>1210</v>
      </c>
      <c r="Y1025" s="8"/>
      <c r="Z1025" s="8"/>
      <c r="AA1025" s="8"/>
      <c r="AB1025" s="8"/>
      <c r="AC1025" s="8"/>
      <c r="AD1025" s="8"/>
      <c r="AE1025" s="25"/>
      <c r="AF1025" s="11"/>
      <c r="AG1025" s="25"/>
      <c r="AH1025" s="11"/>
      <c r="AI1025" s="11">
        <v>40</v>
      </c>
      <c r="AJ1025" s="19">
        <v>0</v>
      </c>
      <c r="AK1025" s="12">
        <f>(AJ1025+AI1025)/30*7</f>
        <v>9.3333333333333321</v>
      </c>
      <c r="AL1025" s="6">
        <f>IF(AK1025-C1025&lt;0,0,AK1025-C1025)</f>
        <v>0</v>
      </c>
      <c r="AM1025" s="6">
        <f>IF(AL1025-R1025-S1025&lt;0,0,AL1025-R1025-S1025)</f>
        <v>0</v>
      </c>
      <c r="AN1025" s="5" t="str">
        <f t="shared" si="31"/>
        <v/>
      </c>
      <c r="AO1025" s="5">
        <v>0</v>
      </c>
      <c r="AP1025" s="9"/>
      <c r="AQ1025" s="5" t="s">
        <v>1210</v>
      </c>
      <c r="AR1025" s="5" t="s">
        <v>1230</v>
      </c>
      <c r="AS1025" s="8"/>
      <c r="AT1025" s="8"/>
      <c r="AU1025" s="8"/>
      <c r="AV1025" s="8"/>
      <c r="AW1025" s="8"/>
      <c r="AX1025" s="8"/>
      <c r="AY1025" s="8"/>
      <c r="AZ1025" s="8"/>
    </row>
    <row r="1026" spans="1:52">
      <c r="A1026" s="15" t="s">
        <v>474</v>
      </c>
      <c r="B1026" s="15">
        <v>2223</v>
      </c>
      <c r="C1026" s="19">
        <v>542</v>
      </c>
      <c r="E1026" s="14"/>
      <c r="F1026" s="11"/>
      <c r="G1026" s="11"/>
      <c r="H1026" s="11"/>
      <c r="I1026" s="11"/>
      <c r="J1026" s="25"/>
      <c r="K1026" s="11"/>
      <c r="L1026" s="11"/>
      <c r="M1026" s="19">
        <v>0</v>
      </c>
      <c r="O1026" s="6"/>
      <c r="P1026" s="16">
        <v>426</v>
      </c>
      <c r="Q1026" s="16">
        <v>0</v>
      </c>
      <c r="R1026" s="22"/>
      <c r="S1026" s="22">
        <f t="shared" si="30"/>
        <v>0</v>
      </c>
      <c r="T1026" s="5" t="s">
        <v>1210</v>
      </c>
      <c r="U1026" s="5" t="s">
        <v>1210</v>
      </c>
      <c r="Y1026" s="8"/>
      <c r="Z1026" s="8"/>
      <c r="AA1026" s="8"/>
      <c r="AB1026" s="8"/>
      <c r="AC1026" s="8"/>
      <c r="AD1026" s="8"/>
      <c r="AE1026" s="25"/>
      <c r="AF1026" s="11"/>
      <c r="AG1026" s="25"/>
      <c r="AH1026" s="11"/>
      <c r="AI1026" s="11">
        <v>27</v>
      </c>
      <c r="AJ1026" s="19">
        <v>0</v>
      </c>
      <c r="AK1026" s="12">
        <f>(AJ1026+AI1026)/30*7</f>
        <v>6.3</v>
      </c>
      <c r="AL1026" s="6">
        <f>IF(AK1026-C1026&lt;0,0,AK1026-C1026)</f>
        <v>0</v>
      </c>
      <c r="AM1026" s="6">
        <f>IF(AL1026-R1026-S1026&lt;0,0,AL1026-R1026-S1026)</f>
        <v>0</v>
      </c>
      <c r="AN1026" s="5" t="str">
        <f t="shared" si="31"/>
        <v/>
      </c>
      <c r="AO1026" s="5">
        <v>0</v>
      </c>
      <c r="AP1026" s="9"/>
      <c r="AQ1026" s="5" t="s">
        <v>1210</v>
      </c>
      <c r="AR1026" s="5" t="s">
        <v>1210</v>
      </c>
      <c r="AS1026" s="8"/>
      <c r="AT1026" s="8"/>
      <c r="AU1026" s="8"/>
      <c r="AV1026" s="8"/>
      <c r="AW1026" s="8"/>
      <c r="AX1026" s="8"/>
      <c r="AY1026" s="8"/>
      <c r="AZ1026" s="8"/>
    </row>
    <row r="1027" spans="1:52">
      <c r="A1027" s="5" t="s">
        <v>1106</v>
      </c>
      <c r="B1027" s="5">
        <v>1405</v>
      </c>
      <c r="C1027" s="19">
        <v>966</v>
      </c>
      <c r="E1027" s="14"/>
      <c r="F1027" s="11"/>
      <c r="G1027" s="11"/>
      <c r="H1027" s="11"/>
      <c r="I1027" s="11"/>
      <c r="J1027" s="25"/>
      <c r="K1027" s="11"/>
      <c r="L1027" s="11"/>
      <c r="M1027" s="19">
        <v>0</v>
      </c>
      <c r="O1027" s="6"/>
      <c r="P1027" s="16">
        <v>0</v>
      </c>
      <c r="Q1027" s="16">
        <v>0</v>
      </c>
      <c r="R1027" s="22"/>
      <c r="S1027" s="22">
        <f t="shared" si="30"/>
        <v>0</v>
      </c>
      <c r="T1027" s="5">
        <v>1405</v>
      </c>
      <c r="U1027" s="5">
        <v>966</v>
      </c>
      <c r="Y1027" s="8"/>
      <c r="Z1027" s="8"/>
      <c r="AA1027" s="8"/>
      <c r="AB1027" s="8"/>
      <c r="AC1027" s="8"/>
      <c r="AD1027" s="8"/>
      <c r="AE1027" s="25"/>
      <c r="AF1027" s="11"/>
      <c r="AG1027" s="25"/>
      <c r="AH1027" s="11"/>
      <c r="AI1027" s="11">
        <v>84</v>
      </c>
      <c r="AJ1027" s="19">
        <v>0</v>
      </c>
      <c r="AK1027" s="12">
        <f>(AJ1027+AI1027)/30*7</f>
        <v>19.599999999999998</v>
      </c>
      <c r="AL1027" s="6">
        <f>IF(AK1027-C1027&lt;0,0,AK1027-C1027)</f>
        <v>0</v>
      </c>
      <c r="AM1027" s="6">
        <f>IF(AL1027-R1027-S1027&lt;0,0,AL1027-R1027-S1027)</f>
        <v>0</v>
      </c>
      <c r="AN1027" s="5" t="str">
        <f t="shared" si="31"/>
        <v/>
      </c>
      <c r="AO1027" s="5">
        <v>0</v>
      </c>
      <c r="AP1027" s="9"/>
      <c r="AQ1027" s="5" t="s">
        <v>1210</v>
      </c>
      <c r="AR1027" s="5" t="s">
        <v>1230</v>
      </c>
      <c r="AS1027" s="8"/>
      <c r="AT1027" s="8"/>
      <c r="AU1027" s="8"/>
      <c r="AV1027" s="8"/>
      <c r="AW1027" s="8"/>
      <c r="AX1027" s="8"/>
      <c r="AY1027" s="8"/>
      <c r="AZ1027" s="8"/>
    </row>
    <row r="1028" spans="1:52">
      <c r="A1028" s="5" t="s">
        <v>104</v>
      </c>
      <c r="B1028" s="5">
        <v>929</v>
      </c>
      <c r="C1028" s="19">
        <v>854</v>
      </c>
      <c r="E1028" s="14"/>
      <c r="F1028" s="11"/>
      <c r="G1028" s="11"/>
      <c r="H1028" s="11"/>
      <c r="I1028" s="11"/>
      <c r="J1028" s="25"/>
      <c r="K1028" s="11"/>
      <c r="L1028" s="11"/>
      <c r="M1028" s="19">
        <v>7</v>
      </c>
      <c r="O1028" s="6"/>
      <c r="P1028" s="16">
        <v>846</v>
      </c>
      <c r="Q1028" s="16">
        <v>0</v>
      </c>
      <c r="R1028" s="22"/>
      <c r="S1028" s="22">
        <f t="shared" ref="S1028:S1091" si="32">IF(AL1028&gt;0,IF(Q1028&gt;=AL1028,ROUND(AL1028,0),Q1028),0)</f>
        <v>0</v>
      </c>
      <c r="T1028" s="5">
        <v>1539</v>
      </c>
      <c r="U1028" s="5">
        <v>612</v>
      </c>
      <c r="Y1028" s="8"/>
      <c r="Z1028" s="8"/>
      <c r="AA1028" s="8"/>
      <c r="AB1028" s="8"/>
      <c r="AC1028" s="8"/>
      <c r="AD1028" s="8"/>
      <c r="AE1028" s="25"/>
      <c r="AF1028" s="11"/>
      <c r="AG1028" s="25"/>
      <c r="AH1028" s="11"/>
      <c r="AI1028" s="11">
        <v>25</v>
      </c>
      <c r="AJ1028" s="19">
        <v>0</v>
      </c>
      <c r="AK1028" s="12">
        <f>(AJ1028+AI1028)/30*7</f>
        <v>5.8333333333333339</v>
      </c>
      <c r="AL1028" s="6">
        <f>IF(AK1028-C1028&lt;0,0,AK1028-C1028)</f>
        <v>0</v>
      </c>
      <c r="AM1028" s="6">
        <f>IF(AL1028-R1028-S1028&lt;0,0,AL1028-R1028-S1028)</f>
        <v>0</v>
      </c>
      <c r="AN1028" s="5" t="str">
        <f t="shared" ref="AN1028:AN1091" si="33">IF(AM1028&gt;0,IF(LEN(U1028)=0,IF(ROUND(AM1028-AO1028,0)&gt;0,ROUND(AM1028-AO1028,0),""),IF(U1028+AO1028&gt;=AM1028,"",ROUND(AM1028-U1028-AO1028,0))),"")</f>
        <v/>
      </c>
      <c r="AO1028" s="5">
        <v>0</v>
      </c>
      <c r="AP1028" s="9"/>
      <c r="AQ1028" s="5" t="s">
        <v>1210</v>
      </c>
      <c r="AR1028" s="5" t="s">
        <v>1210</v>
      </c>
      <c r="AS1028" s="8"/>
      <c r="AT1028" s="8"/>
      <c r="AU1028" s="8"/>
      <c r="AV1028" s="8"/>
      <c r="AW1028" s="8"/>
      <c r="AX1028" s="8"/>
      <c r="AY1028" s="8"/>
      <c r="AZ1028" s="8"/>
    </row>
    <row r="1029" spans="1:52">
      <c r="A1029" s="5" t="s">
        <v>978</v>
      </c>
      <c r="B1029" s="5">
        <v>2115</v>
      </c>
      <c r="C1029" s="19">
        <v>980</v>
      </c>
      <c r="E1029" s="14"/>
      <c r="F1029" s="11"/>
      <c r="G1029" s="11"/>
      <c r="H1029" s="11"/>
      <c r="I1029" s="11"/>
      <c r="J1029" s="25"/>
      <c r="K1029" s="11"/>
      <c r="L1029" s="11"/>
      <c r="M1029" s="19">
        <v>0</v>
      </c>
      <c r="O1029" s="6"/>
      <c r="P1029" s="16">
        <v>862</v>
      </c>
      <c r="Q1029" s="16">
        <v>0</v>
      </c>
      <c r="R1029" s="22"/>
      <c r="S1029" s="22">
        <f t="shared" si="32"/>
        <v>0</v>
      </c>
      <c r="T1029" s="5" t="s">
        <v>1210</v>
      </c>
      <c r="U1029" s="5" t="s">
        <v>1210</v>
      </c>
      <c r="Y1029" s="8"/>
      <c r="Z1029" s="8"/>
      <c r="AA1029" s="8"/>
      <c r="AB1029" s="8"/>
      <c r="AC1029" s="8"/>
      <c r="AD1029" s="8"/>
      <c r="AE1029" s="25"/>
      <c r="AF1029" s="11"/>
      <c r="AG1029" s="25"/>
      <c r="AH1029" s="11"/>
      <c r="AI1029" s="11">
        <v>5</v>
      </c>
      <c r="AJ1029" s="19">
        <v>0</v>
      </c>
      <c r="AK1029" s="12">
        <f>(AJ1029+AI1029)/30*7</f>
        <v>1.1666666666666665</v>
      </c>
      <c r="AL1029" s="6">
        <f>IF(AK1029-C1029&lt;0,0,AK1029-C1029)</f>
        <v>0</v>
      </c>
      <c r="AM1029" s="6">
        <f>IF(AL1029-R1029-S1029&lt;0,0,AL1029-R1029-S1029)</f>
        <v>0</v>
      </c>
      <c r="AN1029" s="5" t="str">
        <f t="shared" si="33"/>
        <v/>
      </c>
      <c r="AO1029" s="5">
        <v>0</v>
      </c>
      <c r="AP1029" s="9"/>
      <c r="AQ1029" s="5" t="s">
        <v>1210</v>
      </c>
      <c r="AR1029" s="5" t="s">
        <v>1210</v>
      </c>
      <c r="AS1029" s="8"/>
      <c r="AT1029" s="8"/>
      <c r="AU1029" s="8"/>
      <c r="AV1029" s="8"/>
      <c r="AW1029" s="8"/>
      <c r="AX1029" s="8"/>
      <c r="AY1029" s="8"/>
      <c r="AZ1029" s="8"/>
    </row>
    <row r="1030" spans="1:52">
      <c r="A1030" s="5" t="s">
        <v>348</v>
      </c>
      <c r="B1030" s="5">
        <v>1317</v>
      </c>
      <c r="C1030" s="19">
        <v>636</v>
      </c>
      <c r="E1030" s="14"/>
      <c r="F1030" s="11"/>
      <c r="G1030" s="11"/>
      <c r="H1030" s="11"/>
      <c r="I1030" s="11"/>
      <c r="J1030" s="25"/>
      <c r="K1030" s="11"/>
      <c r="L1030" s="11"/>
      <c r="M1030" s="19">
        <v>1</v>
      </c>
      <c r="O1030" s="6"/>
      <c r="P1030" s="16">
        <v>753</v>
      </c>
      <c r="Q1030" s="16">
        <v>0</v>
      </c>
      <c r="R1030" s="22"/>
      <c r="S1030" s="22">
        <f t="shared" si="32"/>
        <v>0</v>
      </c>
      <c r="T1030" s="5" t="s">
        <v>1210</v>
      </c>
      <c r="U1030" s="5" t="s">
        <v>1210</v>
      </c>
      <c r="Y1030" s="8"/>
      <c r="Z1030" s="8"/>
      <c r="AA1030" s="8"/>
      <c r="AB1030" s="8"/>
      <c r="AC1030" s="8"/>
      <c r="AD1030" s="8"/>
      <c r="AE1030" s="25"/>
      <c r="AF1030" s="11"/>
      <c r="AG1030" s="25"/>
      <c r="AH1030" s="11"/>
      <c r="AI1030" s="11">
        <v>3</v>
      </c>
      <c r="AJ1030" s="19">
        <v>8</v>
      </c>
      <c r="AK1030" s="12">
        <f>(AJ1030+AI1030)/30*7</f>
        <v>2.5666666666666664</v>
      </c>
      <c r="AL1030" s="6">
        <f>IF(AK1030-C1030&lt;0,0,AK1030-C1030)</f>
        <v>0</v>
      </c>
      <c r="AM1030" s="6">
        <f>IF(AL1030-R1030-S1030&lt;0,0,AL1030-R1030-S1030)</f>
        <v>0</v>
      </c>
      <c r="AN1030" s="5" t="str">
        <f t="shared" si="33"/>
        <v/>
      </c>
      <c r="AO1030" s="5">
        <v>0</v>
      </c>
      <c r="AP1030" s="9"/>
      <c r="AQ1030" s="5" t="s">
        <v>1210</v>
      </c>
      <c r="AR1030" s="5" t="s">
        <v>1210</v>
      </c>
      <c r="AS1030" s="8"/>
      <c r="AT1030" s="8"/>
      <c r="AU1030" s="8"/>
      <c r="AV1030" s="8"/>
      <c r="AW1030" s="8"/>
      <c r="AX1030" s="8"/>
      <c r="AY1030" s="8"/>
      <c r="AZ1030" s="8"/>
    </row>
    <row r="1031" spans="1:52">
      <c r="A1031" s="5" t="s">
        <v>367</v>
      </c>
      <c r="B1031" s="5">
        <v>1073</v>
      </c>
      <c r="C1031" s="19">
        <v>463</v>
      </c>
      <c r="E1031" s="14"/>
      <c r="F1031" s="11"/>
      <c r="G1031" s="11"/>
      <c r="H1031" s="11"/>
      <c r="I1031" s="11"/>
      <c r="J1031" s="25"/>
      <c r="K1031" s="11"/>
      <c r="L1031" s="11"/>
      <c r="M1031" s="19">
        <v>0</v>
      </c>
      <c r="O1031" s="6"/>
      <c r="P1031" s="16">
        <v>253</v>
      </c>
      <c r="Q1031" s="16">
        <v>312</v>
      </c>
      <c r="R1031" s="22"/>
      <c r="S1031" s="22">
        <f t="shared" si="32"/>
        <v>0</v>
      </c>
      <c r="T1031" s="5" t="s">
        <v>1210</v>
      </c>
      <c r="U1031" s="5" t="s">
        <v>1210</v>
      </c>
      <c r="Y1031" s="8"/>
      <c r="Z1031" s="8"/>
      <c r="AA1031" s="8"/>
      <c r="AB1031" s="8"/>
      <c r="AC1031" s="8"/>
      <c r="AD1031" s="8"/>
      <c r="AE1031" s="25"/>
      <c r="AF1031" s="11"/>
      <c r="AG1031" s="25"/>
      <c r="AH1031" s="11"/>
      <c r="AI1031" s="11">
        <v>53</v>
      </c>
      <c r="AJ1031" s="19">
        <v>0</v>
      </c>
      <c r="AK1031" s="12">
        <f>(AJ1031+AI1031)/30*7</f>
        <v>12.366666666666667</v>
      </c>
      <c r="AL1031" s="6">
        <f>IF(AK1031-C1031&lt;0,0,AK1031-C1031)</f>
        <v>0</v>
      </c>
      <c r="AM1031" s="6">
        <f>IF(AL1031-R1031-S1031&lt;0,0,AL1031-R1031-S1031)</f>
        <v>0</v>
      </c>
      <c r="AN1031" s="5" t="str">
        <f t="shared" si="33"/>
        <v/>
      </c>
      <c r="AO1031" s="5">
        <v>0</v>
      </c>
      <c r="AP1031" s="9"/>
      <c r="AQ1031" s="5" t="s">
        <v>1210</v>
      </c>
      <c r="AR1031" s="5" t="s">
        <v>1210</v>
      </c>
      <c r="AS1031" s="8"/>
      <c r="AT1031" s="8"/>
      <c r="AU1031" s="8"/>
      <c r="AV1031" s="8"/>
      <c r="AW1031" s="8"/>
      <c r="AX1031" s="8"/>
      <c r="AY1031" s="8"/>
      <c r="AZ1031" s="8"/>
    </row>
    <row r="1032" spans="1:52">
      <c r="A1032" s="5" t="s">
        <v>494</v>
      </c>
      <c r="B1032" s="5">
        <v>1794</v>
      </c>
      <c r="C1032" s="19">
        <v>625</v>
      </c>
      <c r="E1032" s="14"/>
      <c r="F1032" s="11"/>
      <c r="G1032" s="11"/>
      <c r="H1032" s="11"/>
      <c r="I1032" s="11"/>
      <c r="J1032" s="25"/>
      <c r="K1032" s="11"/>
      <c r="L1032" s="11"/>
      <c r="M1032" s="19">
        <v>0</v>
      </c>
      <c r="O1032" s="6"/>
      <c r="P1032" s="16">
        <v>439</v>
      </c>
      <c r="Q1032" s="16">
        <v>0</v>
      </c>
      <c r="R1032" s="22"/>
      <c r="S1032" s="22">
        <f t="shared" si="32"/>
        <v>0</v>
      </c>
      <c r="T1032" s="5" t="s">
        <v>1210</v>
      </c>
      <c r="U1032" s="5" t="s">
        <v>1210</v>
      </c>
      <c r="Y1032" s="8"/>
      <c r="Z1032" s="8"/>
      <c r="AA1032" s="8"/>
      <c r="AB1032" s="8"/>
      <c r="AC1032" s="8"/>
      <c r="AD1032" s="8"/>
      <c r="AE1032" s="25"/>
      <c r="AF1032" s="11"/>
      <c r="AG1032" s="25"/>
      <c r="AH1032" s="11"/>
      <c r="AI1032" s="11">
        <v>2</v>
      </c>
      <c r="AJ1032" s="19">
        <v>4</v>
      </c>
      <c r="AK1032" s="12">
        <f>(AJ1032+AI1032)/30*7</f>
        <v>1.4000000000000001</v>
      </c>
      <c r="AL1032" s="6">
        <f>IF(AK1032-C1032&lt;0,0,AK1032-C1032)</f>
        <v>0</v>
      </c>
      <c r="AM1032" s="6">
        <f>IF(AL1032-R1032-S1032&lt;0,0,AL1032-R1032-S1032)</f>
        <v>0</v>
      </c>
      <c r="AN1032" s="5" t="str">
        <f t="shared" si="33"/>
        <v/>
      </c>
      <c r="AO1032" s="5">
        <v>0</v>
      </c>
      <c r="AP1032" s="9"/>
      <c r="AQ1032" s="5" t="s">
        <v>1210</v>
      </c>
      <c r="AR1032" s="5" t="s">
        <v>1210</v>
      </c>
      <c r="AS1032" s="8"/>
      <c r="AT1032" s="8"/>
      <c r="AU1032" s="8"/>
      <c r="AV1032" s="8"/>
      <c r="AW1032" s="8"/>
      <c r="AX1032" s="8"/>
      <c r="AY1032" s="8"/>
      <c r="AZ1032" s="8"/>
    </row>
    <row r="1033" spans="1:52">
      <c r="A1033" s="5" t="s">
        <v>357</v>
      </c>
      <c r="B1033" s="5">
        <v>618</v>
      </c>
      <c r="C1033" s="19">
        <v>446</v>
      </c>
      <c r="E1033" s="14"/>
      <c r="F1033" s="11"/>
      <c r="G1033" s="11"/>
      <c r="H1033" s="11"/>
      <c r="I1033" s="11"/>
      <c r="J1033" s="25"/>
      <c r="K1033" s="11"/>
      <c r="L1033" s="11"/>
      <c r="M1033" s="19">
        <v>0</v>
      </c>
      <c r="O1033" s="6"/>
      <c r="P1033" s="16">
        <v>223</v>
      </c>
      <c r="Q1033" s="16">
        <v>786</v>
      </c>
      <c r="R1033" s="22"/>
      <c r="S1033" s="22">
        <f t="shared" si="32"/>
        <v>0</v>
      </c>
      <c r="T1033" s="5" t="s">
        <v>1210</v>
      </c>
      <c r="U1033" s="5" t="s">
        <v>1210</v>
      </c>
      <c r="Y1033" s="8"/>
      <c r="Z1033" s="8"/>
      <c r="AA1033" s="8"/>
      <c r="AB1033" s="8"/>
      <c r="AC1033" s="8"/>
      <c r="AD1033" s="8"/>
      <c r="AE1033" s="25"/>
      <c r="AF1033" s="11"/>
      <c r="AG1033" s="25"/>
      <c r="AH1033" s="11"/>
      <c r="AI1033" s="11">
        <v>95</v>
      </c>
      <c r="AJ1033" s="19">
        <v>0</v>
      </c>
      <c r="AK1033" s="12">
        <f>(AJ1033+AI1033)/30*7</f>
        <v>22.166666666666664</v>
      </c>
      <c r="AL1033" s="6">
        <f>IF(AK1033-C1033&lt;0,0,AK1033-C1033)</f>
        <v>0</v>
      </c>
      <c r="AM1033" s="6">
        <f>IF(AL1033-R1033-S1033&lt;0,0,AL1033-R1033-S1033)</f>
        <v>0</v>
      </c>
      <c r="AN1033" s="5" t="str">
        <f t="shared" si="33"/>
        <v/>
      </c>
      <c r="AO1033" s="5">
        <v>0</v>
      </c>
      <c r="AP1033" s="9"/>
      <c r="AQ1033" s="5" t="s">
        <v>1210</v>
      </c>
      <c r="AR1033" s="5" t="s">
        <v>1230</v>
      </c>
      <c r="AS1033" s="8"/>
      <c r="AT1033" s="8"/>
      <c r="AU1033" s="8"/>
      <c r="AV1033" s="8"/>
      <c r="AW1033" s="8"/>
      <c r="AX1033" s="8"/>
      <c r="AY1033" s="8"/>
      <c r="AZ1033" s="8"/>
    </row>
    <row r="1034" spans="1:52">
      <c r="A1034" s="5" t="s">
        <v>392</v>
      </c>
      <c r="B1034" s="5">
        <v>1316</v>
      </c>
      <c r="C1034" s="19">
        <v>769</v>
      </c>
      <c r="E1034" s="14"/>
      <c r="F1034" s="11"/>
      <c r="G1034" s="11"/>
      <c r="H1034" s="11"/>
      <c r="I1034" s="11"/>
      <c r="J1034" s="25"/>
      <c r="K1034" s="11"/>
      <c r="L1034" s="11"/>
      <c r="M1034" s="19">
        <v>0</v>
      </c>
      <c r="O1034" s="6"/>
      <c r="P1034" s="16">
        <v>985</v>
      </c>
      <c r="Q1034" s="16">
        <v>0</v>
      </c>
      <c r="R1034" s="22"/>
      <c r="S1034" s="22">
        <f t="shared" si="32"/>
        <v>0</v>
      </c>
      <c r="T1034" s="5" t="s">
        <v>1210</v>
      </c>
      <c r="U1034" s="5" t="s">
        <v>1210</v>
      </c>
      <c r="Y1034" s="8"/>
      <c r="Z1034" s="8"/>
      <c r="AA1034" s="8"/>
      <c r="AB1034" s="8"/>
      <c r="AC1034" s="8"/>
      <c r="AD1034" s="8"/>
      <c r="AE1034" s="25"/>
      <c r="AF1034" s="11"/>
      <c r="AG1034" s="25"/>
      <c r="AH1034" s="11"/>
      <c r="AI1034" s="11">
        <v>59</v>
      </c>
      <c r="AJ1034" s="19">
        <v>1</v>
      </c>
      <c r="AK1034" s="12">
        <f>(AJ1034+AI1034)/30*7</f>
        <v>14</v>
      </c>
      <c r="AL1034" s="6">
        <f>IF(AK1034-C1034&lt;0,0,AK1034-C1034)</f>
        <v>0</v>
      </c>
      <c r="AM1034" s="6">
        <f>IF(AL1034-R1034-S1034&lt;0,0,AL1034-R1034-S1034)</f>
        <v>0</v>
      </c>
      <c r="AN1034" s="5" t="str">
        <f t="shared" si="33"/>
        <v/>
      </c>
      <c r="AO1034" s="5">
        <v>0</v>
      </c>
      <c r="AP1034" s="9"/>
      <c r="AQ1034" s="5" t="s">
        <v>1210</v>
      </c>
      <c r="AR1034" s="5" t="s">
        <v>1230</v>
      </c>
      <c r="AS1034" s="8"/>
      <c r="AT1034" s="8"/>
      <c r="AU1034" s="8"/>
      <c r="AV1034" s="8"/>
      <c r="AW1034" s="8"/>
      <c r="AX1034" s="8"/>
      <c r="AY1034" s="8"/>
      <c r="AZ1034" s="8"/>
    </row>
    <row r="1035" spans="1:52">
      <c r="A1035" s="5" t="s">
        <v>438</v>
      </c>
      <c r="B1035" s="5">
        <v>930</v>
      </c>
      <c r="C1035" s="19">
        <v>902</v>
      </c>
      <c r="E1035" s="14"/>
      <c r="F1035" s="11"/>
      <c r="G1035" s="11"/>
      <c r="H1035" s="11"/>
      <c r="I1035" s="11"/>
      <c r="J1035" s="25"/>
      <c r="K1035" s="11"/>
      <c r="L1035" s="11"/>
      <c r="M1035" s="19">
        <v>0</v>
      </c>
      <c r="O1035" s="6"/>
      <c r="P1035" s="16">
        <v>679</v>
      </c>
      <c r="Q1035" s="16">
        <v>0</v>
      </c>
      <c r="R1035" s="22"/>
      <c r="S1035" s="22">
        <f t="shared" si="32"/>
        <v>0</v>
      </c>
      <c r="T1035" s="5" t="s">
        <v>1210</v>
      </c>
      <c r="U1035" s="5" t="s">
        <v>1210</v>
      </c>
      <c r="Y1035" s="8"/>
      <c r="Z1035" s="8"/>
      <c r="AA1035" s="8"/>
      <c r="AB1035" s="8"/>
      <c r="AC1035" s="8"/>
      <c r="AD1035" s="8"/>
      <c r="AE1035" s="25"/>
      <c r="AF1035" s="11"/>
      <c r="AG1035" s="25"/>
      <c r="AH1035" s="11"/>
      <c r="AI1035" s="11">
        <v>58</v>
      </c>
      <c r="AJ1035" s="19">
        <v>0</v>
      </c>
      <c r="AK1035" s="12">
        <f>(AJ1035+AI1035)/30*7</f>
        <v>13.533333333333333</v>
      </c>
      <c r="AL1035" s="6">
        <f>IF(AK1035-C1035&lt;0,0,AK1035-C1035)</f>
        <v>0</v>
      </c>
      <c r="AM1035" s="6">
        <f>IF(AL1035-R1035-S1035&lt;0,0,AL1035-R1035-S1035)</f>
        <v>0</v>
      </c>
      <c r="AN1035" s="5" t="str">
        <f t="shared" si="33"/>
        <v/>
      </c>
      <c r="AO1035" s="5">
        <v>0</v>
      </c>
      <c r="AP1035" s="9"/>
      <c r="AQ1035" s="5" t="s">
        <v>1210</v>
      </c>
      <c r="AR1035" s="5" t="s">
        <v>1210</v>
      </c>
      <c r="AS1035" s="8"/>
      <c r="AT1035" s="8"/>
      <c r="AU1035" s="8"/>
      <c r="AV1035" s="8"/>
      <c r="AW1035" s="8"/>
      <c r="AX1035" s="8"/>
      <c r="AY1035" s="8"/>
      <c r="AZ1035" s="8"/>
    </row>
    <row r="1036" spans="1:52">
      <c r="A1036" s="5" t="s">
        <v>523</v>
      </c>
      <c r="B1036" s="5">
        <v>1090</v>
      </c>
      <c r="C1036" s="19">
        <v>203</v>
      </c>
      <c r="E1036" s="14"/>
      <c r="F1036" s="11"/>
      <c r="G1036" s="11"/>
      <c r="H1036" s="11"/>
      <c r="I1036" s="11"/>
      <c r="J1036" s="25"/>
      <c r="K1036" s="11"/>
      <c r="L1036" s="11"/>
      <c r="M1036" s="19">
        <v>0</v>
      </c>
      <c r="O1036" s="6"/>
      <c r="P1036" s="16">
        <v>850</v>
      </c>
      <c r="Q1036" s="16">
        <v>890</v>
      </c>
      <c r="R1036" s="22"/>
      <c r="S1036" s="22">
        <f t="shared" si="32"/>
        <v>0</v>
      </c>
      <c r="T1036" s="5" t="s">
        <v>1210</v>
      </c>
      <c r="U1036" s="5" t="s">
        <v>1210</v>
      </c>
      <c r="Y1036" s="8"/>
      <c r="Z1036" s="8"/>
      <c r="AA1036" s="8"/>
      <c r="AB1036" s="8"/>
      <c r="AC1036" s="8"/>
      <c r="AD1036" s="8"/>
      <c r="AE1036" s="25"/>
      <c r="AF1036" s="11"/>
      <c r="AG1036" s="25"/>
      <c r="AH1036" s="11"/>
      <c r="AI1036" s="11">
        <v>10</v>
      </c>
      <c r="AJ1036" s="19">
        <v>0</v>
      </c>
      <c r="AK1036" s="12">
        <f>(AJ1036+AI1036)/30*7</f>
        <v>2.333333333333333</v>
      </c>
      <c r="AL1036" s="6">
        <f>IF(AK1036-C1036&lt;0,0,AK1036-C1036)</f>
        <v>0</v>
      </c>
      <c r="AM1036" s="6">
        <f>IF(AL1036-R1036-S1036&lt;0,0,AL1036-R1036-S1036)</f>
        <v>0</v>
      </c>
      <c r="AN1036" s="5" t="str">
        <f t="shared" si="33"/>
        <v/>
      </c>
      <c r="AO1036" s="5">
        <v>0</v>
      </c>
      <c r="AP1036" s="9"/>
      <c r="AQ1036" s="5" t="s">
        <v>1210</v>
      </c>
      <c r="AR1036" s="5" t="s">
        <v>1230</v>
      </c>
      <c r="AS1036" s="8"/>
      <c r="AT1036" s="8"/>
      <c r="AU1036" s="8"/>
      <c r="AV1036" s="8"/>
      <c r="AW1036" s="8"/>
      <c r="AX1036" s="8"/>
      <c r="AY1036" s="8"/>
      <c r="AZ1036" s="8"/>
    </row>
    <row r="1037" spans="1:52">
      <c r="A1037" s="5" t="s">
        <v>399</v>
      </c>
      <c r="B1037" s="5">
        <v>1628</v>
      </c>
      <c r="C1037" s="19">
        <v>794</v>
      </c>
      <c r="E1037" s="14"/>
      <c r="F1037" s="11"/>
      <c r="G1037" s="11"/>
      <c r="H1037" s="11"/>
      <c r="I1037" s="11"/>
      <c r="J1037" s="25"/>
      <c r="K1037" s="11"/>
      <c r="L1037" s="11"/>
      <c r="M1037" s="19">
        <v>0</v>
      </c>
      <c r="O1037" s="6"/>
      <c r="P1037" s="16">
        <v>940</v>
      </c>
      <c r="Q1037" s="16">
        <v>324</v>
      </c>
      <c r="R1037" s="22"/>
      <c r="S1037" s="22">
        <f t="shared" si="32"/>
        <v>0</v>
      </c>
      <c r="T1037" s="5" t="s">
        <v>1210</v>
      </c>
      <c r="U1037" s="5" t="s">
        <v>1210</v>
      </c>
      <c r="Y1037" s="8"/>
      <c r="Z1037" s="8"/>
      <c r="AA1037" s="8"/>
      <c r="AB1037" s="8"/>
      <c r="AC1037" s="8"/>
      <c r="AD1037" s="8"/>
      <c r="AE1037" s="25"/>
      <c r="AF1037" s="11"/>
      <c r="AG1037" s="25"/>
      <c r="AH1037" s="11"/>
      <c r="AI1037" s="11">
        <v>39</v>
      </c>
      <c r="AJ1037" s="19">
        <v>12</v>
      </c>
      <c r="AK1037" s="12">
        <f>(AJ1037+AI1037)/30*7</f>
        <v>11.9</v>
      </c>
      <c r="AL1037" s="6">
        <f>IF(AK1037-C1037&lt;0,0,AK1037-C1037)</f>
        <v>0</v>
      </c>
      <c r="AM1037" s="6">
        <f>IF(AL1037-R1037-S1037&lt;0,0,AL1037-R1037-S1037)</f>
        <v>0</v>
      </c>
      <c r="AN1037" s="5" t="str">
        <f t="shared" si="33"/>
        <v/>
      </c>
      <c r="AO1037" s="5">
        <v>0</v>
      </c>
      <c r="AP1037" s="9"/>
      <c r="AQ1037" s="5" t="s">
        <v>1210</v>
      </c>
      <c r="AR1037" s="5" t="s">
        <v>1210</v>
      </c>
      <c r="AS1037" s="8"/>
      <c r="AT1037" s="8"/>
      <c r="AU1037" s="8"/>
      <c r="AV1037" s="8"/>
      <c r="AW1037" s="8"/>
      <c r="AX1037" s="8"/>
      <c r="AY1037" s="8"/>
      <c r="AZ1037" s="8"/>
    </row>
    <row r="1038" spans="1:52">
      <c r="A1038" s="5" t="s">
        <v>428</v>
      </c>
      <c r="B1038" s="5">
        <v>953</v>
      </c>
      <c r="C1038" s="19">
        <v>329</v>
      </c>
      <c r="E1038" s="14"/>
      <c r="F1038" s="11"/>
      <c r="G1038" s="11"/>
      <c r="H1038" s="11"/>
      <c r="I1038" s="11"/>
      <c r="J1038" s="25"/>
      <c r="K1038" s="11"/>
      <c r="L1038" s="11"/>
      <c r="M1038" s="19">
        <v>0</v>
      </c>
      <c r="O1038" s="6"/>
      <c r="P1038" s="16">
        <v>542</v>
      </c>
      <c r="Q1038" s="16">
        <v>265</v>
      </c>
      <c r="R1038" s="22"/>
      <c r="S1038" s="22">
        <f t="shared" si="32"/>
        <v>0</v>
      </c>
      <c r="T1038" s="5" t="s">
        <v>1210</v>
      </c>
      <c r="U1038" s="5" t="s">
        <v>1210</v>
      </c>
      <c r="Y1038" s="8"/>
      <c r="Z1038" s="8"/>
      <c r="AA1038" s="8"/>
      <c r="AB1038" s="8"/>
      <c r="AC1038" s="8"/>
      <c r="AD1038" s="8"/>
      <c r="AE1038" s="25"/>
      <c r="AF1038" s="11"/>
      <c r="AG1038" s="25"/>
      <c r="AH1038" s="11"/>
      <c r="AI1038" s="11">
        <v>7</v>
      </c>
      <c r="AJ1038" s="19">
        <v>4</v>
      </c>
      <c r="AK1038" s="12">
        <f>(AJ1038+AI1038)/30*7</f>
        <v>2.5666666666666664</v>
      </c>
      <c r="AL1038" s="6">
        <f>IF(AK1038-C1038&lt;0,0,AK1038-C1038)</f>
        <v>0</v>
      </c>
      <c r="AM1038" s="6">
        <f>IF(AL1038-R1038-S1038&lt;0,0,AL1038-R1038-S1038)</f>
        <v>0</v>
      </c>
      <c r="AN1038" s="5" t="str">
        <f t="shared" si="33"/>
        <v/>
      </c>
      <c r="AO1038" s="5">
        <v>0</v>
      </c>
      <c r="AP1038" s="9"/>
      <c r="AQ1038" s="5" t="s">
        <v>1210</v>
      </c>
      <c r="AR1038" s="5" t="s">
        <v>1230</v>
      </c>
      <c r="AS1038" s="8"/>
      <c r="AT1038" s="8"/>
      <c r="AU1038" s="8"/>
      <c r="AV1038" s="8"/>
      <c r="AW1038" s="8"/>
      <c r="AX1038" s="8"/>
      <c r="AY1038" s="8"/>
      <c r="AZ1038" s="8"/>
    </row>
    <row r="1039" spans="1:52">
      <c r="A1039" s="5" t="s">
        <v>393</v>
      </c>
      <c r="B1039" s="5">
        <v>970</v>
      </c>
      <c r="C1039" s="19">
        <v>843</v>
      </c>
      <c r="E1039" s="14"/>
      <c r="F1039" s="11"/>
      <c r="G1039" s="11"/>
      <c r="H1039" s="11"/>
      <c r="I1039" s="11"/>
      <c r="J1039" s="25"/>
      <c r="K1039" s="11"/>
      <c r="L1039" s="11"/>
      <c r="M1039" s="19">
        <v>2</v>
      </c>
      <c r="O1039" s="6"/>
      <c r="P1039" s="16">
        <v>903</v>
      </c>
      <c r="Q1039" s="16">
        <v>0</v>
      </c>
      <c r="R1039" s="22"/>
      <c r="S1039" s="22">
        <f t="shared" si="32"/>
        <v>0</v>
      </c>
      <c r="T1039" s="5" t="s">
        <v>1210</v>
      </c>
      <c r="U1039" s="5" t="s">
        <v>1210</v>
      </c>
      <c r="Y1039" s="8"/>
      <c r="Z1039" s="8"/>
      <c r="AA1039" s="8"/>
      <c r="AB1039" s="8"/>
      <c r="AC1039" s="8"/>
      <c r="AD1039" s="8"/>
      <c r="AE1039" s="25"/>
      <c r="AF1039" s="11"/>
      <c r="AG1039" s="25"/>
      <c r="AH1039" s="11"/>
      <c r="AI1039" s="11">
        <v>1</v>
      </c>
      <c r="AJ1039" s="19">
        <v>0</v>
      </c>
      <c r="AK1039" s="12">
        <f>(AJ1039+AI1039)/30*7</f>
        <v>0.23333333333333334</v>
      </c>
      <c r="AL1039" s="6">
        <f>IF(AK1039-C1039&lt;0,0,AK1039-C1039)</f>
        <v>0</v>
      </c>
      <c r="AM1039" s="6">
        <f>IF(AL1039-R1039-S1039&lt;0,0,AL1039-R1039-S1039)</f>
        <v>0</v>
      </c>
      <c r="AN1039" s="5" t="str">
        <f t="shared" si="33"/>
        <v/>
      </c>
      <c r="AO1039" s="5">
        <v>0</v>
      </c>
      <c r="AP1039" s="9"/>
      <c r="AQ1039" s="5" t="s">
        <v>1210</v>
      </c>
      <c r="AR1039" s="5" t="s">
        <v>1210</v>
      </c>
      <c r="AS1039" s="8"/>
      <c r="AT1039" s="8"/>
      <c r="AU1039" s="8"/>
      <c r="AV1039" s="8"/>
      <c r="AW1039" s="8"/>
      <c r="AX1039" s="8"/>
      <c r="AY1039" s="8"/>
      <c r="AZ1039" s="8"/>
    </row>
    <row r="1040" spans="1:52">
      <c r="A1040" s="5" t="s">
        <v>457</v>
      </c>
      <c r="B1040" s="5">
        <v>665</v>
      </c>
      <c r="C1040" s="19">
        <v>660</v>
      </c>
      <c r="E1040" s="14"/>
      <c r="F1040" s="11"/>
      <c r="G1040" s="11"/>
      <c r="H1040" s="11"/>
      <c r="I1040" s="11"/>
      <c r="J1040" s="25"/>
      <c r="K1040" s="11"/>
      <c r="L1040" s="11"/>
      <c r="M1040" s="19">
        <v>0</v>
      </c>
      <c r="O1040" s="6"/>
      <c r="P1040" s="16">
        <v>960</v>
      </c>
      <c r="Q1040" s="16">
        <v>0</v>
      </c>
      <c r="R1040" s="22"/>
      <c r="S1040" s="22">
        <f t="shared" si="32"/>
        <v>0</v>
      </c>
      <c r="T1040" s="5" t="s">
        <v>1210</v>
      </c>
      <c r="U1040" s="5" t="s">
        <v>1210</v>
      </c>
      <c r="Y1040" s="8"/>
      <c r="Z1040" s="8"/>
      <c r="AA1040" s="8"/>
      <c r="AB1040" s="8"/>
      <c r="AC1040" s="8"/>
      <c r="AD1040" s="8"/>
      <c r="AE1040" s="25"/>
      <c r="AF1040" s="11"/>
      <c r="AG1040" s="25"/>
      <c r="AH1040" s="11"/>
      <c r="AI1040" s="11">
        <v>80</v>
      </c>
      <c r="AJ1040" s="19">
        <v>8</v>
      </c>
      <c r="AK1040" s="12">
        <f>(AJ1040+AI1040)/30*7</f>
        <v>20.533333333333331</v>
      </c>
      <c r="AL1040" s="6">
        <f>IF(AK1040-C1040&lt;0,0,AK1040-C1040)</f>
        <v>0</v>
      </c>
      <c r="AM1040" s="6">
        <f>IF(AL1040-R1040-S1040&lt;0,0,AL1040-R1040-S1040)</f>
        <v>0</v>
      </c>
      <c r="AN1040" s="5" t="str">
        <f t="shared" si="33"/>
        <v/>
      </c>
      <c r="AO1040" s="5">
        <v>0</v>
      </c>
      <c r="AP1040" s="9"/>
      <c r="AQ1040" s="5" t="s">
        <v>1210</v>
      </c>
      <c r="AR1040" s="5" t="s">
        <v>1230</v>
      </c>
      <c r="AS1040" s="8"/>
      <c r="AT1040" s="8"/>
      <c r="AU1040" s="8"/>
      <c r="AV1040" s="8"/>
      <c r="AW1040" s="8"/>
      <c r="AX1040" s="8"/>
      <c r="AY1040" s="8"/>
      <c r="AZ1040" s="8"/>
    </row>
    <row r="1041" spans="1:52">
      <c r="A1041" s="5" t="s">
        <v>480</v>
      </c>
      <c r="B1041" s="5">
        <v>746</v>
      </c>
      <c r="C1041" s="19">
        <v>718</v>
      </c>
      <c r="E1041" s="14"/>
      <c r="F1041" s="11"/>
      <c r="G1041" s="11"/>
      <c r="H1041" s="11"/>
      <c r="I1041" s="11"/>
      <c r="J1041" s="25"/>
      <c r="K1041" s="11"/>
      <c r="L1041" s="11"/>
      <c r="M1041" s="19">
        <v>0</v>
      </c>
      <c r="O1041" s="6"/>
      <c r="P1041" s="16">
        <v>405</v>
      </c>
      <c r="Q1041" s="16">
        <v>223</v>
      </c>
      <c r="R1041" s="22"/>
      <c r="S1041" s="22">
        <f t="shared" si="32"/>
        <v>0</v>
      </c>
      <c r="T1041" s="5" t="s">
        <v>1210</v>
      </c>
      <c r="U1041" s="5" t="s">
        <v>1210</v>
      </c>
      <c r="Y1041" s="8"/>
      <c r="Z1041" s="8"/>
      <c r="AA1041" s="8"/>
      <c r="AB1041" s="8"/>
      <c r="AC1041" s="8"/>
      <c r="AD1041" s="8"/>
      <c r="AE1041" s="25"/>
      <c r="AF1041" s="11"/>
      <c r="AG1041" s="25"/>
      <c r="AH1041" s="11"/>
      <c r="AI1041" s="11">
        <v>30</v>
      </c>
      <c r="AJ1041" s="19">
        <v>0</v>
      </c>
      <c r="AK1041" s="12">
        <f>(AJ1041+AI1041)/30*7</f>
        <v>7</v>
      </c>
      <c r="AL1041" s="6">
        <f>IF(AK1041-C1041&lt;0,0,AK1041-C1041)</f>
        <v>0</v>
      </c>
      <c r="AM1041" s="6">
        <f>IF(AL1041-R1041-S1041&lt;0,0,AL1041-R1041-S1041)</f>
        <v>0</v>
      </c>
      <c r="AN1041" s="5" t="str">
        <f t="shared" si="33"/>
        <v/>
      </c>
      <c r="AO1041" s="5">
        <v>0</v>
      </c>
      <c r="AP1041" s="9"/>
      <c r="AQ1041" s="5" t="s">
        <v>1210</v>
      </c>
      <c r="AR1041" s="5" t="s">
        <v>1230</v>
      </c>
      <c r="AS1041" s="8"/>
      <c r="AT1041" s="8"/>
      <c r="AU1041" s="8"/>
      <c r="AV1041" s="8"/>
      <c r="AW1041" s="8"/>
      <c r="AX1041" s="8"/>
      <c r="AY1041" s="8"/>
      <c r="AZ1041" s="8"/>
    </row>
    <row r="1042" spans="1:52">
      <c r="A1042" s="5" t="s">
        <v>434</v>
      </c>
      <c r="B1042" s="5">
        <v>998</v>
      </c>
      <c r="C1042" s="19">
        <v>785</v>
      </c>
      <c r="E1042" s="14"/>
      <c r="F1042" s="11"/>
      <c r="G1042" s="11"/>
      <c r="H1042" s="11"/>
      <c r="I1042" s="11"/>
      <c r="J1042" s="25"/>
      <c r="K1042" s="11"/>
      <c r="L1042" s="11"/>
      <c r="M1042" s="19">
        <v>0</v>
      </c>
      <c r="O1042" s="6"/>
      <c r="P1042" s="16">
        <v>319</v>
      </c>
      <c r="Q1042" s="16">
        <v>934</v>
      </c>
      <c r="R1042" s="22"/>
      <c r="S1042" s="22">
        <f t="shared" si="32"/>
        <v>0</v>
      </c>
      <c r="T1042" s="5" t="s">
        <v>1210</v>
      </c>
      <c r="U1042" s="5" t="s">
        <v>1210</v>
      </c>
      <c r="Y1042" s="8"/>
      <c r="Z1042" s="8"/>
      <c r="AA1042" s="8"/>
      <c r="AB1042" s="8"/>
      <c r="AC1042" s="8"/>
      <c r="AD1042" s="8"/>
      <c r="AE1042" s="25"/>
      <c r="AF1042" s="11"/>
      <c r="AG1042" s="25"/>
      <c r="AH1042" s="11"/>
      <c r="AI1042" s="11">
        <v>43</v>
      </c>
      <c r="AJ1042" s="19">
        <v>10</v>
      </c>
      <c r="AK1042" s="12">
        <f>(AJ1042+AI1042)/30*7</f>
        <v>12.366666666666667</v>
      </c>
      <c r="AL1042" s="6">
        <f>IF(AK1042-C1042&lt;0,0,AK1042-C1042)</f>
        <v>0</v>
      </c>
      <c r="AM1042" s="6">
        <f>IF(AL1042-R1042-S1042&lt;0,0,AL1042-R1042-S1042)</f>
        <v>0</v>
      </c>
      <c r="AN1042" s="5" t="str">
        <f t="shared" si="33"/>
        <v/>
      </c>
      <c r="AO1042" s="5">
        <v>0</v>
      </c>
      <c r="AP1042" s="9"/>
      <c r="AQ1042" s="5" t="s">
        <v>1210</v>
      </c>
      <c r="AR1042" s="5" t="s">
        <v>1210</v>
      </c>
      <c r="AS1042" s="8"/>
      <c r="AT1042" s="8"/>
      <c r="AU1042" s="8"/>
      <c r="AV1042" s="8"/>
      <c r="AW1042" s="8"/>
      <c r="AX1042" s="8"/>
      <c r="AY1042" s="8"/>
      <c r="AZ1042" s="8"/>
    </row>
    <row r="1043" spans="1:52">
      <c r="A1043" s="5" t="s">
        <v>414</v>
      </c>
      <c r="B1043" s="5">
        <v>31</v>
      </c>
      <c r="C1043" s="19">
        <v>651</v>
      </c>
      <c r="E1043" s="14"/>
      <c r="F1043" s="11"/>
      <c r="G1043" s="11"/>
      <c r="H1043" s="11"/>
      <c r="I1043" s="11"/>
      <c r="J1043" s="25"/>
      <c r="K1043" s="11"/>
      <c r="L1043" s="11"/>
      <c r="M1043" s="19">
        <v>0</v>
      </c>
      <c r="O1043" s="6"/>
      <c r="P1043" s="16">
        <v>0</v>
      </c>
      <c r="Q1043" s="16">
        <v>0</v>
      </c>
      <c r="R1043" s="22"/>
      <c r="S1043" s="22">
        <f t="shared" si="32"/>
        <v>0</v>
      </c>
      <c r="T1043" s="5" t="s">
        <v>1210</v>
      </c>
      <c r="U1043" s="5" t="s">
        <v>1210</v>
      </c>
      <c r="Y1043" s="8"/>
      <c r="Z1043" s="8"/>
      <c r="AA1043" s="8"/>
      <c r="AB1043" s="8"/>
      <c r="AC1043" s="8"/>
      <c r="AD1043" s="8"/>
      <c r="AE1043" s="25"/>
      <c r="AF1043" s="11"/>
      <c r="AG1043" s="25"/>
      <c r="AH1043" s="11"/>
      <c r="AI1043" s="11">
        <v>12</v>
      </c>
      <c r="AJ1043" s="19">
        <v>0</v>
      </c>
      <c r="AK1043" s="12">
        <f>(AJ1043+AI1043)/30*7</f>
        <v>2.8000000000000003</v>
      </c>
      <c r="AL1043" s="6">
        <f>IF(AK1043-C1043&lt;0,0,AK1043-C1043)</f>
        <v>0</v>
      </c>
      <c r="AM1043" s="6">
        <f>IF(AL1043-R1043-S1043&lt;0,0,AL1043-R1043-S1043)</f>
        <v>0</v>
      </c>
      <c r="AN1043" s="5" t="str">
        <f t="shared" si="33"/>
        <v/>
      </c>
      <c r="AO1043" s="5">
        <v>0</v>
      </c>
      <c r="AP1043" s="9"/>
      <c r="AQ1043" s="5" t="s">
        <v>1210</v>
      </c>
      <c r="AR1043" s="5" t="s">
        <v>1230</v>
      </c>
      <c r="AS1043" s="8"/>
      <c r="AT1043" s="8"/>
      <c r="AU1043" s="8"/>
      <c r="AV1043" s="8"/>
      <c r="AW1043" s="8"/>
      <c r="AX1043" s="8"/>
      <c r="AY1043" s="8"/>
      <c r="AZ1043" s="8"/>
    </row>
    <row r="1044" spans="1:52">
      <c r="A1044" s="5" t="s">
        <v>430</v>
      </c>
      <c r="B1044" s="5">
        <v>579</v>
      </c>
      <c r="C1044" s="19">
        <v>983</v>
      </c>
      <c r="E1044" s="14"/>
      <c r="F1044" s="11"/>
      <c r="G1044" s="11"/>
      <c r="H1044" s="11"/>
      <c r="I1044" s="11"/>
      <c r="J1044" s="25"/>
      <c r="K1044" s="11"/>
      <c r="L1044" s="11"/>
      <c r="M1044" s="19">
        <v>0</v>
      </c>
      <c r="O1044" s="6"/>
      <c r="P1044" s="16">
        <v>650</v>
      </c>
      <c r="Q1044" s="16">
        <v>703</v>
      </c>
      <c r="R1044" s="22"/>
      <c r="S1044" s="22">
        <f t="shared" si="32"/>
        <v>0</v>
      </c>
      <c r="U1044" s="5" t="s">
        <v>1210</v>
      </c>
      <c r="Y1044" s="8"/>
      <c r="Z1044" s="8"/>
      <c r="AA1044" s="8"/>
      <c r="AB1044" s="8"/>
      <c r="AC1044" s="8"/>
      <c r="AD1044" s="8"/>
      <c r="AE1044" s="25"/>
      <c r="AF1044" s="11"/>
      <c r="AG1044" s="25"/>
      <c r="AH1044" s="11"/>
      <c r="AI1044" s="11">
        <v>26</v>
      </c>
      <c r="AJ1044" s="19">
        <v>9</v>
      </c>
      <c r="AK1044" s="12">
        <f>(AJ1044+AI1044)/30*7</f>
        <v>8.1666666666666679</v>
      </c>
      <c r="AL1044" s="6">
        <f>IF(AK1044-C1044&lt;0,0,AK1044-C1044)</f>
        <v>0</v>
      </c>
      <c r="AM1044" s="6">
        <f>IF(AL1044-R1044-S1044&lt;0,0,AL1044-R1044-S1044)</f>
        <v>0</v>
      </c>
      <c r="AN1044" s="5" t="str">
        <f t="shared" si="33"/>
        <v/>
      </c>
      <c r="AO1044" s="5">
        <v>0</v>
      </c>
      <c r="AP1044" s="9"/>
      <c r="AQ1044" s="5" t="s">
        <v>1210</v>
      </c>
      <c r="AR1044" s="5" t="s">
        <v>1230</v>
      </c>
      <c r="AS1044" s="8"/>
      <c r="AT1044" s="8"/>
      <c r="AU1044" s="8"/>
      <c r="AV1044" s="8"/>
      <c r="AW1044" s="8"/>
      <c r="AX1044" s="8"/>
      <c r="AY1044" s="8"/>
      <c r="AZ1044" s="8"/>
    </row>
    <row r="1045" spans="1:52">
      <c r="A1045" s="5" t="s">
        <v>711</v>
      </c>
      <c r="B1045" s="5">
        <v>1795</v>
      </c>
      <c r="C1045" s="19">
        <v>793</v>
      </c>
      <c r="E1045" s="14"/>
      <c r="F1045" s="11"/>
      <c r="G1045" s="11"/>
      <c r="H1045" s="11"/>
      <c r="I1045" s="11"/>
      <c r="J1045" s="25"/>
      <c r="K1045" s="11"/>
      <c r="L1045" s="11"/>
      <c r="M1045" s="19">
        <v>0</v>
      </c>
      <c r="O1045" s="6"/>
      <c r="P1045" s="16">
        <v>817</v>
      </c>
      <c r="Q1045" s="16">
        <v>700</v>
      </c>
      <c r="R1045" s="22"/>
      <c r="S1045" s="22">
        <f t="shared" si="32"/>
        <v>0</v>
      </c>
      <c r="T1045" s="5" t="s">
        <v>1210</v>
      </c>
      <c r="U1045" s="5" t="s">
        <v>1210</v>
      </c>
      <c r="Y1045" s="8"/>
      <c r="Z1045" s="8"/>
      <c r="AA1045" s="8"/>
      <c r="AB1045" s="8"/>
      <c r="AC1045" s="8"/>
      <c r="AD1045" s="8"/>
      <c r="AE1045" s="25"/>
      <c r="AF1045" s="11"/>
      <c r="AG1045" s="25"/>
      <c r="AH1045" s="11"/>
      <c r="AI1045" s="11">
        <v>96</v>
      </c>
      <c r="AJ1045" s="19">
        <v>0</v>
      </c>
      <c r="AK1045" s="12">
        <f>(AJ1045+AI1045)/30*7</f>
        <v>22.400000000000002</v>
      </c>
      <c r="AL1045" s="6">
        <f>IF(AK1045-C1045&lt;0,0,AK1045-C1045)</f>
        <v>0</v>
      </c>
      <c r="AM1045" s="6">
        <f>IF(AL1045-R1045-S1045&lt;0,0,AL1045-R1045-S1045)</f>
        <v>0</v>
      </c>
      <c r="AN1045" s="5" t="str">
        <f t="shared" si="33"/>
        <v/>
      </c>
      <c r="AO1045" s="5">
        <v>0</v>
      </c>
      <c r="AP1045" s="9"/>
      <c r="AQ1045" s="5" t="s">
        <v>1229</v>
      </c>
      <c r="AR1045" s="5" t="s">
        <v>1210</v>
      </c>
      <c r="AS1045" s="8"/>
      <c r="AT1045" s="8"/>
      <c r="AU1045" s="8"/>
      <c r="AV1045" s="8"/>
      <c r="AW1045" s="8"/>
      <c r="AX1045" s="8"/>
      <c r="AY1045" s="8"/>
      <c r="AZ1045" s="8"/>
    </row>
    <row r="1046" spans="1:52">
      <c r="A1046" s="5" t="s">
        <v>441</v>
      </c>
      <c r="B1046" s="5">
        <v>850</v>
      </c>
      <c r="C1046" s="19">
        <v>830</v>
      </c>
      <c r="E1046" s="14"/>
      <c r="F1046" s="11"/>
      <c r="G1046" s="11"/>
      <c r="H1046" s="11"/>
      <c r="I1046" s="11"/>
      <c r="J1046" s="25"/>
      <c r="K1046" s="11"/>
      <c r="L1046" s="11"/>
      <c r="M1046" s="19">
        <v>0</v>
      </c>
      <c r="O1046" s="6"/>
      <c r="P1046" s="16">
        <v>299</v>
      </c>
      <c r="Q1046" s="16">
        <v>0</v>
      </c>
      <c r="R1046" s="22"/>
      <c r="S1046" s="22">
        <f t="shared" si="32"/>
        <v>0</v>
      </c>
      <c r="T1046" s="5" t="s">
        <v>1225</v>
      </c>
      <c r="U1046" s="5">
        <v>23</v>
      </c>
      <c r="Y1046" s="8"/>
      <c r="Z1046" s="8"/>
      <c r="AA1046" s="8"/>
      <c r="AB1046" s="8"/>
      <c r="AC1046" s="8"/>
      <c r="AD1046" s="8"/>
      <c r="AE1046" s="25"/>
      <c r="AF1046" s="11"/>
      <c r="AG1046" s="25"/>
      <c r="AH1046" s="11"/>
      <c r="AI1046" s="11">
        <v>79</v>
      </c>
      <c r="AJ1046" s="19">
        <v>10</v>
      </c>
      <c r="AK1046" s="12">
        <f>(AJ1046+AI1046)/30*7</f>
        <v>20.766666666666666</v>
      </c>
      <c r="AL1046" s="6">
        <f>IF(AK1046-C1046&lt;0,0,AK1046-C1046)</f>
        <v>0</v>
      </c>
      <c r="AM1046" s="6">
        <f>IF(AL1046-R1046-S1046&lt;0,0,AL1046-R1046-S1046)</f>
        <v>0</v>
      </c>
      <c r="AN1046" s="5" t="str">
        <f t="shared" si="33"/>
        <v/>
      </c>
      <c r="AO1046" s="5">
        <v>0</v>
      </c>
      <c r="AP1046" s="9"/>
      <c r="AQ1046" s="5" t="s">
        <v>1210</v>
      </c>
      <c r="AR1046" s="5" t="s">
        <v>1230</v>
      </c>
      <c r="AS1046" s="8"/>
      <c r="AT1046" s="8"/>
      <c r="AU1046" s="8"/>
      <c r="AV1046" s="8"/>
      <c r="AW1046" s="8"/>
      <c r="AX1046" s="8"/>
      <c r="AY1046" s="8"/>
      <c r="AZ1046" s="8"/>
    </row>
    <row r="1047" spans="1:52">
      <c r="A1047" s="5" t="s">
        <v>486</v>
      </c>
      <c r="B1047" s="5">
        <v>2156</v>
      </c>
      <c r="C1047" s="19">
        <v>873</v>
      </c>
      <c r="E1047" s="14"/>
      <c r="F1047" s="11"/>
      <c r="G1047" s="11"/>
      <c r="H1047" s="11"/>
      <c r="I1047" s="11"/>
      <c r="J1047" s="25"/>
      <c r="K1047" s="11"/>
      <c r="L1047" s="11"/>
      <c r="M1047" s="19">
        <v>0</v>
      </c>
      <c r="O1047" s="6"/>
      <c r="P1047" s="16">
        <v>900</v>
      </c>
      <c r="Q1047" s="16">
        <v>0</v>
      </c>
      <c r="R1047" s="22"/>
      <c r="S1047" s="22">
        <f t="shared" si="32"/>
        <v>0</v>
      </c>
      <c r="T1047" s="5" t="s">
        <v>1210</v>
      </c>
      <c r="U1047" s="5" t="s">
        <v>1210</v>
      </c>
      <c r="Y1047" s="8"/>
      <c r="Z1047" s="8"/>
      <c r="AA1047" s="8"/>
      <c r="AB1047" s="8"/>
      <c r="AC1047" s="8"/>
      <c r="AD1047" s="8"/>
      <c r="AE1047" s="25"/>
      <c r="AF1047" s="11"/>
      <c r="AG1047" s="25"/>
      <c r="AH1047" s="11"/>
      <c r="AI1047" s="11">
        <v>76</v>
      </c>
      <c r="AJ1047" s="19">
        <v>0</v>
      </c>
      <c r="AK1047" s="12">
        <f>(AJ1047+AI1047)/30*7</f>
        <v>17.733333333333334</v>
      </c>
      <c r="AL1047" s="6">
        <f>IF(AK1047-C1047&lt;0,0,AK1047-C1047)</f>
        <v>0</v>
      </c>
      <c r="AM1047" s="6">
        <f>IF(AL1047-R1047-S1047&lt;0,0,AL1047-R1047-S1047)</f>
        <v>0</v>
      </c>
      <c r="AN1047" s="5" t="str">
        <f t="shared" si="33"/>
        <v/>
      </c>
      <c r="AO1047" s="5">
        <v>0</v>
      </c>
      <c r="AP1047" s="9"/>
      <c r="AQ1047" s="5" t="s">
        <v>1210</v>
      </c>
      <c r="AR1047" s="5" t="s">
        <v>1210</v>
      </c>
      <c r="AS1047" s="8"/>
      <c r="AT1047" s="8"/>
      <c r="AU1047" s="8"/>
      <c r="AV1047" s="8"/>
      <c r="AW1047" s="8"/>
      <c r="AX1047" s="8"/>
      <c r="AY1047" s="8"/>
      <c r="AZ1047" s="8"/>
    </row>
    <row r="1048" spans="1:52">
      <c r="A1048" s="5" t="s">
        <v>446</v>
      </c>
      <c r="B1048" s="5">
        <v>473</v>
      </c>
      <c r="C1048" s="19">
        <v>969</v>
      </c>
      <c r="E1048" s="14"/>
      <c r="F1048" s="11"/>
      <c r="G1048" s="11"/>
      <c r="H1048" s="11"/>
      <c r="I1048" s="11"/>
      <c r="J1048" s="25"/>
      <c r="K1048" s="11"/>
      <c r="L1048" s="11"/>
      <c r="M1048" s="19">
        <v>0</v>
      </c>
      <c r="O1048" s="6"/>
      <c r="P1048" s="16">
        <v>915</v>
      </c>
      <c r="Q1048" s="16">
        <v>617</v>
      </c>
      <c r="R1048" s="22"/>
      <c r="S1048" s="22">
        <f t="shared" si="32"/>
        <v>0</v>
      </c>
      <c r="T1048" s="5" t="s">
        <v>1210</v>
      </c>
      <c r="U1048" s="5" t="s">
        <v>1210</v>
      </c>
      <c r="Y1048" s="8"/>
      <c r="Z1048" s="8"/>
      <c r="AA1048" s="8"/>
      <c r="AB1048" s="8"/>
      <c r="AC1048" s="8"/>
      <c r="AD1048" s="8"/>
      <c r="AE1048" s="25"/>
      <c r="AF1048" s="11"/>
      <c r="AG1048" s="25"/>
      <c r="AH1048" s="11"/>
      <c r="AI1048" s="11">
        <v>43</v>
      </c>
      <c r="AJ1048" s="19">
        <v>0</v>
      </c>
      <c r="AK1048" s="12">
        <f>(AJ1048+AI1048)/30*7</f>
        <v>10.033333333333333</v>
      </c>
      <c r="AL1048" s="6">
        <f>IF(AK1048-C1048&lt;0,0,AK1048-C1048)</f>
        <v>0</v>
      </c>
      <c r="AM1048" s="6">
        <f>IF(AL1048-R1048-S1048&lt;0,0,AL1048-R1048-S1048)</f>
        <v>0</v>
      </c>
      <c r="AN1048" s="5" t="str">
        <f t="shared" si="33"/>
        <v/>
      </c>
      <c r="AO1048" s="5">
        <v>0</v>
      </c>
      <c r="AP1048" s="9"/>
      <c r="AQ1048" s="5" t="s">
        <v>1210</v>
      </c>
      <c r="AR1048" s="5" t="s">
        <v>1230</v>
      </c>
      <c r="AS1048" s="8"/>
      <c r="AT1048" s="8"/>
      <c r="AU1048" s="8"/>
      <c r="AV1048" s="8"/>
      <c r="AW1048" s="8"/>
      <c r="AX1048" s="8"/>
      <c r="AY1048" s="8"/>
      <c r="AZ1048" s="8"/>
    </row>
    <row r="1049" spans="1:52">
      <c r="A1049" s="5" t="s">
        <v>582</v>
      </c>
      <c r="B1049" s="5">
        <v>952</v>
      </c>
      <c r="C1049" s="19">
        <v>740</v>
      </c>
      <c r="E1049" s="14"/>
      <c r="F1049" s="11"/>
      <c r="G1049" s="11"/>
      <c r="H1049" s="11"/>
      <c r="I1049" s="11"/>
      <c r="J1049" s="25"/>
      <c r="K1049" s="11"/>
      <c r="L1049" s="11"/>
      <c r="M1049" s="19">
        <v>0</v>
      </c>
      <c r="O1049" s="6"/>
      <c r="P1049" s="16">
        <v>787</v>
      </c>
      <c r="Q1049" s="16">
        <v>803</v>
      </c>
      <c r="R1049" s="22"/>
      <c r="S1049" s="22">
        <f t="shared" si="32"/>
        <v>0</v>
      </c>
      <c r="T1049" s="5" t="s">
        <v>1210</v>
      </c>
      <c r="U1049" s="5" t="s">
        <v>1210</v>
      </c>
      <c r="Y1049" s="8"/>
      <c r="Z1049" s="8"/>
      <c r="AA1049" s="8"/>
      <c r="AB1049" s="8"/>
      <c r="AC1049" s="8"/>
      <c r="AD1049" s="8"/>
      <c r="AE1049" s="25"/>
      <c r="AF1049" s="11"/>
      <c r="AG1049" s="25"/>
      <c r="AH1049" s="11"/>
      <c r="AI1049" s="11">
        <v>66</v>
      </c>
      <c r="AJ1049" s="19">
        <v>10</v>
      </c>
      <c r="AK1049" s="12">
        <f>(AJ1049+AI1049)/30*7</f>
        <v>17.733333333333334</v>
      </c>
      <c r="AL1049" s="6">
        <f>IF(AK1049-C1049&lt;0,0,AK1049-C1049)</f>
        <v>0</v>
      </c>
      <c r="AM1049" s="6">
        <f>IF(AL1049-R1049-S1049&lt;0,0,AL1049-R1049-S1049)</f>
        <v>0</v>
      </c>
      <c r="AN1049" s="5" t="str">
        <f t="shared" si="33"/>
        <v/>
      </c>
      <c r="AO1049" s="5">
        <v>0</v>
      </c>
      <c r="AP1049" s="9"/>
      <c r="AQ1049" s="5" t="s">
        <v>1210</v>
      </c>
      <c r="AR1049" s="5" t="s">
        <v>1230</v>
      </c>
      <c r="AS1049" s="8"/>
      <c r="AT1049" s="8"/>
      <c r="AU1049" s="8"/>
      <c r="AV1049" s="8"/>
      <c r="AW1049" s="8"/>
      <c r="AX1049" s="8"/>
      <c r="AY1049" s="8"/>
      <c r="AZ1049" s="8"/>
    </row>
    <row r="1050" spans="1:52">
      <c r="A1050" s="5" t="s">
        <v>484</v>
      </c>
      <c r="B1050" s="5">
        <v>1186</v>
      </c>
      <c r="C1050" s="19">
        <v>794</v>
      </c>
      <c r="E1050" s="14"/>
      <c r="F1050" s="11"/>
      <c r="G1050" s="11"/>
      <c r="H1050" s="11"/>
      <c r="I1050" s="11"/>
      <c r="J1050" s="25"/>
      <c r="K1050" s="11"/>
      <c r="L1050" s="11"/>
      <c r="M1050" s="19">
        <v>0</v>
      </c>
      <c r="O1050" s="6"/>
      <c r="P1050" s="16">
        <v>858</v>
      </c>
      <c r="Q1050" s="16">
        <v>659</v>
      </c>
      <c r="R1050" s="22"/>
      <c r="S1050" s="22">
        <f t="shared" si="32"/>
        <v>0</v>
      </c>
      <c r="T1050" s="5" t="s">
        <v>1210</v>
      </c>
      <c r="U1050" s="5" t="s">
        <v>1210</v>
      </c>
      <c r="Y1050" s="8"/>
      <c r="Z1050" s="8"/>
      <c r="AA1050" s="8"/>
      <c r="AB1050" s="8"/>
      <c r="AC1050" s="8"/>
      <c r="AD1050" s="8"/>
      <c r="AE1050" s="25"/>
      <c r="AF1050" s="11"/>
      <c r="AG1050" s="25"/>
      <c r="AH1050" s="11"/>
      <c r="AI1050" s="11">
        <v>93</v>
      </c>
      <c r="AJ1050" s="19">
        <v>0</v>
      </c>
      <c r="AK1050" s="12">
        <f>(AJ1050+AI1050)/30*7</f>
        <v>21.7</v>
      </c>
      <c r="AL1050" s="6">
        <f>IF(AK1050-C1050&lt;0,0,AK1050-C1050)</f>
        <v>0</v>
      </c>
      <c r="AM1050" s="6">
        <f>IF(AL1050-R1050-S1050&lt;0,0,AL1050-R1050-S1050)</f>
        <v>0</v>
      </c>
      <c r="AN1050" s="5" t="str">
        <f t="shared" si="33"/>
        <v/>
      </c>
      <c r="AO1050" s="5">
        <v>0</v>
      </c>
      <c r="AP1050" s="9"/>
      <c r="AQ1050" s="5" t="s">
        <v>1210</v>
      </c>
      <c r="AR1050" s="5" t="s">
        <v>1210</v>
      </c>
      <c r="AS1050" s="8"/>
      <c r="AT1050" s="8"/>
      <c r="AU1050" s="8"/>
      <c r="AV1050" s="8"/>
      <c r="AW1050" s="8"/>
      <c r="AX1050" s="8"/>
      <c r="AY1050" s="8"/>
      <c r="AZ1050" s="8"/>
    </row>
    <row r="1051" spans="1:52">
      <c r="A1051" s="5" t="s">
        <v>970</v>
      </c>
      <c r="B1051" s="5">
        <v>1368</v>
      </c>
      <c r="C1051" s="19">
        <v>649</v>
      </c>
      <c r="E1051" s="14"/>
      <c r="F1051" s="11"/>
      <c r="G1051" s="11"/>
      <c r="H1051" s="11"/>
      <c r="I1051" s="11"/>
      <c r="J1051" s="25"/>
      <c r="K1051" s="11"/>
      <c r="L1051" s="11"/>
      <c r="M1051" s="19">
        <v>0</v>
      </c>
      <c r="O1051" s="6"/>
      <c r="P1051" s="16">
        <v>0</v>
      </c>
      <c r="Q1051" s="16">
        <v>0</v>
      </c>
      <c r="R1051" s="22"/>
      <c r="S1051" s="22">
        <f t="shared" si="32"/>
        <v>0</v>
      </c>
      <c r="T1051" s="5" t="s">
        <v>1210</v>
      </c>
      <c r="U1051" s="5" t="s">
        <v>1210</v>
      </c>
      <c r="Y1051" s="8"/>
      <c r="Z1051" s="8"/>
      <c r="AA1051" s="8"/>
      <c r="AB1051" s="8"/>
      <c r="AC1051" s="8"/>
      <c r="AD1051" s="8"/>
      <c r="AE1051" s="25"/>
      <c r="AF1051" s="11"/>
      <c r="AG1051" s="25"/>
      <c r="AH1051" s="11"/>
      <c r="AI1051" s="11">
        <v>54</v>
      </c>
      <c r="AJ1051" s="19">
        <v>5</v>
      </c>
      <c r="AK1051" s="12">
        <f>(AJ1051+AI1051)/30*7</f>
        <v>13.766666666666666</v>
      </c>
      <c r="AL1051" s="6">
        <f>IF(AK1051-C1051&lt;0,0,AK1051-C1051)</f>
        <v>0</v>
      </c>
      <c r="AM1051" s="6">
        <f>IF(AL1051-R1051-S1051&lt;0,0,AL1051-R1051-S1051)</f>
        <v>0</v>
      </c>
      <c r="AN1051" s="5" t="str">
        <f t="shared" si="33"/>
        <v/>
      </c>
      <c r="AO1051" s="5">
        <v>0</v>
      </c>
      <c r="AP1051" s="9"/>
      <c r="AQ1051" s="5" t="s">
        <v>1210</v>
      </c>
      <c r="AR1051" s="5" t="s">
        <v>1230</v>
      </c>
      <c r="AS1051" s="8"/>
      <c r="AT1051" s="8"/>
      <c r="AU1051" s="8"/>
      <c r="AV1051" s="8"/>
      <c r="AW1051" s="8"/>
      <c r="AX1051" s="8"/>
      <c r="AY1051" s="8"/>
      <c r="AZ1051" s="8"/>
    </row>
    <row r="1052" spans="1:52">
      <c r="A1052" s="5" t="s">
        <v>518</v>
      </c>
      <c r="B1052" s="5">
        <v>1381</v>
      </c>
      <c r="C1052" s="19">
        <v>577</v>
      </c>
      <c r="E1052" s="14"/>
      <c r="F1052" s="11"/>
      <c r="G1052" s="11"/>
      <c r="H1052" s="11"/>
      <c r="I1052" s="11"/>
      <c r="J1052" s="25"/>
      <c r="K1052" s="11"/>
      <c r="L1052" s="11"/>
      <c r="M1052" s="19">
        <v>0</v>
      </c>
      <c r="O1052" s="6"/>
      <c r="P1052" s="16">
        <v>608</v>
      </c>
      <c r="Q1052" s="16">
        <v>0</v>
      </c>
      <c r="R1052" s="22"/>
      <c r="S1052" s="22">
        <f t="shared" si="32"/>
        <v>0</v>
      </c>
      <c r="T1052" s="5" t="s">
        <v>1210</v>
      </c>
      <c r="U1052" s="5" t="s">
        <v>1210</v>
      </c>
      <c r="Y1052" s="8"/>
      <c r="Z1052" s="8"/>
      <c r="AA1052" s="8"/>
      <c r="AB1052" s="8"/>
      <c r="AC1052" s="8"/>
      <c r="AD1052" s="8"/>
      <c r="AE1052" s="25"/>
      <c r="AF1052" s="11"/>
      <c r="AG1052" s="25"/>
      <c r="AH1052" s="11"/>
      <c r="AI1052" s="11">
        <v>35</v>
      </c>
      <c r="AJ1052" s="19">
        <v>0</v>
      </c>
      <c r="AK1052" s="12">
        <f>(AJ1052+AI1052)/30*7</f>
        <v>8.1666666666666679</v>
      </c>
      <c r="AL1052" s="6">
        <f>IF(AK1052-C1052&lt;0,0,AK1052-C1052)</f>
        <v>0</v>
      </c>
      <c r="AM1052" s="6">
        <f>IF(AL1052-R1052-S1052&lt;0,0,AL1052-R1052-S1052)</f>
        <v>0</v>
      </c>
      <c r="AN1052" s="5" t="str">
        <f t="shared" si="33"/>
        <v/>
      </c>
      <c r="AO1052" s="5">
        <v>0</v>
      </c>
      <c r="AP1052" s="9"/>
      <c r="AQ1052" s="5" t="s">
        <v>1210</v>
      </c>
      <c r="AR1052" s="5" t="s">
        <v>1210</v>
      </c>
      <c r="AS1052" s="8"/>
      <c r="AT1052" s="8"/>
      <c r="AU1052" s="8"/>
      <c r="AV1052" s="8"/>
      <c r="AW1052" s="8"/>
      <c r="AX1052" s="8"/>
      <c r="AY1052" s="8"/>
      <c r="AZ1052" s="8"/>
    </row>
    <row r="1053" spans="1:52">
      <c r="A1053" s="5" t="s">
        <v>461</v>
      </c>
      <c r="B1053" s="5">
        <v>709</v>
      </c>
      <c r="C1053" s="19">
        <v>952</v>
      </c>
      <c r="E1053" s="14"/>
      <c r="F1053" s="11"/>
      <c r="G1053" s="11"/>
      <c r="H1053" s="11"/>
      <c r="I1053" s="11"/>
      <c r="J1053" s="25"/>
      <c r="K1053" s="11"/>
      <c r="L1053" s="11"/>
      <c r="M1053" s="19">
        <v>0</v>
      </c>
      <c r="O1053" s="6"/>
      <c r="P1053" s="16">
        <v>324</v>
      </c>
      <c r="Q1053" s="16">
        <v>219</v>
      </c>
      <c r="R1053" s="22"/>
      <c r="S1053" s="22">
        <f t="shared" si="32"/>
        <v>0</v>
      </c>
      <c r="U1053" s="5" t="s">
        <v>1210</v>
      </c>
      <c r="Y1053" s="8"/>
      <c r="Z1053" s="8"/>
      <c r="AA1053" s="8"/>
      <c r="AB1053" s="8"/>
      <c r="AC1053" s="8"/>
      <c r="AD1053" s="8"/>
      <c r="AE1053" s="25"/>
      <c r="AF1053" s="11"/>
      <c r="AG1053" s="25"/>
      <c r="AH1053" s="11"/>
      <c r="AI1053" s="11">
        <v>6</v>
      </c>
      <c r="AJ1053" s="19">
        <v>1</v>
      </c>
      <c r="AK1053" s="12">
        <f>(AJ1053+AI1053)/30*7</f>
        <v>1.6333333333333333</v>
      </c>
      <c r="AL1053" s="6">
        <f>IF(AK1053-C1053&lt;0,0,AK1053-C1053)</f>
        <v>0</v>
      </c>
      <c r="AM1053" s="6">
        <f>IF(AL1053-R1053-S1053&lt;0,0,AL1053-R1053-S1053)</f>
        <v>0</v>
      </c>
      <c r="AN1053" s="5" t="str">
        <f t="shared" si="33"/>
        <v/>
      </c>
      <c r="AO1053" s="5">
        <v>0</v>
      </c>
      <c r="AP1053" s="9"/>
      <c r="AQ1053" s="5" t="s">
        <v>1210</v>
      </c>
      <c r="AR1053" s="5" t="s">
        <v>1230</v>
      </c>
      <c r="AS1053" s="8"/>
      <c r="AT1053" s="8"/>
      <c r="AU1053" s="8"/>
      <c r="AV1053" s="8"/>
      <c r="AW1053" s="8"/>
      <c r="AX1053" s="8"/>
      <c r="AY1053" s="8"/>
      <c r="AZ1053" s="8"/>
    </row>
    <row r="1054" spans="1:52">
      <c r="A1054" s="5" t="s">
        <v>444</v>
      </c>
      <c r="B1054" s="5">
        <v>859</v>
      </c>
      <c r="C1054" s="19">
        <v>559</v>
      </c>
      <c r="E1054" s="14"/>
      <c r="F1054" s="11"/>
      <c r="G1054" s="11"/>
      <c r="H1054" s="11"/>
      <c r="I1054" s="11"/>
      <c r="J1054" s="25"/>
      <c r="K1054" s="11"/>
      <c r="L1054" s="11"/>
      <c r="M1054" s="19">
        <v>0</v>
      </c>
      <c r="O1054" s="6"/>
      <c r="P1054" s="16">
        <v>612</v>
      </c>
      <c r="Q1054" s="16">
        <v>0</v>
      </c>
      <c r="R1054" s="22"/>
      <c r="S1054" s="22">
        <f t="shared" si="32"/>
        <v>0</v>
      </c>
      <c r="T1054" s="5" t="s">
        <v>1210</v>
      </c>
      <c r="U1054" s="5" t="s">
        <v>1210</v>
      </c>
      <c r="Y1054" s="8"/>
      <c r="Z1054" s="8"/>
      <c r="AA1054" s="8"/>
      <c r="AB1054" s="8"/>
      <c r="AC1054" s="8"/>
      <c r="AD1054" s="8"/>
      <c r="AE1054" s="25"/>
      <c r="AF1054" s="11"/>
      <c r="AG1054" s="25"/>
      <c r="AH1054" s="11"/>
      <c r="AI1054" s="11">
        <v>2</v>
      </c>
      <c r="AJ1054" s="19">
        <v>2</v>
      </c>
      <c r="AK1054" s="12">
        <f>(AJ1054+AI1054)/30*7</f>
        <v>0.93333333333333335</v>
      </c>
      <c r="AL1054" s="6">
        <f>IF(AK1054-C1054&lt;0,0,AK1054-C1054)</f>
        <v>0</v>
      </c>
      <c r="AM1054" s="6">
        <f>IF(AL1054-R1054-S1054&lt;0,0,AL1054-R1054-S1054)</f>
        <v>0</v>
      </c>
      <c r="AN1054" s="5" t="str">
        <f t="shared" si="33"/>
        <v/>
      </c>
      <c r="AO1054" s="5">
        <v>0</v>
      </c>
      <c r="AP1054" s="9"/>
      <c r="AQ1054" s="5" t="s">
        <v>1210</v>
      </c>
      <c r="AR1054" s="5" t="s">
        <v>1210</v>
      </c>
      <c r="AS1054" s="8"/>
      <c r="AT1054" s="8"/>
      <c r="AU1054" s="8"/>
      <c r="AV1054" s="8"/>
      <c r="AW1054" s="8"/>
      <c r="AX1054" s="8"/>
      <c r="AY1054" s="8"/>
      <c r="AZ1054" s="8"/>
    </row>
    <row r="1055" spans="1:52">
      <c r="A1055" s="5" t="s">
        <v>496</v>
      </c>
      <c r="B1055" s="5">
        <v>987</v>
      </c>
      <c r="C1055" s="19">
        <v>827</v>
      </c>
      <c r="E1055" s="14"/>
      <c r="F1055" s="11"/>
      <c r="G1055" s="11"/>
      <c r="H1055" s="11"/>
      <c r="I1055" s="11"/>
      <c r="J1055" s="25"/>
      <c r="K1055" s="11"/>
      <c r="L1055" s="11"/>
      <c r="M1055" s="19">
        <v>0</v>
      </c>
      <c r="O1055" s="6"/>
      <c r="P1055" s="16">
        <v>392</v>
      </c>
      <c r="Q1055" s="16">
        <v>238</v>
      </c>
      <c r="R1055" s="22"/>
      <c r="S1055" s="22">
        <f t="shared" si="32"/>
        <v>0</v>
      </c>
      <c r="U1055" s="5" t="s">
        <v>1210</v>
      </c>
      <c r="Y1055" s="8"/>
      <c r="Z1055" s="8"/>
      <c r="AA1055" s="8"/>
      <c r="AB1055" s="8"/>
      <c r="AC1055" s="8"/>
      <c r="AD1055" s="8"/>
      <c r="AE1055" s="25"/>
      <c r="AF1055" s="11"/>
      <c r="AG1055" s="25"/>
      <c r="AH1055" s="11"/>
      <c r="AI1055" s="11">
        <v>87</v>
      </c>
      <c r="AJ1055" s="19">
        <v>0</v>
      </c>
      <c r="AK1055" s="12">
        <f>(AJ1055+AI1055)/30*7</f>
        <v>20.3</v>
      </c>
      <c r="AL1055" s="6">
        <f>IF(AK1055-C1055&lt;0,0,AK1055-C1055)</f>
        <v>0</v>
      </c>
      <c r="AM1055" s="6">
        <f>IF(AL1055-R1055-S1055&lt;0,0,AL1055-R1055-S1055)</f>
        <v>0</v>
      </c>
      <c r="AN1055" s="5" t="str">
        <f t="shared" si="33"/>
        <v/>
      </c>
      <c r="AO1055" s="5">
        <v>0</v>
      </c>
      <c r="AP1055" s="9"/>
      <c r="AQ1055" s="5" t="s">
        <v>1210</v>
      </c>
      <c r="AR1055" s="5" t="s">
        <v>1210</v>
      </c>
      <c r="AS1055" s="8"/>
      <c r="AT1055" s="8"/>
      <c r="AU1055" s="8"/>
      <c r="AV1055" s="8"/>
      <c r="AW1055" s="8"/>
      <c r="AX1055" s="8"/>
      <c r="AY1055" s="8"/>
      <c r="AZ1055" s="8"/>
    </row>
    <row r="1056" spans="1:52">
      <c r="A1056" s="5" t="s">
        <v>528</v>
      </c>
      <c r="B1056" s="5">
        <v>154</v>
      </c>
      <c r="C1056" s="19">
        <v>661</v>
      </c>
      <c r="E1056" s="14"/>
      <c r="F1056" s="11"/>
      <c r="G1056" s="11"/>
      <c r="H1056" s="11"/>
      <c r="I1056" s="11"/>
      <c r="J1056" s="25"/>
      <c r="K1056" s="11"/>
      <c r="L1056" s="11"/>
      <c r="M1056" s="19">
        <v>0</v>
      </c>
      <c r="O1056" s="6"/>
      <c r="P1056" s="16">
        <v>0</v>
      </c>
      <c r="Q1056" s="16">
        <v>0</v>
      </c>
      <c r="R1056" s="22"/>
      <c r="S1056" s="22">
        <f t="shared" si="32"/>
        <v>0</v>
      </c>
      <c r="T1056" s="5" t="s">
        <v>1210</v>
      </c>
      <c r="U1056" s="5" t="s">
        <v>1210</v>
      </c>
      <c r="Y1056" s="8"/>
      <c r="Z1056" s="8"/>
      <c r="AA1056" s="8"/>
      <c r="AB1056" s="8"/>
      <c r="AC1056" s="8"/>
      <c r="AD1056" s="8"/>
      <c r="AE1056" s="25"/>
      <c r="AF1056" s="11"/>
      <c r="AG1056" s="25"/>
      <c r="AH1056" s="11"/>
      <c r="AI1056" s="11">
        <v>34</v>
      </c>
      <c r="AJ1056" s="19">
        <v>0</v>
      </c>
      <c r="AK1056" s="12">
        <f>(AJ1056+AI1056)/30*7</f>
        <v>7.9333333333333336</v>
      </c>
      <c r="AL1056" s="6">
        <f>IF(AK1056-C1056&lt;0,0,AK1056-C1056)</f>
        <v>0</v>
      </c>
      <c r="AM1056" s="6">
        <f>IF(AL1056-R1056-S1056&lt;0,0,AL1056-R1056-S1056)</f>
        <v>0</v>
      </c>
      <c r="AN1056" s="5" t="str">
        <f t="shared" si="33"/>
        <v/>
      </c>
      <c r="AO1056" s="5">
        <v>0</v>
      </c>
      <c r="AP1056" s="9"/>
      <c r="AQ1056" s="5" t="s">
        <v>1210</v>
      </c>
      <c r="AR1056" s="5" t="s">
        <v>1230</v>
      </c>
      <c r="AS1056" s="8"/>
      <c r="AT1056" s="8"/>
      <c r="AU1056" s="8"/>
      <c r="AV1056" s="8"/>
      <c r="AW1056" s="8"/>
      <c r="AX1056" s="8"/>
      <c r="AY1056" s="8"/>
      <c r="AZ1056" s="8"/>
    </row>
    <row r="1057" spans="1:52">
      <c r="A1057" s="5" t="s">
        <v>498</v>
      </c>
      <c r="B1057" s="5">
        <v>1195</v>
      </c>
      <c r="C1057" s="19">
        <v>739</v>
      </c>
      <c r="E1057" s="14"/>
      <c r="F1057" s="11"/>
      <c r="G1057" s="11"/>
      <c r="H1057" s="11"/>
      <c r="I1057" s="11"/>
      <c r="J1057" s="25"/>
      <c r="K1057" s="11"/>
      <c r="L1057" s="11"/>
      <c r="M1057" s="19">
        <v>0</v>
      </c>
      <c r="O1057" s="6"/>
      <c r="P1057" s="16">
        <v>443</v>
      </c>
      <c r="Q1057" s="16">
        <v>973</v>
      </c>
      <c r="R1057" s="22"/>
      <c r="S1057" s="22">
        <f t="shared" si="32"/>
        <v>0</v>
      </c>
      <c r="T1057" s="5" t="s">
        <v>1210</v>
      </c>
      <c r="U1057" s="5" t="s">
        <v>1210</v>
      </c>
      <c r="Y1057" s="8"/>
      <c r="Z1057" s="8"/>
      <c r="AA1057" s="8"/>
      <c r="AB1057" s="8"/>
      <c r="AC1057" s="8"/>
      <c r="AD1057" s="8"/>
      <c r="AE1057" s="25"/>
      <c r="AF1057" s="11"/>
      <c r="AG1057" s="25"/>
      <c r="AH1057" s="11"/>
      <c r="AI1057" s="11">
        <v>82</v>
      </c>
      <c r="AJ1057" s="19">
        <v>0</v>
      </c>
      <c r="AK1057" s="12">
        <f>(AJ1057+AI1057)/30*7</f>
        <v>19.133333333333333</v>
      </c>
      <c r="AL1057" s="6">
        <f>IF(AK1057-C1057&lt;0,0,AK1057-C1057)</f>
        <v>0</v>
      </c>
      <c r="AM1057" s="6">
        <f>IF(AL1057-R1057-S1057&lt;0,0,AL1057-R1057-S1057)</f>
        <v>0</v>
      </c>
      <c r="AN1057" s="5" t="str">
        <f t="shared" si="33"/>
        <v/>
      </c>
      <c r="AO1057" s="5">
        <v>0</v>
      </c>
      <c r="AP1057" s="9"/>
      <c r="AQ1057" s="5" t="s">
        <v>1210</v>
      </c>
      <c r="AR1057" s="5" t="s">
        <v>1230</v>
      </c>
      <c r="AS1057" s="8"/>
      <c r="AT1057" s="8"/>
      <c r="AU1057" s="8"/>
      <c r="AV1057" s="8"/>
      <c r="AW1057" s="8"/>
      <c r="AX1057" s="8"/>
      <c r="AY1057" s="8"/>
      <c r="AZ1057" s="8"/>
    </row>
    <row r="1058" spans="1:52">
      <c r="A1058" s="5" t="s">
        <v>472</v>
      </c>
      <c r="B1058" s="5">
        <v>409</v>
      </c>
      <c r="C1058" s="19">
        <v>772</v>
      </c>
      <c r="E1058" s="14"/>
      <c r="F1058" s="11"/>
      <c r="G1058" s="11"/>
      <c r="H1058" s="11"/>
      <c r="I1058" s="11"/>
      <c r="J1058" s="25"/>
      <c r="K1058" s="11"/>
      <c r="L1058" s="11"/>
      <c r="M1058" s="19">
        <v>0</v>
      </c>
      <c r="O1058" s="6"/>
      <c r="P1058" s="16">
        <v>937</v>
      </c>
      <c r="Q1058" s="16">
        <v>586</v>
      </c>
      <c r="R1058" s="22"/>
      <c r="S1058" s="22">
        <f t="shared" si="32"/>
        <v>0</v>
      </c>
      <c r="U1058" s="5" t="s">
        <v>1210</v>
      </c>
      <c r="Y1058" s="8"/>
      <c r="Z1058" s="8"/>
      <c r="AA1058" s="8"/>
      <c r="AB1058" s="8"/>
      <c r="AC1058" s="8"/>
      <c r="AD1058" s="8"/>
      <c r="AE1058" s="25"/>
      <c r="AF1058" s="11"/>
      <c r="AG1058" s="25"/>
      <c r="AH1058" s="11"/>
      <c r="AI1058" s="11">
        <v>16</v>
      </c>
      <c r="AJ1058" s="19">
        <v>0</v>
      </c>
      <c r="AK1058" s="12">
        <f>(AJ1058+AI1058)/30*7</f>
        <v>3.7333333333333334</v>
      </c>
      <c r="AL1058" s="6">
        <f>IF(AK1058-C1058&lt;0,0,AK1058-C1058)</f>
        <v>0</v>
      </c>
      <c r="AM1058" s="6">
        <f>IF(AL1058-R1058-S1058&lt;0,0,AL1058-R1058-S1058)</f>
        <v>0</v>
      </c>
      <c r="AN1058" s="5" t="str">
        <f t="shared" si="33"/>
        <v/>
      </c>
      <c r="AO1058" s="5">
        <v>0</v>
      </c>
      <c r="AP1058" s="9"/>
      <c r="AQ1058" s="5" t="s">
        <v>1210</v>
      </c>
      <c r="AR1058" s="5" t="s">
        <v>1230</v>
      </c>
      <c r="AS1058" s="8"/>
      <c r="AT1058" s="8"/>
      <c r="AU1058" s="8"/>
      <c r="AV1058" s="8"/>
      <c r="AW1058" s="8"/>
      <c r="AX1058" s="8"/>
      <c r="AY1058" s="8"/>
      <c r="AZ1058" s="8"/>
    </row>
    <row r="1059" spans="1:52">
      <c r="A1059" s="5" t="s">
        <v>436</v>
      </c>
      <c r="B1059" s="5">
        <v>874</v>
      </c>
      <c r="C1059" s="19">
        <v>405</v>
      </c>
      <c r="E1059" s="14"/>
      <c r="F1059" s="11"/>
      <c r="G1059" s="11"/>
      <c r="H1059" s="11"/>
      <c r="I1059" s="11"/>
      <c r="J1059" s="25"/>
      <c r="K1059" s="11"/>
      <c r="L1059" s="11"/>
      <c r="M1059" s="19">
        <v>0</v>
      </c>
      <c r="O1059" s="6"/>
      <c r="P1059" s="16">
        <v>416</v>
      </c>
      <c r="Q1059" s="16">
        <v>257</v>
      </c>
      <c r="R1059" s="22"/>
      <c r="S1059" s="22">
        <f t="shared" si="32"/>
        <v>0</v>
      </c>
      <c r="T1059" s="5" t="s">
        <v>1210</v>
      </c>
      <c r="U1059" s="5" t="s">
        <v>1210</v>
      </c>
      <c r="Y1059" s="8"/>
      <c r="Z1059" s="8"/>
      <c r="AA1059" s="8"/>
      <c r="AB1059" s="8"/>
      <c r="AC1059" s="8"/>
      <c r="AD1059" s="8"/>
      <c r="AE1059" s="25"/>
      <c r="AF1059" s="11"/>
      <c r="AG1059" s="25"/>
      <c r="AH1059" s="11"/>
      <c r="AI1059" s="11">
        <v>8</v>
      </c>
      <c r="AJ1059" s="19">
        <v>0</v>
      </c>
      <c r="AK1059" s="12">
        <f>(AJ1059+AI1059)/30*7</f>
        <v>1.8666666666666667</v>
      </c>
      <c r="AL1059" s="6">
        <f>IF(AK1059-C1059&lt;0,0,AK1059-C1059)</f>
        <v>0</v>
      </c>
      <c r="AM1059" s="6">
        <f>IF(AL1059-R1059-S1059&lt;0,0,AL1059-R1059-S1059)</f>
        <v>0</v>
      </c>
      <c r="AN1059" s="5" t="str">
        <f t="shared" si="33"/>
        <v/>
      </c>
      <c r="AO1059" s="5">
        <v>0</v>
      </c>
      <c r="AP1059" s="9"/>
      <c r="AQ1059" s="5" t="s">
        <v>1210</v>
      </c>
      <c r="AR1059" s="5" t="s">
        <v>1230</v>
      </c>
      <c r="AS1059" s="8"/>
      <c r="AT1059" s="8"/>
      <c r="AU1059" s="8"/>
      <c r="AV1059" s="8"/>
      <c r="AW1059" s="8"/>
      <c r="AX1059" s="8"/>
      <c r="AY1059" s="8"/>
      <c r="AZ1059" s="8"/>
    </row>
    <row r="1060" spans="1:52">
      <c r="A1060" s="5" t="s">
        <v>517</v>
      </c>
      <c r="B1060" s="5">
        <v>580</v>
      </c>
      <c r="C1060" s="19">
        <v>716</v>
      </c>
      <c r="E1060" s="14"/>
      <c r="F1060" s="11"/>
      <c r="G1060" s="11"/>
      <c r="H1060" s="11"/>
      <c r="I1060" s="11"/>
      <c r="J1060" s="25"/>
      <c r="K1060" s="11"/>
      <c r="L1060" s="11"/>
      <c r="M1060" s="19">
        <v>0</v>
      </c>
      <c r="O1060" s="6"/>
      <c r="P1060" s="16">
        <v>354</v>
      </c>
      <c r="Q1060" s="16">
        <v>975</v>
      </c>
      <c r="R1060" s="22"/>
      <c r="S1060" s="22">
        <f t="shared" si="32"/>
        <v>0</v>
      </c>
      <c r="U1060" s="5" t="s">
        <v>1210</v>
      </c>
      <c r="Y1060" s="8"/>
      <c r="Z1060" s="8"/>
      <c r="AA1060" s="8"/>
      <c r="AB1060" s="8"/>
      <c r="AC1060" s="8"/>
      <c r="AD1060" s="8"/>
      <c r="AE1060" s="25"/>
      <c r="AF1060" s="11"/>
      <c r="AG1060" s="25"/>
      <c r="AH1060" s="11"/>
      <c r="AI1060" s="11">
        <v>30</v>
      </c>
      <c r="AJ1060" s="19">
        <v>0</v>
      </c>
      <c r="AK1060" s="12">
        <f>(AJ1060+AI1060)/30*7</f>
        <v>7</v>
      </c>
      <c r="AL1060" s="6">
        <f>IF(AK1060-C1060&lt;0,0,AK1060-C1060)</f>
        <v>0</v>
      </c>
      <c r="AM1060" s="6">
        <f>IF(AL1060-R1060-S1060&lt;0,0,AL1060-R1060-S1060)</f>
        <v>0</v>
      </c>
      <c r="AN1060" s="5" t="str">
        <f t="shared" si="33"/>
        <v/>
      </c>
      <c r="AO1060" s="5">
        <v>0</v>
      </c>
      <c r="AP1060" s="9"/>
      <c r="AQ1060" s="5" t="s">
        <v>1210</v>
      </c>
      <c r="AR1060" s="5" t="s">
        <v>1230</v>
      </c>
      <c r="AS1060" s="8"/>
      <c r="AT1060" s="8"/>
      <c r="AU1060" s="8"/>
      <c r="AV1060" s="8"/>
      <c r="AW1060" s="8"/>
      <c r="AX1060" s="8"/>
      <c r="AY1060" s="8"/>
      <c r="AZ1060" s="8"/>
    </row>
    <row r="1061" spans="1:52">
      <c r="A1061" s="5" t="s">
        <v>456</v>
      </c>
      <c r="B1061" s="5">
        <v>1046</v>
      </c>
      <c r="C1061" s="19">
        <v>734</v>
      </c>
      <c r="E1061" s="14"/>
      <c r="F1061" s="11"/>
      <c r="G1061" s="11"/>
      <c r="H1061" s="11"/>
      <c r="I1061" s="11"/>
      <c r="J1061" s="25"/>
      <c r="K1061" s="11"/>
      <c r="L1061" s="11"/>
      <c r="M1061" s="19">
        <v>0</v>
      </c>
      <c r="O1061" s="6"/>
      <c r="P1061" s="16">
        <v>0</v>
      </c>
      <c r="Q1061" s="16">
        <v>0</v>
      </c>
      <c r="R1061" s="22"/>
      <c r="S1061" s="22">
        <f t="shared" si="32"/>
        <v>0</v>
      </c>
      <c r="T1061" s="5" t="s">
        <v>1210</v>
      </c>
      <c r="U1061" s="5" t="s">
        <v>1210</v>
      </c>
      <c r="Y1061" s="8"/>
      <c r="Z1061" s="8"/>
      <c r="AA1061" s="8"/>
      <c r="AB1061" s="8"/>
      <c r="AC1061" s="8"/>
      <c r="AD1061" s="8"/>
      <c r="AE1061" s="25"/>
      <c r="AF1061" s="11"/>
      <c r="AG1061" s="25"/>
      <c r="AH1061" s="11"/>
      <c r="AI1061" s="11">
        <v>23</v>
      </c>
      <c r="AJ1061" s="19">
        <v>0</v>
      </c>
      <c r="AK1061" s="12">
        <f>(AJ1061+AI1061)/30*7</f>
        <v>5.3666666666666671</v>
      </c>
      <c r="AL1061" s="6">
        <f>IF(AK1061-C1061&lt;0,0,AK1061-C1061)</f>
        <v>0</v>
      </c>
      <c r="AM1061" s="6">
        <f>IF(AL1061-R1061-S1061&lt;0,0,AL1061-R1061-S1061)</f>
        <v>0</v>
      </c>
      <c r="AN1061" s="5" t="str">
        <f t="shared" si="33"/>
        <v/>
      </c>
      <c r="AO1061" s="5">
        <v>0</v>
      </c>
      <c r="AP1061" s="9"/>
      <c r="AQ1061" s="5" t="s">
        <v>1210</v>
      </c>
      <c r="AR1061" s="5" t="s">
        <v>1210</v>
      </c>
      <c r="AS1061" s="8"/>
      <c r="AT1061" s="8"/>
      <c r="AU1061" s="8"/>
      <c r="AV1061" s="8"/>
      <c r="AW1061" s="8"/>
      <c r="AX1061" s="8"/>
      <c r="AY1061" s="8"/>
      <c r="AZ1061" s="8"/>
    </row>
    <row r="1062" spans="1:52">
      <c r="A1062" s="5" t="s">
        <v>540</v>
      </c>
      <c r="B1062" s="5">
        <v>1098</v>
      </c>
      <c r="C1062" s="19">
        <v>598</v>
      </c>
      <c r="E1062" s="14"/>
      <c r="F1062" s="11"/>
      <c r="G1062" s="11"/>
      <c r="H1062" s="11"/>
      <c r="I1062" s="11"/>
      <c r="J1062" s="25"/>
      <c r="K1062" s="11"/>
      <c r="L1062" s="11"/>
      <c r="M1062" s="19">
        <v>0</v>
      </c>
      <c r="O1062" s="6"/>
      <c r="P1062" s="16">
        <v>0</v>
      </c>
      <c r="Q1062" s="16">
        <v>0</v>
      </c>
      <c r="R1062" s="22"/>
      <c r="S1062" s="22">
        <f t="shared" si="32"/>
        <v>0</v>
      </c>
      <c r="T1062" s="5" t="s">
        <v>1210</v>
      </c>
      <c r="U1062" s="5" t="s">
        <v>1210</v>
      </c>
      <c r="Y1062" s="8"/>
      <c r="Z1062" s="8"/>
      <c r="AA1062" s="8"/>
      <c r="AB1062" s="8"/>
      <c r="AC1062" s="8"/>
      <c r="AD1062" s="8"/>
      <c r="AE1062" s="25"/>
      <c r="AF1062" s="11"/>
      <c r="AG1062" s="25"/>
      <c r="AH1062" s="11"/>
      <c r="AI1062" s="11">
        <v>89</v>
      </c>
      <c r="AJ1062" s="19">
        <v>6</v>
      </c>
      <c r="AK1062" s="12">
        <f>(AJ1062+AI1062)/30*7</f>
        <v>22.166666666666664</v>
      </c>
      <c r="AL1062" s="6">
        <f>IF(AK1062-C1062&lt;0,0,AK1062-C1062)</f>
        <v>0</v>
      </c>
      <c r="AM1062" s="6">
        <f>IF(AL1062-R1062-S1062&lt;0,0,AL1062-R1062-S1062)</f>
        <v>0</v>
      </c>
      <c r="AN1062" s="5" t="str">
        <f t="shared" si="33"/>
        <v/>
      </c>
      <c r="AO1062" s="5">
        <v>0</v>
      </c>
      <c r="AP1062" s="9"/>
      <c r="AQ1062" s="5" t="s">
        <v>1210</v>
      </c>
      <c r="AR1062" s="5" t="s">
        <v>1210</v>
      </c>
      <c r="AS1062" s="8"/>
      <c r="AT1062" s="8"/>
      <c r="AU1062" s="8"/>
      <c r="AV1062" s="8"/>
      <c r="AW1062" s="8"/>
      <c r="AX1062" s="8"/>
      <c r="AY1062" s="8"/>
      <c r="AZ1062" s="8"/>
    </row>
    <row r="1063" spans="1:52">
      <c r="A1063" s="5" t="s">
        <v>739</v>
      </c>
      <c r="B1063" s="5">
        <v>1699</v>
      </c>
      <c r="C1063" s="19">
        <v>852</v>
      </c>
      <c r="E1063" s="14"/>
      <c r="F1063" s="11"/>
      <c r="G1063" s="11"/>
      <c r="H1063" s="11"/>
      <c r="I1063" s="11"/>
      <c r="J1063" s="25"/>
      <c r="K1063" s="11"/>
      <c r="L1063" s="11"/>
      <c r="M1063" s="19">
        <v>0</v>
      </c>
      <c r="O1063" s="6"/>
      <c r="P1063" s="16">
        <v>597</v>
      </c>
      <c r="Q1063" s="16">
        <v>319</v>
      </c>
      <c r="R1063" s="22"/>
      <c r="S1063" s="22">
        <f t="shared" si="32"/>
        <v>0</v>
      </c>
      <c r="T1063" s="5" t="s">
        <v>1210</v>
      </c>
      <c r="U1063" s="5" t="s">
        <v>1210</v>
      </c>
      <c r="Y1063" s="8"/>
      <c r="Z1063" s="8"/>
      <c r="AA1063" s="8"/>
      <c r="AB1063" s="8"/>
      <c r="AC1063" s="8"/>
      <c r="AD1063" s="8"/>
      <c r="AE1063" s="25"/>
      <c r="AF1063" s="11"/>
      <c r="AG1063" s="25"/>
      <c r="AH1063" s="11"/>
      <c r="AI1063" s="11">
        <v>52</v>
      </c>
      <c r="AJ1063" s="19">
        <v>0</v>
      </c>
      <c r="AK1063" s="12">
        <f>(AJ1063+AI1063)/30*7</f>
        <v>12.133333333333333</v>
      </c>
      <c r="AL1063" s="6">
        <f>IF(AK1063-C1063&lt;0,0,AK1063-C1063)</f>
        <v>0</v>
      </c>
      <c r="AM1063" s="6">
        <f>IF(AL1063-R1063-S1063&lt;0,0,AL1063-R1063-S1063)</f>
        <v>0</v>
      </c>
      <c r="AN1063" s="5" t="str">
        <f t="shared" si="33"/>
        <v/>
      </c>
      <c r="AO1063" s="5">
        <v>0</v>
      </c>
      <c r="AP1063" s="9"/>
      <c r="AQ1063" s="5" t="s">
        <v>1210</v>
      </c>
      <c r="AR1063" s="5" t="s">
        <v>1230</v>
      </c>
      <c r="AS1063" s="8"/>
      <c r="AT1063" s="8"/>
      <c r="AU1063" s="8"/>
      <c r="AV1063" s="8"/>
      <c r="AW1063" s="8"/>
      <c r="AX1063" s="8"/>
      <c r="AY1063" s="8"/>
      <c r="AZ1063" s="8"/>
    </row>
    <row r="1064" spans="1:52">
      <c r="A1064" s="5" t="s">
        <v>481</v>
      </c>
      <c r="B1064" s="5">
        <v>376</v>
      </c>
      <c r="C1064" s="19">
        <v>678</v>
      </c>
      <c r="E1064" s="14"/>
      <c r="F1064" s="11"/>
      <c r="G1064" s="11"/>
      <c r="H1064" s="11"/>
      <c r="I1064" s="11"/>
      <c r="J1064" s="25"/>
      <c r="K1064" s="11"/>
      <c r="L1064" s="11"/>
      <c r="M1064" s="19">
        <v>0</v>
      </c>
      <c r="O1064" s="6"/>
      <c r="P1064" s="16">
        <v>256</v>
      </c>
      <c r="Q1064" s="16">
        <v>854</v>
      </c>
      <c r="R1064" s="22"/>
      <c r="S1064" s="22">
        <f t="shared" si="32"/>
        <v>0</v>
      </c>
      <c r="T1064" s="5" t="s">
        <v>1210</v>
      </c>
      <c r="U1064" s="5" t="s">
        <v>1210</v>
      </c>
      <c r="Y1064" s="8"/>
      <c r="Z1064" s="8"/>
      <c r="AA1064" s="8"/>
      <c r="AB1064" s="8"/>
      <c r="AC1064" s="8"/>
      <c r="AD1064" s="8"/>
      <c r="AE1064" s="25"/>
      <c r="AF1064" s="11"/>
      <c r="AG1064" s="25"/>
      <c r="AH1064" s="11"/>
      <c r="AI1064" s="11">
        <v>14</v>
      </c>
      <c r="AJ1064" s="19">
        <v>0</v>
      </c>
      <c r="AK1064" s="12">
        <f>(AJ1064+AI1064)/30*7</f>
        <v>3.2666666666666666</v>
      </c>
      <c r="AL1064" s="6">
        <f>IF(AK1064-C1064&lt;0,0,AK1064-C1064)</f>
        <v>0</v>
      </c>
      <c r="AM1064" s="6">
        <f>IF(AL1064-R1064-S1064&lt;0,0,AL1064-R1064-S1064)</f>
        <v>0</v>
      </c>
      <c r="AN1064" s="5" t="str">
        <f t="shared" si="33"/>
        <v/>
      </c>
      <c r="AO1064" s="5">
        <v>0</v>
      </c>
      <c r="AP1064" s="9"/>
      <c r="AQ1064" s="5" t="s">
        <v>1210</v>
      </c>
      <c r="AR1064" s="5" t="s">
        <v>1230</v>
      </c>
      <c r="AS1064" s="8"/>
      <c r="AT1064" s="8"/>
      <c r="AU1064" s="8"/>
      <c r="AV1064" s="8"/>
      <c r="AW1064" s="8"/>
      <c r="AX1064" s="8"/>
      <c r="AY1064" s="8"/>
      <c r="AZ1064" s="8"/>
    </row>
    <row r="1065" spans="1:52">
      <c r="A1065" s="5" t="s">
        <v>674</v>
      </c>
      <c r="B1065" s="5">
        <v>370</v>
      </c>
      <c r="C1065" s="19">
        <v>705</v>
      </c>
      <c r="E1065" s="14"/>
      <c r="F1065" s="11"/>
      <c r="G1065" s="11"/>
      <c r="H1065" s="11"/>
      <c r="I1065" s="11"/>
      <c r="J1065" s="25"/>
      <c r="K1065" s="11"/>
      <c r="L1065" s="11"/>
      <c r="M1065" s="19">
        <v>0</v>
      </c>
      <c r="O1065" s="6"/>
      <c r="P1065" s="16">
        <v>603</v>
      </c>
      <c r="Q1065" s="16">
        <v>327</v>
      </c>
      <c r="R1065" s="22"/>
      <c r="S1065" s="22">
        <f t="shared" si="32"/>
        <v>0</v>
      </c>
      <c r="T1065" s="5" t="s">
        <v>1210</v>
      </c>
      <c r="U1065" s="5" t="s">
        <v>1210</v>
      </c>
      <c r="Y1065" s="8"/>
      <c r="Z1065" s="8"/>
      <c r="AA1065" s="8"/>
      <c r="AB1065" s="8"/>
      <c r="AC1065" s="8"/>
      <c r="AD1065" s="8"/>
      <c r="AE1065" s="25"/>
      <c r="AF1065" s="11"/>
      <c r="AG1065" s="25"/>
      <c r="AH1065" s="11"/>
      <c r="AI1065" s="11">
        <v>100</v>
      </c>
      <c r="AJ1065" s="19">
        <v>0</v>
      </c>
      <c r="AK1065" s="12">
        <f>(AJ1065+AI1065)/30*7</f>
        <v>23.333333333333336</v>
      </c>
      <c r="AL1065" s="6">
        <f>IF(AK1065-C1065&lt;0,0,AK1065-C1065)</f>
        <v>0</v>
      </c>
      <c r="AM1065" s="6">
        <f>IF(AL1065-R1065-S1065&lt;0,0,AL1065-R1065-S1065)</f>
        <v>0</v>
      </c>
      <c r="AN1065" s="5" t="str">
        <f t="shared" si="33"/>
        <v/>
      </c>
      <c r="AO1065" s="5">
        <v>0</v>
      </c>
      <c r="AP1065" s="9"/>
      <c r="AQ1065" s="5" t="s">
        <v>1210</v>
      </c>
      <c r="AR1065" s="5" t="s">
        <v>1230</v>
      </c>
      <c r="AS1065" s="8"/>
      <c r="AT1065" s="8"/>
      <c r="AU1065" s="8"/>
      <c r="AV1065" s="8"/>
      <c r="AW1065" s="8"/>
      <c r="AX1065" s="8"/>
      <c r="AY1065" s="8"/>
      <c r="AZ1065" s="8"/>
    </row>
    <row r="1066" spans="1:52">
      <c r="A1066" s="5" t="s">
        <v>536</v>
      </c>
      <c r="B1066" s="5">
        <v>710</v>
      </c>
      <c r="C1066" s="19">
        <v>799</v>
      </c>
      <c r="E1066" s="14"/>
      <c r="F1066" s="11"/>
      <c r="G1066" s="11"/>
      <c r="H1066" s="11"/>
      <c r="I1066" s="11"/>
      <c r="J1066" s="25"/>
      <c r="K1066" s="11"/>
      <c r="L1066" s="11"/>
      <c r="M1066" s="19">
        <v>0</v>
      </c>
      <c r="O1066" s="6"/>
      <c r="P1066" s="16">
        <v>716</v>
      </c>
      <c r="Q1066" s="16">
        <v>910</v>
      </c>
      <c r="R1066" s="22"/>
      <c r="S1066" s="22">
        <f t="shared" si="32"/>
        <v>0</v>
      </c>
      <c r="T1066" s="5" t="s">
        <v>1210</v>
      </c>
      <c r="U1066" s="5" t="s">
        <v>1210</v>
      </c>
      <c r="Y1066" s="8"/>
      <c r="Z1066" s="8"/>
      <c r="AA1066" s="8"/>
      <c r="AB1066" s="8"/>
      <c r="AC1066" s="8"/>
      <c r="AD1066" s="8"/>
      <c r="AE1066" s="25"/>
      <c r="AF1066" s="11"/>
      <c r="AG1066" s="25"/>
      <c r="AH1066" s="11"/>
      <c r="AI1066" s="11">
        <v>75</v>
      </c>
      <c r="AJ1066" s="19">
        <v>0</v>
      </c>
      <c r="AK1066" s="12">
        <f>(AJ1066+AI1066)/30*7</f>
        <v>17.5</v>
      </c>
      <c r="AL1066" s="6">
        <f>IF(AK1066-C1066&lt;0,0,AK1066-C1066)</f>
        <v>0</v>
      </c>
      <c r="AM1066" s="6">
        <f>IF(AL1066-R1066-S1066&lt;0,0,AL1066-R1066-S1066)</f>
        <v>0</v>
      </c>
      <c r="AN1066" s="5" t="str">
        <f t="shared" si="33"/>
        <v/>
      </c>
      <c r="AO1066" s="5">
        <v>0</v>
      </c>
      <c r="AP1066" s="9"/>
      <c r="AQ1066" s="5" t="s">
        <v>1210</v>
      </c>
      <c r="AR1066" s="5" t="s">
        <v>1230</v>
      </c>
      <c r="AS1066" s="8"/>
      <c r="AT1066" s="8"/>
      <c r="AU1066" s="8"/>
      <c r="AV1066" s="8"/>
      <c r="AW1066" s="8"/>
      <c r="AX1066" s="8"/>
      <c r="AY1066" s="8"/>
      <c r="AZ1066" s="8"/>
    </row>
    <row r="1067" spans="1:52">
      <c r="A1067" s="5" t="s">
        <v>522</v>
      </c>
      <c r="B1067" s="5">
        <v>1121</v>
      </c>
      <c r="C1067" s="19">
        <v>277</v>
      </c>
      <c r="E1067" s="14"/>
      <c r="F1067" s="11"/>
      <c r="G1067" s="11"/>
      <c r="H1067" s="11"/>
      <c r="I1067" s="11"/>
      <c r="J1067" s="25"/>
      <c r="K1067" s="11"/>
      <c r="L1067" s="11"/>
      <c r="M1067" s="19">
        <v>0</v>
      </c>
      <c r="O1067" s="6"/>
      <c r="P1067" s="16">
        <v>565</v>
      </c>
      <c r="Q1067" s="16">
        <v>419</v>
      </c>
      <c r="R1067" s="22"/>
      <c r="S1067" s="22">
        <f t="shared" si="32"/>
        <v>0</v>
      </c>
      <c r="T1067" s="5" t="s">
        <v>1210</v>
      </c>
      <c r="U1067" s="5" t="s">
        <v>1210</v>
      </c>
      <c r="Y1067" s="8"/>
      <c r="Z1067" s="8"/>
      <c r="AA1067" s="8"/>
      <c r="AB1067" s="8"/>
      <c r="AC1067" s="8"/>
      <c r="AD1067" s="8"/>
      <c r="AE1067" s="25"/>
      <c r="AF1067" s="11"/>
      <c r="AG1067" s="25"/>
      <c r="AH1067" s="11"/>
      <c r="AI1067" s="11">
        <v>31</v>
      </c>
      <c r="AJ1067" s="19">
        <v>0</v>
      </c>
      <c r="AK1067" s="12">
        <f>(AJ1067+AI1067)/30*7</f>
        <v>7.2333333333333343</v>
      </c>
      <c r="AL1067" s="6">
        <f>IF(AK1067-C1067&lt;0,0,AK1067-C1067)</f>
        <v>0</v>
      </c>
      <c r="AM1067" s="6">
        <f>IF(AL1067-R1067-S1067&lt;0,0,AL1067-R1067-S1067)</f>
        <v>0</v>
      </c>
      <c r="AN1067" s="5" t="str">
        <f t="shared" si="33"/>
        <v/>
      </c>
      <c r="AO1067" s="5">
        <v>0</v>
      </c>
      <c r="AP1067" s="9"/>
      <c r="AQ1067" s="5" t="s">
        <v>1210</v>
      </c>
      <c r="AR1067" s="5" t="s">
        <v>1230</v>
      </c>
      <c r="AS1067" s="8"/>
      <c r="AT1067" s="8"/>
      <c r="AU1067" s="8"/>
      <c r="AV1067" s="8"/>
      <c r="AW1067" s="8"/>
      <c r="AX1067" s="8"/>
      <c r="AY1067" s="8"/>
      <c r="AZ1067" s="8"/>
    </row>
    <row r="1068" spans="1:52">
      <c r="A1068" s="5" t="s">
        <v>487</v>
      </c>
      <c r="B1068" s="5">
        <v>1474</v>
      </c>
      <c r="C1068" s="19">
        <v>533</v>
      </c>
      <c r="E1068" s="14"/>
      <c r="F1068" s="11"/>
      <c r="G1068" s="11"/>
      <c r="H1068" s="11"/>
      <c r="I1068" s="11"/>
      <c r="J1068" s="25"/>
      <c r="K1068" s="11"/>
      <c r="L1068" s="11"/>
      <c r="M1068" s="19">
        <v>0</v>
      </c>
      <c r="O1068" s="6"/>
      <c r="P1068" s="16">
        <v>0</v>
      </c>
      <c r="Q1068" s="16">
        <v>0</v>
      </c>
      <c r="R1068" s="22"/>
      <c r="S1068" s="22">
        <f t="shared" si="32"/>
        <v>0</v>
      </c>
      <c r="T1068" s="5" t="s">
        <v>1210</v>
      </c>
      <c r="U1068" s="5" t="s">
        <v>1210</v>
      </c>
      <c r="Y1068" s="8"/>
      <c r="Z1068" s="8"/>
      <c r="AA1068" s="8"/>
      <c r="AB1068" s="8"/>
      <c r="AC1068" s="8"/>
      <c r="AD1068" s="8"/>
      <c r="AE1068" s="25"/>
      <c r="AF1068" s="11"/>
      <c r="AG1068" s="25"/>
      <c r="AH1068" s="11"/>
      <c r="AI1068" s="11">
        <v>15</v>
      </c>
      <c r="AJ1068" s="19">
        <v>0</v>
      </c>
      <c r="AK1068" s="12">
        <f>(AJ1068+AI1068)/30*7</f>
        <v>3.5</v>
      </c>
      <c r="AL1068" s="6">
        <f>IF(AK1068-C1068&lt;0,0,AK1068-C1068)</f>
        <v>0</v>
      </c>
      <c r="AM1068" s="6">
        <f>IF(AL1068-R1068-S1068&lt;0,0,AL1068-R1068-S1068)</f>
        <v>0</v>
      </c>
      <c r="AN1068" s="5" t="str">
        <f t="shared" si="33"/>
        <v/>
      </c>
      <c r="AO1068" s="5">
        <v>0</v>
      </c>
      <c r="AP1068" s="9"/>
      <c r="AQ1068" s="5" t="s">
        <v>1210</v>
      </c>
      <c r="AR1068" s="5" t="s">
        <v>1230</v>
      </c>
      <c r="AS1068" s="8"/>
      <c r="AT1068" s="8"/>
      <c r="AU1068" s="8"/>
      <c r="AV1068" s="8"/>
      <c r="AW1068" s="8"/>
      <c r="AX1068" s="8"/>
      <c r="AY1068" s="8"/>
      <c r="AZ1068" s="8"/>
    </row>
    <row r="1069" spans="1:52">
      <c r="A1069" s="5" t="s">
        <v>546</v>
      </c>
      <c r="B1069" s="5">
        <v>584</v>
      </c>
      <c r="C1069" s="19">
        <v>921</v>
      </c>
      <c r="E1069" s="14"/>
      <c r="F1069" s="11"/>
      <c r="G1069" s="11"/>
      <c r="H1069" s="11"/>
      <c r="I1069" s="11"/>
      <c r="J1069" s="25"/>
      <c r="K1069" s="11"/>
      <c r="L1069" s="11"/>
      <c r="M1069" s="19">
        <v>0</v>
      </c>
      <c r="O1069" s="6"/>
      <c r="P1069" s="16">
        <v>359</v>
      </c>
      <c r="Q1069" s="16">
        <v>280</v>
      </c>
      <c r="R1069" s="22"/>
      <c r="S1069" s="22">
        <f t="shared" si="32"/>
        <v>0</v>
      </c>
      <c r="T1069" s="5" t="s">
        <v>1210</v>
      </c>
      <c r="U1069" s="5" t="s">
        <v>1210</v>
      </c>
      <c r="Y1069" s="8"/>
      <c r="Z1069" s="8"/>
      <c r="AA1069" s="8"/>
      <c r="AB1069" s="8"/>
      <c r="AC1069" s="8"/>
      <c r="AD1069" s="8"/>
      <c r="AE1069" s="25"/>
      <c r="AF1069" s="11"/>
      <c r="AG1069" s="25"/>
      <c r="AH1069" s="11"/>
      <c r="AI1069" s="11">
        <v>5</v>
      </c>
      <c r="AJ1069" s="19">
        <v>0</v>
      </c>
      <c r="AK1069" s="12">
        <f>(AJ1069+AI1069)/30*7</f>
        <v>1.1666666666666665</v>
      </c>
      <c r="AL1069" s="6">
        <f>IF(AK1069-C1069&lt;0,0,AK1069-C1069)</f>
        <v>0</v>
      </c>
      <c r="AM1069" s="6">
        <f>IF(AL1069-R1069-S1069&lt;0,0,AL1069-R1069-S1069)</f>
        <v>0</v>
      </c>
      <c r="AN1069" s="5" t="str">
        <f t="shared" si="33"/>
        <v/>
      </c>
      <c r="AO1069" s="5">
        <v>0</v>
      </c>
      <c r="AP1069" s="9"/>
      <c r="AQ1069" s="5" t="s">
        <v>1210</v>
      </c>
      <c r="AR1069" s="5" t="s">
        <v>1230</v>
      </c>
      <c r="AS1069" s="8"/>
      <c r="AT1069" s="8"/>
      <c r="AU1069" s="8"/>
      <c r="AV1069" s="8"/>
      <c r="AW1069" s="8"/>
      <c r="AX1069" s="8"/>
      <c r="AY1069" s="8"/>
      <c r="AZ1069" s="8"/>
    </row>
    <row r="1070" spans="1:52">
      <c r="A1070" s="5" t="s">
        <v>513</v>
      </c>
      <c r="B1070" s="5">
        <v>1048</v>
      </c>
      <c r="C1070" s="19">
        <v>765</v>
      </c>
      <c r="E1070" s="14"/>
      <c r="F1070" s="11"/>
      <c r="G1070" s="11"/>
      <c r="H1070" s="11"/>
      <c r="I1070" s="11"/>
      <c r="J1070" s="25"/>
      <c r="K1070" s="11"/>
      <c r="L1070" s="11"/>
      <c r="M1070" s="19">
        <v>0</v>
      </c>
      <c r="O1070" s="6"/>
      <c r="P1070" s="16">
        <v>0</v>
      </c>
      <c r="Q1070" s="16">
        <v>0</v>
      </c>
      <c r="R1070" s="22"/>
      <c r="S1070" s="22">
        <f t="shared" si="32"/>
        <v>0</v>
      </c>
      <c r="U1070" s="5" t="s">
        <v>1210</v>
      </c>
      <c r="Y1070" s="8"/>
      <c r="Z1070" s="8"/>
      <c r="AA1070" s="8"/>
      <c r="AB1070" s="8"/>
      <c r="AC1070" s="8"/>
      <c r="AD1070" s="8"/>
      <c r="AE1070" s="25"/>
      <c r="AF1070" s="11"/>
      <c r="AG1070" s="25"/>
      <c r="AH1070" s="11"/>
      <c r="AI1070" s="11">
        <v>88</v>
      </c>
      <c r="AJ1070" s="19">
        <v>0</v>
      </c>
      <c r="AK1070" s="12">
        <f>(AJ1070+AI1070)/30*7</f>
        <v>20.533333333333331</v>
      </c>
      <c r="AL1070" s="6">
        <f>IF(AK1070-C1070&lt;0,0,AK1070-C1070)</f>
        <v>0</v>
      </c>
      <c r="AM1070" s="6">
        <f>IF(AL1070-R1070-S1070&lt;0,0,AL1070-R1070-S1070)</f>
        <v>0</v>
      </c>
      <c r="AN1070" s="5" t="str">
        <f t="shared" si="33"/>
        <v/>
      </c>
      <c r="AO1070" s="5">
        <v>0</v>
      </c>
      <c r="AP1070" s="9"/>
      <c r="AQ1070" s="5" t="s">
        <v>1210</v>
      </c>
      <c r="AR1070" s="5" t="s">
        <v>1210</v>
      </c>
      <c r="AS1070" s="8"/>
      <c r="AT1070" s="8"/>
      <c r="AU1070" s="8"/>
      <c r="AV1070" s="8"/>
      <c r="AW1070" s="8"/>
      <c r="AX1070" s="8"/>
      <c r="AY1070" s="8"/>
      <c r="AZ1070" s="8"/>
    </row>
    <row r="1071" spans="1:52">
      <c r="A1071" s="5" t="s">
        <v>440</v>
      </c>
      <c r="B1071" s="5">
        <v>1576</v>
      </c>
      <c r="C1071" s="19">
        <v>230</v>
      </c>
      <c r="E1071" s="14"/>
      <c r="F1071" s="11"/>
      <c r="G1071" s="11"/>
      <c r="H1071" s="11"/>
      <c r="I1071" s="11"/>
      <c r="J1071" s="25"/>
      <c r="K1071" s="11"/>
      <c r="L1071" s="11"/>
      <c r="M1071" s="19">
        <v>0</v>
      </c>
      <c r="O1071" s="6"/>
      <c r="P1071" s="16">
        <v>0</v>
      </c>
      <c r="Q1071" s="16">
        <v>0</v>
      </c>
      <c r="R1071" s="22"/>
      <c r="S1071" s="22">
        <f t="shared" si="32"/>
        <v>0</v>
      </c>
      <c r="T1071" s="5" t="s">
        <v>1210</v>
      </c>
      <c r="U1071" s="5" t="s">
        <v>1210</v>
      </c>
      <c r="Y1071" s="8"/>
      <c r="Z1071" s="8"/>
      <c r="AA1071" s="8"/>
      <c r="AB1071" s="8"/>
      <c r="AC1071" s="8"/>
      <c r="AD1071" s="8"/>
      <c r="AE1071" s="25"/>
      <c r="AF1071" s="11"/>
      <c r="AG1071" s="25"/>
      <c r="AH1071" s="11"/>
      <c r="AI1071" s="11">
        <v>44</v>
      </c>
      <c r="AJ1071" s="19">
        <v>8</v>
      </c>
      <c r="AK1071" s="12">
        <f>(AJ1071+AI1071)/30*7</f>
        <v>12.133333333333333</v>
      </c>
      <c r="AL1071" s="6">
        <f>IF(AK1071-C1071&lt;0,0,AK1071-C1071)</f>
        <v>0</v>
      </c>
      <c r="AM1071" s="6">
        <f>IF(AL1071-R1071-S1071&lt;0,0,AL1071-R1071-S1071)</f>
        <v>0</v>
      </c>
      <c r="AN1071" s="5" t="str">
        <f t="shared" si="33"/>
        <v/>
      </c>
      <c r="AO1071" s="5">
        <v>0</v>
      </c>
      <c r="AP1071" s="9"/>
      <c r="AQ1071" s="5" t="s">
        <v>1210</v>
      </c>
      <c r="AR1071" s="5" t="s">
        <v>1230</v>
      </c>
      <c r="AS1071" s="8"/>
      <c r="AT1071" s="8"/>
      <c r="AU1071" s="8"/>
      <c r="AV1071" s="8"/>
      <c r="AW1071" s="8"/>
      <c r="AX1071" s="8"/>
      <c r="AY1071" s="8"/>
      <c r="AZ1071" s="8"/>
    </row>
    <row r="1072" spans="1:52">
      <c r="A1072" s="5" t="s">
        <v>1130</v>
      </c>
      <c r="B1072" s="5">
        <v>720</v>
      </c>
      <c r="C1072" s="19">
        <v>621</v>
      </c>
      <c r="E1072" s="14"/>
      <c r="F1072" s="11"/>
      <c r="G1072" s="11"/>
      <c r="H1072" s="11"/>
      <c r="I1072" s="11"/>
      <c r="J1072" s="25"/>
      <c r="K1072" s="11"/>
      <c r="L1072" s="11"/>
      <c r="M1072" s="19">
        <v>0</v>
      </c>
      <c r="O1072" s="6"/>
      <c r="P1072" s="16">
        <v>344</v>
      </c>
      <c r="Q1072" s="16">
        <v>0</v>
      </c>
      <c r="R1072" s="22"/>
      <c r="S1072" s="22">
        <f t="shared" si="32"/>
        <v>0</v>
      </c>
      <c r="T1072" s="5" t="s">
        <v>1210</v>
      </c>
      <c r="U1072" s="5" t="s">
        <v>1210</v>
      </c>
      <c r="Y1072" s="8"/>
      <c r="Z1072" s="8"/>
      <c r="AA1072" s="8"/>
      <c r="AB1072" s="8"/>
      <c r="AC1072" s="8"/>
      <c r="AD1072" s="8"/>
      <c r="AE1072" s="25"/>
      <c r="AF1072" s="11"/>
      <c r="AG1072" s="25"/>
      <c r="AH1072" s="11"/>
      <c r="AI1072" s="11">
        <v>58</v>
      </c>
      <c r="AJ1072" s="19">
        <v>0</v>
      </c>
      <c r="AK1072" s="12">
        <f>(AJ1072+AI1072)/30*7</f>
        <v>13.533333333333333</v>
      </c>
      <c r="AL1072" s="6">
        <f>IF(AK1072-C1072&lt;0,0,AK1072-C1072)</f>
        <v>0</v>
      </c>
      <c r="AM1072" s="6">
        <f>IF(AL1072-R1072-S1072&lt;0,0,AL1072-R1072-S1072)</f>
        <v>0</v>
      </c>
      <c r="AN1072" s="5" t="str">
        <f t="shared" si="33"/>
        <v/>
      </c>
      <c r="AO1072" s="5">
        <v>0</v>
      </c>
      <c r="AP1072" s="9"/>
      <c r="AQ1072" s="5" t="s">
        <v>1210</v>
      </c>
      <c r="AR1072" s="5" t="s">
        <v>1230</v>
      </c>
      <c r="AS1072" s="8"/>
      <c r="AT1072" s="8"/>
      <c r="AU1072" s="8"/>
      <c r="AV1072" s="8"/>
      <c r="AW1072" s="8"/>
      <c r="AX1072" s="8"/>
      <c r="AY1072" s="8"/>
      <c r="AZ1072" s="8"/>
    </row>
    <row r="1073" spans="1:52">
      <c r="A1073" s="5" t="s">
        <v>789</v>
      </c>
      <c r="B1073" s="5">
        <v>563</v>
      </c>
      <c r="C1073" s="19">
        <v>408</v>
      </c>
      <c r="E1073" s="14"/>
      <c r="F1073" s="11"/>
      <c r="G1073" s="11"/>
      <c r="H1073" s="11"/>
      <c r="I1073" s="11"/>
      <c r="J1073" s="25"/>
      <c r="K1073" s="11"/>
      <c r="L1073" s="11"/>
      <c r="M1073" s="19">
        <v>0</v>
      </c>
      <c r="O1073" s="6"/>
      <c r="P1073" s="16">
        <v>419</v>
      </c>
      <c r="Q1073" s="16">
        <v>0</v>
      </c>
      <c r="R1073" s="22"/>
      <c r="S1073" s="22">
        <f t="shared" si="32"/>
        <v>0</v>
      </c>
      <c r="T1073" s="5" t="s">
        <v>1210</v>
      </c>
      <c r="U1073" s="5" t="s">
        <v>1210</v>
      </c>
      <c r="Y1073" s="8"/>
      <c r="Z1073" s="8"/>
      <c r="AA1073" s="8"/>
      <c r="AB1073" s="8"/>
      <c r="AC1073" s="8"/>
      <c r="AD1073" s="8"/>
      <c r="AE1073" s="25"/>
      <c r="AF1073" s="11"/>
      <c r="AG1073" s="25"/>
      <c r="AH1073" s="11"/>
      <c r="AI1073" s="11">
        <v>62</v>
      </c>
      <c r="AJ1073" s="19">
        <v>0</v>
      </c>
      <c r="AK1073" s="12">
        <f>(AJ1073+AI1073)/30*7</f>
        <v>14.466666666666669</v>
      </c>
      <c r="AL1073" s="6">
        <f>IF(AK1073-C1073&lt;0,0,AK1073-C1073)</f>
        <v>0</v>
      </c>
      <c r="AM1073" s="6">
        <f>IF(AL1073-R1073-S1073&lt;0,0,AL1073-R1073-S1073)</f>
        <v>0</v>
      </c>
      <c r="AN1073" s="5" t="str">
        <f t="shared" si="33"/>
        <v/>
      </c>
      <c r="AO1073" s="5">
        <v>0</v>
      </c>
      <c r="AP1073" s="9"/>
      <c r="AQ1073" s="5" t="s">
        <v>1210</v>
      </c>
      <c r="AR1073" s="5" t="s">
        <v>1230</v>
      </c>
      <c r="AS1073" s="8"/>
      <c r="AT1073" s="8"/>
      <c r="AU1073" s="8"/>
      <c r="AV1073" s="8"/>
      <c r="AW1073" s="8"/>
      <c r="AX1073" s="8"/>
      <c r="AY1073" s="8"/>
      <c r="AZ1073" s="8"/>
    </row>
    <row r="1074" spans="1:52">
      <c r="A1074" s="5" t="s">
        <v>991</v>
      </c>
      <c r="B1074" s="5">
        <v>571</v>
      </c>
      <c r="C1074" s="19">
        <v>782</v>
      </c>
      <c r="E1074" s="14"/>
      <c r="F1074" s="11"/>
      <c r="G1074" s="11"/>
      <c r="H1074" s="11"/>
      <c r="I1074" s="11"/>
      <c r="J1074" s="25"/>
      <c r="K1074" s="11"/>
      <c r="L1074" s="11"/>
      <c r="M1074" s="19">
        <v>0</v>
      </c>
      <c r="O1074" s="6"/>
      <c r="P1074" s="16">
        <v>753</v>
      </c>
      <c r="Q1074" s="16">
        <v>601</v>
      </c>
      <c r="R1074" s="22"/>
      <c r="S1074" s="22">
        <f t="shared" si="32"/>
        <v>0</v>
      </c>
      <c r="T1074" s="5" t="s">
        <v>1210</v>
      </c>
      <c r="U1074" s="5" t="s">
        <v>1210</v>
      </c>
      <c r="Y1074" s="8"/>
      <c r="Z1074" s="8"/>
      <c r="AA1074" s="8"/>
      <c r="AB1074" s="8"/>
      <c r="AC1074" s="8"/>
      <c r="AD1074" s="8"/>
      <c r="AE1074" s="25"/>
      <c r="AF1074" s="11"/>
      <c r="AG1074" s="25"/>
      <c r="AH1074" s="11"/>
      <c r="AI1074" s="11">
        <v>24</v>
      </c>
      <c r="AJ1074" s="19">
        <v>0</v>
      </c>
      <c r="AK1074" s="12">
        <f>(AJ1074+AI1074)/30*7</f>
        <v>5.6000000000000005</v>
      </c>
      <c r="AL1074" s="6">
        <f>IF(AK1074-C1074&lt;0,0,AK1074-C1074)</f>
        <v>0</v>
      </c>
      <c r="AM1074" s="6">
        <f>IF(AL1074-R1074-S1074&lt;0,0,AL1074-R1074-S1074)</f>
        <v>0</v>
      </c>
      <c r="AN1074" s="5" t="str">
        <f t="shared" si="33"/>
        <v/>
      </c>
      <c r="AO1074" s="5">
        <v>0</v>
      </c>
      <c r="AP1074" s="9"/>
      <c r="AQ1074" s="5" t="s">
        <v>1210</v>
      </c>
      <c r="AR1074" s="5" t="s">
        <v>1230</v>
      </c>
      <c r="AS1074" s="8"/>
      <c r="AT1074" s="8"/>
      <c r="AU1074" s="8"/>
      <c r="AV1074" s="8"/>
      <c r="AW1074" s="8"/>
      <c r="AX1074" s="8"/>
      <c r="AY1074" s="8"/>
      <c r="AZ1074" s="8"/>
    </row>
    <row r="1075" spans="1:52">
      <c r="A1075" s="5" t="s">
        <v>727</v>
      </c>
      <c r="B1075" s="5">
        <v>733</v>
      </c>
      <c r="C1075" s="19">
        <v>812</v>
      </c>
      <c r="E1075" s="14"/>
      <c r="F1075" s="11"/>
      <c r="G1075" s="11"/>
      <c r="H1075" s="11"/>
      <c r="I1075" s="11"/>
      <c r="J1075" s="25"/>
      <c r="K1075" s="11"/>
      <c r="L1075" s="11"/>
      <c r="M1075" s="19">
        <v>0</v>
      </c>
      <c r="O1075" s="6"/>
      <c r="P1075" s="16">
        <v>473</v>
      </c>
      <c r="Q1075" s="16">
        <v>656</v>
      </c>
      <c r="R1075" s="22"/>
      <c r="S1075" s="22">
        <f t="shared" si="32"/>
        <v>0</v>
      </c>
      <c r="T1075" s="5" t="s">
        <v>1210</v>
      </c>
      <c r="U1075" s="5" t="s">
        <v>1210</v>
      </c>
      <c r="Y1075" s="8"/>
      <c r="Z1075" s="8"/>
      <c r="AA1075" s="8"/>
      <c r="AB1075" s="8"/>
      <c r="AC1075" s="8"/>
      <c r="AD1075" s="8"/>
      <c r="AE1075" s="25"/>
      <c r="AF1075" s="11"/>
      <c r="AG1075" s="25"/>
      <c r="AH1075" s="11"/>
      <c r="AI1075" s="11">
        <v>52</v>
      </c>
      <c r="AJ1075" s="19">
        <v>0</v>
      </c>
      <c r="AK1075" s="12">
        <f>(AJ1075+AI1075)/30*7</f>
        <v>12.133333333333333</v>
      </c>
      <c r="AL1075" s="6">
        <f>IF(AK1075-C1075&lt;0,0,AK1075-C1075)</f>
        <v>0</v>
      </c>
      <c r="AM1075" s="6">
        <f>IF(AL1075-R1075-S1075&lt;0,0,AL1075-R1075-S1075)</f>
        <v>0</v>
      </c>
      <c r="AN1075" s="5" t="str">
        <f t="shared" si="33"/>
        <v/>
      </c>
      <c r="AO1075" s="5">
        <v>0</v>
      </c>
      <c r="AP1075" s="9"/>
      <c r="AQ1075" s="5" t="s">
        <v>1210</v>
      </c>
      <c r="AR1075" s="5" t="s">
        <v>1230</v>
      </c>
      <c r="AS1075" s="8"/>
      <c r="AT1075" s="8"/>
      <c r="AU1075" s="8"/>
      <c r="AV1075" s="8"/>
      <c r="AW1075" s="8"/>
      <c r="AX1075" s="8"/>
      <c r="AY1075" s="8"/>
      <c r="AZ1075" s="8"/>
    </row>
    <row r="1076" spans="1:52">
      <c r="A1076" s="5" t="s">
        <v>719</v>
      </c>
      <c r="B1076" s="5">
        <v>988</v>
      </c>
      <c r="C1076" s="19">
        <v>273</v>
      </c>
      <c r="E1076" s="14"/>
      <c r="F1076" s="11"/>
      <c r="G1076" s="11"/>
      <c r="H1076" s="11"/>
      <c r="I1076" s="11"/>
      <c r="J1076" s="25"/>
      <c r="K1076" s="11"/>
      <c r="L1076" s="11"/>
      <c r="M1076" s="19">
        <v>0</v>
      </c>
      <c r="O1076" s="6"/>
      <c r="P1076" s="16">
        <v>0</v>
      </c>
      <c r="Q1076" s="16">
        <v>0</v>
      </c>
      <c r="R1076" s="22"/>
      <c r="S1076" s="22">
        <f t="shared" si="32"/>
        <v>0</v>
      </c>
      <c r="T1076" s="5" t="s">
        <v>1210</v>
      </c>
      <c r="U1076" s="5" t="s">
        <v>1210</v>
      </c>
      <c r="Y1076" s="8"/>
      <c r="Z1076" s="8"/>
      <c r="AA1076" s="8"/>
      <c r="AB1076" s="8"/>
      <c r="AC1076" s="8"/>
      <c r="AD1076" s="8"/>
      <c r="AE1076" s="25"/>
      <c r="AF1076" s="11"/>
      <c r="AG1076" s="25"/>
      <c r="AH1076" s="11"/>
      <c r="AI1076" s="11">
        <v>80</v>
      </c>
      <c r="AJ1076" s="19">
        <v>0</v>
      </c>
      <c r="AK1076" s="12">
        <f>(AJ1076+AI1076)/30*7</f>
        <v>18.666666666666664</v>
      </c>
      <c r="AL1076" s="6">
        <f>IF(AK1076-C1076&lt;0,0,AK1076-C1076)</f>
        <v>0</v>
      </c>
      <c r="AM1076" s="6">
        <f>IF(AL1076-R1076-S1076&lt;0,0,AL1076-R1076-S1076)</f>
        <v>0</v>
      </c>
      <c r="AN1076" s="5" t="str">
        <f t="shared" si="33"/>
        <v/>
      </c>
      <c r="AO1076" s="5">
        <v>0</v>
      </c>
      <c r="AP1076" s="9"/>
      <c r="AQ1076" s="5" t="s">
        <v>1210</v>
      </c>
      <c r="AR1076" s="5" t="s">
        <v>1230</v>
      </c>
      <c r="AS1076" s="8"/>
      <c r="AT1076" s="8"/>
      <c r="AU1076" s="8"/>
      <c r="AV1076" s="8"/>
      <c r="AW1076" s="8"/>
      <c r="AX1076" s="8"/>
      <c r="AY1076" s="8"/>
      <c r="AZ1076" s="8"/>
    </row>
    <row r="1077" spans="1:52">
      <c r="A1077" s="5" t="s">
        <v>1063</v>
      </c>
      <c r="B1077" s="5">
        <v>1318</v>
      </c>
      <c r="C1077" s="19">
        <v>796</v>
      </c>
      <c r="E1077" s="14"/>
      <c r="F1077" s="11"/>
      <c r="G1077" s="11"/>
      <c r="H1077" s="11"/>
      <c r="I1077" s="11"/>
      <c r="J1077" s="25"/>
      <c r="K1077" s="11"/>
      <c r="L1077" s="11"/>
      <c r="M1077" s="19">
        <v>0</v>
      </c>
      <c r="O1077" s="6"/>
      <c r="P1077" s="16">
        <v>743</v>
      </c>
      <c r="Q1077" s="16">
        <v>519</v>
      </c>
      <c r="R1077" s="22"/>
      <c r="S1077" s="22">
        <f t="shared" si="32"/>
        <v>0</v>
      </c>
      <c r="T1077" s="5" t="s">
        <v>1210</v>
      </c>
      <c r="U1077" s="5" t="s">
        <v>1210</v>
      </c>
      <c r="Y1077" s="8"/>
      <c r="Z1077" s="8"/>
      <c r="AA1077" s="8"/>
      <c r="AB1077" s="8"/>
      <c r="AC1077" s="8"/>
      <c r="AD1077" s="8"/>
      <c r="AE1077" s="25"/>
      <c r="AF1077" s="11"/>
      <c r="AG1077" s="25"/>
      <c r="AH1077" s="11"/>
      <c r="AI1077" s="11">
        <v>43</v>
      </c>
      <c r="AJ1077" s="19">
        <v>0</v>
      </c>
      <c r="AK1077" s="12">
        <f>(AJ1077+AI1077)/30*7</f>
        <v>10.033333333333333</v>
      </c>
      <c r="AL1077" s="6">
        <f>IF(AK1077-C1077&lt;0,0,AK1077-C1077)</f>
        <v>0</v>
      </c>
      <c r="AM1077" s="6">
        <f>IF(AL1077-R1077-S1077&lt;0,0,AL1077-R1077-S1077)</f>
        <v>0</v>
      </c>
      <c r="AN1077" s="5" t="str">
        <f t="shared" si="33"/>
        <v/>
      </c>
      <c r="AO1077" s="5">
        <v>0</v>
      </c>
      <c r="AP1077" s="9"/>
      <c r="AQ1077" s="5" t="s">
        <v>1210</v>
      </c>
      <c r="AR1077" s="5" t="s">
        <v>1210</v>
      </c>
      <c r="AS1077" s="8"/>
      <c r="AT1077" s="8"/>
      <c r="AU1077" s="8"/>
      <c r="AV1077" s="8"/>
      <c r="AW1077" s="8"/>
      <c r="AX1077" s="8"/>
      <c r="AY1077" s="8"/>
      <c r="AZ1077" s="8"/>
    </row>
    <row r="1078" spans="1:52">
      <c r="A1078" s="5" t="s">
        <v>1076</v>
      </c>
      <c r="B1078" s="5">
        <v>1739</v>
      </c>
      <c r="C1078" s="19">
        <v>947</v>
      </c>
      <c r="E1078" s="14"/>
      <c r="F1078" s="11"/>
      <c r="G1078" s="11"/>
      <c r="H1078" s="11"/>
      <c r="I1078" s="11"/>
      <c r="J1078" s="25"/>
      <c r="K1078" s="11"/>
      <c r="L1078" s="11"/>
      <c r="M1078" s="19">
        <v>0</v>
      </c>
      <c r="O1078" s="6"/>
      <c r="P1078" s="16">
        <v>314</v>
      </c>
      <c r="Q1078" s="16">
        <v>0</v>
      </c>
      <c r="R1078" s="22"/>
      <c r="S1078" s="22">
        <f t="shared" si="32"/>
        <v>0</v>
      </c>
      <c r="T1078" s="5" t="s">
        <v>1210</v>
      </c>
      <c r="U1078" s="5" t="s">
        <v>1210</v>
      </c>
      <c r="Y1078" s="8"/>
      <c r="Z1078" s="8"/>
      <c r="AA1078" s="8"/>
      <c r="AB1078" s="8"/>
      <c r="AC1078" s="8"/>
      <c r="AD1078" s="8"/>
      <c r="AE1078" s="25"/>
      <c r="AF1078" s="11"/>
      <c r="AG1078" s="25"/>
      <c r="AH1078" s="11"/>
      <c r="AI1078" s="11">
        <v>5</v>
      </c>
      <c r="AJ1078" s="19">
        <v>0</v>
      </c>
      <c r="AK1078" s="12">
        <f>(AJ1078+AI1078)/30*7</f>
        <v>1.1666666666666665</v>
      </c>
      <c r="AL1078" s="6">
        <f>IF(AK1078-C1078&lt;0,0,AK1078-C1078)</f>
        <v>0</v>
      </c>
      <c r="AM1078" s="6">
        <f>IF(AL1078-R1078-S1078&lt;0,0,AL1078-R1078-S1078)</f>
        <v>0</v>
      </c>
      <c r="AN1078" s="5" t="str">
        <f t="shared" si="33"/>
        <v/>
      </c>
      <c r="AO1078" s="5">
        <v>0</v>
      </c>
      <c r="AP1078" s="9"/>
      <c r="AQ1078" s="5" t="s">
        <v>1210</v>
      </c>
      <c r="AR1078" s="5" t="s">
        <v>1210</v>
      </c>
      <c r="AS1078" s="8"/>
      <c r="AT1078" s="8"/>
      <c r="AU1078" s="8"/>
      <c r="AV1078" s="8"/>
      <c r="AW1078" s="8"/>
      <c r="AX1078" s="8"/>
      <c r="AY1078" s="8"/>
      <c r="AZ1078" s="8"/>
    </row>
    <row r="1079" spans="1:52">
      <c r="A1079" s="5" t="s">
        <v>1013</v>
      </c>
      <c r="B1079" s="5">
        <v>2180</v>
      </c>
      <c r="C1079" s="19">
        <v>675</v>
      </c>
      <c r="E1079" s="14"/>
      <c r="F1079" s="11"/>
      <c r="G1079" s="11"/>
      <c r="H1079" s="11"/>
      <c r="I1079" s="11"/>
      <c r="J1079" s="25"/>
      <c r="K1079" s="11"/>
      <c r="L1079" s="11"/>
      <c r="M1079" s="19">
        <v>0</v>
      </c>
      <c r="O1079" s="6"/>
      <c r="P1079" s="16">
        <v>735</v>
      </c>
      <c r="Q1079" s="16">
        <v>0</v>
      </c>
      <c r="R1079" s="22"/>
      <c r="S1079" s="22">
        <f t="shared" si="32"/>
        <v>0</v>
      </c>
      <c r="T1079" s="5" t="s">
        <v>1210</v>
      </c>
      <c r="U1079" s="5" t="s">
        <v>1210</v>
      </c>
      <c r="Y1079" s="8"/>
      <c r="Z1079" s="8"/>
      <c r="AA1079" s="8"/>
      <c r="AB1079" s="8"/>
      <c r="AC1079" s="8"/>
      <c r="AD1079" s="8"/>
      <c r="AE1079" s="25"/>
      <c r="AF1079" s="11"/>
      <c r="AG1079" s="25"/>
      <c r="AH1079" s="11"/>
      <c r="AI1079" s="11">
        <v>41</v>
      </c>
      <c r="AJ1079" s="19">
        <v>6</v>
      </c>
      <c r="AK1079" s="12">
        <f>(AJ1079+AI1079)/30*7</f>
        <v>10.966666666666667</v>
      </c>
      <c r="AL1079" s="6">
        <f>IF(AK1079-C1079&lt;0,0,AK1079-C1079)</f>
        <v>0</v>
      </c>
      <c r="AM1079" s="6">
        <f>IF(AL1079-R1079-S1079&lt;0,0,AL1079-R1079-S1079)</f>
        <v>0</v>
      </c>
      <c r="AN1079" s="5" t="str">
        <f t="shared" si="33"/>
        <v/>
      </c>
      <c r="AO1079" s="5">
        <v>0</v>
      </c>
      <c r="AP1079" s="9"/>
      <c r="AQ1079" s="5" t="s">
        <v>1210</v>
      </c>
      <c r="AR1079" s="5" t="s">
        <v>1210</v>
      </c>
      <c r="AS1079" s="8"/>
      <c r="AT1079" s="8"/>
      <c r="AU1079" s="8"/>
      <c r="AV1079" s="8"/>
      <c r="AW1079" s="8"/>
      <c r="AX1079" s="8"/>
      <c r="AY1079" s="8"/>
      <c r="AZ1079" s="8"/>
    </row>
    <row r="1080" spans="1:52">
      <c r="A1080" s="5" t="s">
        <v>841</v>
      </c>
      <c r="B1080" s="5">
        <v>2191</v>
      </c>
      <c r="C1080" s="19">
        <v>378</v>
      </c>
      <c r="E1080" s="14"/>
      <c r="F1080" s="11"/>
      <c r="G1080" s="11"/>
      <c r="H1080" s="11"/>
      <c r="I1080" s="11"/>
      <c r="J1080" s="25"/>
      <c r="K1080" s="11"/>
      <c r="L1080" s="11"/>
      <c r="M1080" s="19">
        <v>10</v>
      </c>
      <c r="O1080" s="6"/>
      <c r="P1080" s="16">
        <v>209</v>
      </c>
      <c r="Q1080" s="16">
        <v>0</v>
      </c>
      <c r="R1080" s="22"/>
      <c r="S1080" s="22">
        <f t="shared" si="32"/>
        <v>0</v>
      </c>
      <c r="T1080" s="5" t="s">
        <v>1210</v>
      </c>
      <c r="U1080" s="5" t="s">
        <v>1210</v>
      </c>
      <c r="Y1080" s="8"/>
      <c r="Z1080" s="8"/>
      <c r="AA1080" s="8"/>
      <c r="AB1080" s="8"/>
      <c r="AC1080" s="8"/>
      <c r="AD1080" s="8"/>
      <c r="AE1080" s="25"/>
      <c r="AF1080" s="11"/>
      <c r="AG1080" s="25"/>
      <c r="AH1080" s="11"/>
      <c r="AI1080" s="11">
        <v>24</v>
      </c>
      <c r="AJ1080" s="19">
        <v>0</v>
      </c>
      <c r="AK1080" s="12">
        <f>(AJ1080+AI1080)/30*7</f>
        <v>5.6000000000000005</v>
      </c>
      <c r="AL1080" s="6">
        <f>IF(AK1080-C1080&lt;0,0,AK1080-C1080)</f>
        <v>0</v>
      </c>
      <c r="AM1080" s="6">
        <f>IF(AL1080-R1080-S1080&lt;0,0,AL1080-R1080-S1080)</f>
        <v>0</v>
      </c>
      <c r="AN1080" s="5" t="str">
        <f t="shared" si="33"/>
        <v/>
      </c>
      <c r="AO1080" s="5">
        <v>0</v>
      </c>
      <c r="AP1080" s="9"/>
      <c r="AQ1080" s="5" t="s">
        <v>1210</v>
      </c>
      <c r="AR1080" s="5" t="s">
        <v>1210</v>
      </c>
      <c r="AS1080" s="8"/>
      <c r="AT1080" s="8"/>
      <c r="AU1080" s="8"/>
      <c r="AV1080" s="8"/>
      <c r="AW1080" s="8"/>
      <c r="AX1080" s="8"/>
      <c r="AY1080" s="8"/>
      <c r="AZ1080" s="8"/>
    </row>
    <row r="1081" spans="1:52">
      <c r="A1081" s="5" t="s">
        <v>974</v>
      </c>
      <c r="B1081" s="5">
        <v>676</v>
      </c>
      <c r="C1081" s="19">
        <v>573</v>
      </c>
      <c r="E1081" s="14"/>
      <c r="F1081" s="11"/>
      <c r="G1081" s="11"/>
      <c r="H1081" s="11"/>
      <c r="I1081" s="11"/>
      <c r="J1081" s="25"/>
      <c r="K1081" s="11"/>
      <c r="L1081" s="11"/>
      <c r="M1081" s="19">
        <v>0</v>
      </c>
      <c r="O1081" s="6"/>
      <c r="P1081" s="16">
        <v>0</v>
      </c>
      <c r="Q1081" s="16">
        <v>560</v>
      </c>
      <c r="R1081" s="22"/>
      <c r="S1081" s="22">
        <f t="shared" si="32"/>
        <v>0</v>
      </c>
      <c r="T1081" s="5" t="s">
        <v>1210</v>
      </c>
      <c r="U1081" s="5" t="s">
        <v>1210</v>
      </c>
      <c r="Y1081" s="8"/>
      <c r="Z1081" s="8"/>
      <c r="AA1081" s="8"/>
      <c r="AB1081" s="8"/>
      <c r="AC1081" s="8"/>
      <c r="AD1081" s="8"/>
      <c r="AE1081" s="25"/>
      <c r="AF1081" s="11"/>
      <c r="AG1081" s="25"/>
      <c r="AH1081" s="11"/>
      <c r="AI1081" s="11">
        <v>1</v>
      </c>
      <c r="AJ1081" s="19">
        <v>0</v>
      </c>
      <c r="AK1081" s="12">
        <f>(AJ1081+AI1081)/30*7</f>
        <v>0.23333333333333334</v>
      </c>
      <c r="AL1081" s="6">
        <f>IF(AK1081-C1081&lt;0,0,AK1081-C1081)</f>
        <v>0</v>
      </c>
      <c r="AM1081" s="6">
        <f>IF(AL1081-R1081-S1081&lt;0,0,AL1081-R1081-S1081)</f>
        <v>0</v>
      </c>
      <c r="AN1081" s="5" t="str">
        <f t="shared" si="33"/>
        <v/>
      </c>
      <c r="AO1081" s="5">
        <v>0</v>
      </c>
      <c r="AP1081" s="9"/>
      <c r="AQ1081" s="5" t="s">
        <v>1210</v>
      </c>
      <c r="AR1081" s="5" t="s">
        <v>1210</v>
      </c>
      <c r="AS1081" s="8"/>
      <c r="AT1081" s="8"/>
      <c r="AU1081" s="8"/>
      <c r="AV1081" s="8"/>
      <c r="AW1081" s="8"/>
      <c r="AX1081" s="8"/>
      <c r="AY1081" s="8"/>
      <c r="AZ1081" s="8"/>
    </row>
    <row r="1082" spans="1:52">
      <c r="A1082" s="5" t="s">
        <v>593</v>
      </c>
      <c r="B1082" s="5">
        <v>1030</v>
      </c>
      <c r="C1082" s="19">
        <v>212</v>
      </c>
      <c r="E1082" s="14"/>
      <c r="F1082" s="11"/>
      <c r="G1082" s="11"/>
      <c r="H1082" s="11"/>
      <c r="I1082" s="11"/>
      <c r="J1082" s="25"/>
      <c r="K1082" s="11"/>
      <c r="L1082" s="11"/>
      <c r="M1082" s="19">
        <v>0</v>
      </c>
      <c r="O1082" s="6"/>
      <c r="P1082" s="16">
        <v>858</v>
      </c>
      <c r="Q1082" s="16">
        <v>577</v>
      </c>
      <c r="R1082" s="22"/>
      <c r="S1082" s="22">
        <f t="shared" si="32"/>
        <v>0</v>
      </c>
      <c r="T1082" s="5" t="s">
        <v>1210</v>
      </c>
      <c r="U1082" s="5" t="s">
        <v>1210</v>
      </c>
      <c r="Y1082" s="8"/>
      <c r="Z1082" s="8"/>
      <c r="AA1082" s="8"/>
      <c r="AB1082" s="8"/>
      <c r="AC1082" s="8"/>
      <c r="AD1082" s="8"/>
      <c r="AE1082" s="25"/>
      <c r="AF1082" s="11"/>
      <c r="AG1082" s="25"/>
      <c r="AH1082" s="11"/>
      <c r="AI1082" s="11">
        <v>82</v>
      </c>
      <c r="AJ1082" s="19">
        <v>0</v>
      </c>
      <c r="AK1082" s="12">
        <f>(AJ1082+AI1082)/30*7</f>
        <v>19.133333333333333</v>
      </c>
      <c r="AL1082" s="6">
        <f>IF(AK1082-C1082&lt;0,0,AK1082-C1082)</f>
        <v>0</v>
      </c>
      <c r="AM1082" s="6">
        <f>IF(AL1082-R1082-S1082&lt;0,0,AL1082-R1082-S1082)</f>
        <v>0</v>
      </c>
      <c r="AN1082" s="5" t="str">
        <f t="shared" si="33"/>
        <v/>
      </c>
      <c r="AO1082" s="5">
        <v>0</v>
      </c>
      <c r="AP1082" s="9"/>
      <c r="AQ1082" s="5" t="s">
        <v>1210</v>
      </c>
      <c r="AR1082" s="5" t="s">
        <v>1230</v>
      </c>
      <c r="AS1082" s="8"/>
      <c r="AT1082" s="8"/>
      <c r="AU1082" s="8"/>
      <c r="AV1082" s="8"/>
      <c r="AW1082" s="8"/>
      <c r="AX1082" s="8"/>
      <c r="AY1082" s="8"/>
      <c r="AZ1082" s="8"/>
    </row>
    <row r="1083" spans="1:52">
      <c r="A1083" s="5" t="s">
        <v>980</v>
      </c>
      <c r="B1083" s="5">
        <v>466</v>
      </c>
      <c r="C1083" s="19">
        <v>549</v>
      </c>
      <c r="E1083" s="14"/>
      <c r="F1083" s="11"/>
      <c r="G1083" s="11"/>
      <c r="H1083" s="11"/>
      <c r="I1083" s="11"/>
      <c r="J1083" s="25"/>
      <c r="K1083" s="11"/>
      <c r="L1083" s="11"/>
      <c r="M1083" s="19">
        <v>0</v>
      </c>
      <c r="O1083" s="6"/>
      <c r="P1083" s="16">
        <v>0</v>
      </c>
      <c r="Q1083" s="16">
        <v>0</v>
      </c>
      <c r="R1083" s="22"/>
      <c r="S1083" s="22">
        <f t="shared" si="32"/>
        <v>0</v>
      </c>
      <c r="T1083" s="5">
        <v>466</v>
      </c>
      <c r="U1083" s="5">
        <v>549</v>
      </c>
      <c r="Y1083" s="8"/>
      <c r="Z1083" s="8"/>
      <c r="AA1083" s="8"/>
      <c r="AB1083" s="8"/>
      <c r="AC1083" s="8"/>
      <c r="AD1083" s="8"/>
      <c r="AE1083" s="25"/>
      <c r="AF1083" s="11"/>
      <c r="AG1083" s="25"/>
      <c r="AH1083" s="11"/>
      <c r="AI1083" s="11">
        <v>45</v>
      </c>
      <c r="AJ1083" s="19">
        <v>0</v>
      </c>
      <c r="AK1083" s="12">
        <f>(AJ1083+AI1083)/30*7</f>
        <v>10.5</v>
      </c>
      <c r="AL1083" s="6">
        <f>IF(AK1083-C1083&lt;0,0,AK1083-C1083)</f>
        <v>0</v>
      </c>
      <c r="AM1083" s="6">
        <f>IF(AL1083-R1083-S1083&lt;0,0,AL1083-R1083-S1083)</f>
        <v>0</v>
      </c>
      <c r="AN1083" s="5" t="str">
        <f t="shared" si="33"/>
        <v/>
      </c>
      <c r="AO1083" s="5">
        <v>0</v>
      </c>
      <c r="AP1083" s="9"/>
      <c r="AQ1083" s="5" t="s">
        <v>1210</v>
      </c>
      <c r="AR1083" s="5" t="s">
        <v>1210</v>
      </c>
      <c r="AS1083" s="8"/>
      <c r="AT1083" s="8"/>
      <c r="AU1083" s="8"/>
      <c r="AV1083" s="8"/>
      <c r="AW1083" s="8"/>
      <c r="AX1083" s="8"/>
      <c r="AY1083" s="8"/>
      <c r="AZ1083" s="8"/>
    </row>
    <row r="1084" spans="1:52">
      <c r="A1084" s="5" t="s">
        <v>820</v>
      </c>
      <c r="B1084" s="5">
        <v>1359</v>
      </c>
      <c r="C1084" s="19">
        <v>869</v>
      </c>
      <c r="E1084" s="14"/>
      <c r="F1084" s="11"/>
      <c r="G1084" s="11"/>
      <c r="H1084" s="11"/>
      <c r="I1084" s="11"/>
      <c r="J1084" s="25"/>
      <c r="K1084" s="11"/>
      <c r="L1084" s="11"/>
      <c r="M1084" s="19">
        <v>0</v>
      </c>
      <c r="O1084" s="6"/>
      <c r="P1084" s="16">
        <v>0</v>
      </c>
      <c r="Q1084" s="16">
        <v>0</v>
      </c>
      <c r="R1084" s="22"/>
      <c r="S1084" s="22">
        <f t="shared" si="32"/>
        <v>0</v>
      </c>
      <c r="T1084" s="5" t="s">
        <v>1210</v>
      </c>
      <c r="U1084" s="5" t="s">
        <v>1210</v>
      </c>
      <c r="Y1084" s="8"/>
      <c r="Z1084" s="8"/>
      <c r="AA1084" s="8"/>
      <c r="AB1084" s="8"/>
      <c r="AC1084" s="8"/>
      <c r="AD1084" s="8"/>
      <c r="AE1084" s="25"/>
      <c r="AF1084" s="11"/>
      <c r="AG1084" s="25"/>
      <c r="AH1084" s="11"/>
      <c r="AI1084" s="11">
        <v>60</v>
      </c>
      <c r="AJ1084" s="19">
        <v>0</v>
      </c>
      <c r="AK1084" s="12">
        <f>(AJ1084+AI1084)/30*7</f>
        <v>14</v>
      </c>
      <c r="AL1084" s="6">
        <f>IF(AK1084-C1084&lt;0,0,AK1084-C1084)</f>
        <v>0</v>
      </c>
      <c r="AM1084" s="6">
        <f>IF(AL1084-R1084-S1084&lt;0,0,AL1084-R1084-S1084)</f>
        <v>0</v>
      </c>
      <c r="AN1084" s="5" t="str">
        <f t="shared" si="33"/>
        <v/>
      </c>
      <c r="AO1084" s="5">
        <v>0</v>
      </c>
      <c r="AP1084" s="9"/>
      <c r="AQ1084" s="5" t="s">
        <v>1210</v>
      </c>
      <c r="AR1084" s="5" t="s">
        <v>1230</v>
      </c>
      <c r="AS1084" s="8"/>
      <c r="AT1084" s="8"/>
      <c r="AU1084" s="8"/>
      <c r="AV1084" s="8"/>
      <c r="AW1084" s="8"/>
      <c r="AX1084" s="8"/>
      <c r="AY1084" s="8"/>
      <c r="AZ1084" s="8"/>
    </row>
    <row r="1085" spans="1:52">
      <c r="A1085" s="5" t="s">
        <v>696</v>
      </c>
      <c r="B1085" s="5">
        <v>391</v>
      </c>
      <c r="C1085" s="19">
        <v>226</v>
      </c>
      <c r="E1085" s="14"/>
      <c r="F1085" s="11"/>
      <c r="G1085" s="11"/>
      <c r="H1085" s="11"/>
      <c r="I1085" s="11"/>
      <c r="J1085" s="25"/>
      <c r="K1085" s="11"/>
      <c r="L1085" s="11"/>
      <c r="M1085" s="19">
        <v>0</v>
      </c>
      <c r="O1085" s="6"/>
      <c r="P1085" s="16">
        <v>356</v>
      </c>
      <c r="Q1085" s="16">
        <v>0</v>
      </c>
      <c r="R1085" s="22"/>
      <c r="S1085" s="22">
        <f t="shared" si="32"/>
        <v>0</v>
      </c>
      <c r="T1085" s="5" t="s">
        <v>1210</v>
      </c>
      <c r="U1085" s="5" t="s">
        <v>1210</v>
      </c>
      <c r="Y1085" s="8"/>
      <c r="Z1085" s="8"/>
      <c r="AA1085" s="8"/>
      <c r="AB1085" s="8"/>
      <c r="AC1085" s="8"/>
      <c r="AD1085" s="8"/>
      <c r="AE1085" s="25"/>
      <c r="AF1085" s="11"/>
      <c r="AG1085" s="25"/>
      <c r="AH1085" s="11"/>
      <c r="AI1085" s="11">
        <v>20</v>
      </c>
      <c r="AJ1085" s="19">
        <v>0</v>
      </c>
      <c r="AK1085" s="12">
        <f>(AJ1085+AI1085)/30*7</f>
        <v>4.6666666666666661</v>
      </c>
      <c r="AL1085" s="6">
        <f>IF(AK1085-C1085&lt;0,0,AK1085-C1085)</f>
        <v>0</v>
      </c>
      <c r="AM1085" s="6">
        <f>IF(AL1085-R1085-S1085&lt;0,0,AL1085-R1085-S1085)</f>
        <v>0</v>
      </c>
      <c r="AN1085" s="5" t="str">
        <f t="shared" si="33"/>
        <v/>
      </c>
      <c r="AO1085" s="5">
        <v>0</v>
      </c>
      <c r="AP1085" s="9"/>
      <c r="AQ1085" s="5" t="s">
        <v>1210</v>
      </c>
      <c r="AR1085" s="5" t="s">
        <v>1230</v>
      </c>
      <c r="AS1085" s="8"/>
      <c r="AT1085" s="8"/>
      <c r="AU1085" s="8"/>
      <c r="AV1085" s="8"/>
      <c r="AW1085" s="8"/>
      <c r="AX1085" s="8"/>
      <c r="AY1085" s="8"/>
      <c r="AZ1085" s="8"/>
    </row>
    <row r="1086" spans="1:52">
      <c r="A1086" s="5" t="s">
        <v>667</v>
      </c>
      <c r="B1086" s="5">
        <v>649</v>
      </c>
      <c r="C1086" s="19">
        <v>748</v>
      </c>
      <c r="E1086" s="14"/>
      <c r="F1086" s="11"/>
      <c r="G1086" s="11"/>
      <c r="H1086" s="11"/>
      <c r="I1086" s="11"/>
      <c r="J1086" s="25"/>
      <c r="K1086" s="11"/>
      <c r="L1086" s="11"/>
      <c r="M1086" s="19">
        <v>0</v>
      </c>
      <c r="O1086" s="6"/>
      <c r="P1086" s="16">
        <v>0</v>
      </c>
      <c r="Q1086" s="16">
        <v>0</v>
      </c>
      <c r="R1086" s="22"/>
      <c r="S1086" s="22">
        <f t="shared" si="32"/>
        <v>0</v>
      </c>
      <c r="T1086" s="5" t="s">
        <v>1210</v>
      </c>
      <c r="U1086" s="5" t="s">
        <v>1210</v>
      </c>
      <c r="Y1086" s="8"/>
      <c r="Z1086" s="8"/>
      <c r="AA1086" s="8"/>
      <c r="AB1086" s="8"/>
      <c r="AC1086" s="8"/>
      <c r="AD1086" s="8"/>
      <c r="AE1086" s="25"/>
      <c r="AF1086" s="11"/>
      <c r="AG1086" s="25"/>
      <c r="AH1086" s="11"/>
      <c r="AI1086" s="11">
        <v>4</v>
      </c>
      <c r="AJ1086" s="19">
        <v>0</v>
      </c>
      <c r="AK1086" s="12">
        <f>(AJ1086+AI1086)/30*7</f>
        <v>0.93333333333333335</v>
      </c>
      <c r="AL1086" s="6">
        <f>IF(AK1086-C1086&lt;0,0,AK1086-C1086)</f>
        <v>0</v>
      </c>
      <c r="AM1086" s="6">
        <f>IF(AL1086-R1086-S1086&lt;0,0,AL1086-R1086-S1086)</f>
        <v>0</v>
      </c>
      <c r="AN1086" s="5" t="str">
        <f t="shared" si="33"/>
        <v/>
      </c>
      <c r="AO1086" s="5">
        <v>0</v>
      </c>
      <c r="AP1086" s="9"/>
      <c r="AQ1086" s="5" t="s">
        <v>1210</v>
      </c>
      <c r="AR1086" s="5" t="s">
        <v>1210</v>
      </c>
      <c r="AS1086" s="8"/>
      <c r="AT1086" s="8"/>
      <c r="AU1086" s="8"/>
      <c r="AV1086" s="8"/>
      <c r="AW1086" s="8"/>
      <c r="AX1086" s="8"/>
      <c r="AY1086" s="8"/>
      <c r="AZ1086" s="8"/>
    </row>
    <row r="1087" spans="1:52">
      <c r="A1087" s="5" t="s">
        <v>1019</v>
      </c>
      <c r="B1087" s="5">
        <v>662</v>
      </c>
      <c r="C1087" s="19">
        <v>977</v>
      </c>
      <c r="E1087" s="14"/>
      <c r="F1087" s="11"/>
      <c r="G1087" s="11"/>
      <c r="H1087" s="11"/>
      <c r="I1087" s="11"/>
      <c r="J1087" s="25"/>
      <c r="K1087" s="11"/>
      <c r="L1087" s="11"/>
      <c r="M1087" s="19">
        <v>0</v>
      </c>
      <c r="O1087" s="6"/>
      <c r="P1087" s="16">
        <v>0</v>
      </c>
      <c r="Q1087" s="16">
        <v>0</v>
      </c>
      <c r="R1087" s="22"/>
      <c r="S1087" s="22">
        <f t="shared" si="32"/>
        <v>0</v>
      </c>
      <c r="T1087" s="5" t="s">
        <v>1210</v>
      </c>
      <c r="U1087" s="5" t="s">
        <v>1210</v>
      </c>
      <c r="Y1087" s="8"/>
      <c r="Z1087" s="8"/>
      <c r="AA1087" s="8"/>
      <c r="AB1087" s="8"/>
      <c r="AC1087" s="8"/>
      <c r="AD1087" s="8"/>
      <c r="AE1087" s="25"/>
      <c r="AF1087" s="11"/>
      <c r="AG1087" s="25"/>
      <c r="AH1087" s="11"/>
      <c r="AI1087" s="11">
        <v>16</v>
      </c>
      <c r="AJ1087" s="19">
        <v>0</v>
      </c>
      <c r="AK1087" s="12">
        <f>(AJ1087+AI1087)/30*7</f>
        <v>3.7333333333333334</v>
      </c>
      <c r="AL1087" s="6">
        <f>IF(AK1087-C1087&lt;0,0,AK1087-C1087)</f>
        <v>0</v>
      </c>
      <c r="AM1087" s="6">
        <f>IF(AL1087-R1087-S1087&lt;0,0,AL1087-R1087-S1087)</f>
        <v>0</v>
      </c>
      <c r="AN1087" s="5" t="str">
        <f t="shared" si="33"/>
        <v/>
      </c>
      <c r="AO1087" s="5">
        <v>0</v>
      </c>
      <c r="AP1087" s="9"/>
      <c r="AQ1087" s="5" t="s">
        <v>1210</v>
      </c>
      <c r="AR1087" s="5" t="s">
        <v>1210</v>
      </c>
      <c r="AS1087" s="8"/>
      <c r="AT1087" s="8"/>
      <c r="AU1087" s="8"/>
      <c r="AV1087" s="8"/>
      <c r="AW1087" s="8"/>
      <c r="AX1087" s="8"/>
      <c r="AY1087" s="8"/>
      <c r="AZ1087" s="8"/>
    </row>
    <row r="1088" spans="1:52">
      <c r="A1088" s="5" t="s">
        <v>766</v>
      </c>
      <c r="B1088" s="5">
        <v>664</v>
      </c>
      <c r="C1088" s="19">
        <v>870</v>
      </c>
      <c r="E1088" s="14"/>
      <c r="F1088" s="11"/>
      <c r="G1088" s="11"/>
      <c r="H1088" s="11"/>
      <c r="I1088" s="11"/>
      <c r="J1088" s="25"/>
      <c r="K1088" s="11"/>
      <c r="L1088" s="11"/>
      <c r="M1088" s="19">
        <v>0</v>
      </c>
      <c r="O1088" s="6"/>
      <c r="P1088" s="16">
        <v>971</v>
      </c>
      <c r="Q1088" s="16">
        <v>0</v>
      </c>
      <c r="R1088" s="22"/>
      <c r="S1088" s="22">
        <f t="shared" si="32"/>
        <v>0</v>
      </c>
      <c r="T1088" s="5" t="s">
        <v>1210</v>
      </c>
      <c r="U1088" s="5" t="s">
        <v>1210</v>
      </c>
      <c r="Y1088" s="8"/>
      <c r="Z1088" s="8"/>
      <c r="AA1088" s="8"/>
      <c r="AB1088" s="8"/>
      <c r="AC1088" s="8"/>
      <c r="AD1088" s="8"/>
      <c r="AE1088" s="25"/>
      <c r="AF1088" s="11"/>
      <c r="AG1088" s="25"/>
      <c r="AH1088" s="11"/>
      <c r="AI1088" s="11">
        <v>25</v>
      </c>
      <c r="AJ1088" s="19">
        <v>0</v>
      </c>
      <c r="AK1088" s="12">
        <f>(AJ1088+AI1088)/30*7</f>
        <v>5.8333333333333339</v>
      </c>
      <c r="AL1088" s="6">
        <f>IF(AK1088-C1088&lt;0,0,AK1088-C1088)</f>
        <v>0</v>
      </c>
      <c r="AM1088" s="6">
        <f>IF(AL1088-R1088-S1088&lt;0,0,AL1088-R1088-S1088)</f>
        <v>0</v>
      </c>
      <c r="AN1088" s="5" t="str">
        <f t="shared" si="33"/>
        <v/>
      </c>
      <c r="AO1088" s="5">
        <v>0</v>
      </c>
      <c r="AP1088" s="9"/>
      <c r="AQ1088" s="5" t="s">
        <v>1210</v>
      </c>
      <c r="AR1088" s="5" t="s">
        <v>1230</v>
      </c>
      <c r="AS1088" s="8"/>
      <c r="AT1088" s="8"/>
      <c r="AU1088" s="8"/>
      <c r="AV1088" s="8"/>
      <c r="AW1088" s="8"/>
      <c r="AX1088" s="8"/>
      <c r="AY1088" s="8"/>
      <c r="AZ1088" s="8"/>
    </row>
    <row r="1089" spans="1:52">
      <c r="A1089" s="5" t="s">
        <v>763</v>
      </c>
      <c r="B1089" s="5">
        <v>1045</v>
      </c>
      <c r="C1089" s="19">
        <v>557</v>
      </c>
      <c r="E1089" s="14"/>
      <c r="F1089" s="11"/>
      <c r="G1089" s="11"/>
      <c r="H1089" s="11"/>
      <c r="I1089" s="11"/>
      <c r="J1089" s="25"/>
      <c r="K1089" s="11"/>
      <c r="L1089" s="11"/>
      <c r="M1089" s="19">
        <v>0</v>
      </c>
      <c r="O1089" s="6"/>
      <c r="P1089" s="16">
        <v>0</v>
      </c>
      <c r="Q1089" s="16">
        <v>744</v>
      </c>
      <c r="R1089" s="22"/>
      <c r="S1089" s="22">
        <f t="shared" si="32"/>
        <v>0</v>
      </c>
      <c r="T1089" s="5" t="s">
        <v>1210</v>
      </c>
      <c r="U1089" s="5" t="s">
        <v>1210</v>
      </c>
      <c r="Y1089" s="8"/>
      <c r="Z1089" s="8"/>
      <c r="AA1089" s="8"/>
      <c r="AB1089" s="8"/>
      <c r="AC1089" s="8"/>
      <c r="AD1089" s="8"/>
      <c r="AE1089" s="25"/>
      <c r="AF1089" s="11"/>
      <c r="AG1089" s="25"/>
      <c r="AH1089" s="11"/>
      <c r="AI1089" s="11">
        <v>4</v>
      </c>
      <c r="AJ1089" s="19">
        <v>0</v>
      </c>
      <c r="AK1089" s="12">
        <f>(AJ1089+AI1089)/30*7</f>
        <v>0.93333333333333335</v>
      </c>
      <c r="AL1089" s="6">
        <f>IF(AK1089-C1089&lt;0,0,AK1089-C1089)</f>
        <v>0</v>
      </c>
      <c r="AM1089" s="6">
        <f>IF(AL1089-R1089-S1089&lt;0,0,AL1089-R1089-S1089)</f>
        <v>0</v>
      </c>
      <c r="AN1089" s="5" t="str">
        <f t="shared" si="33"/>
        <v/>
      </c>
      <c r="AO1089" s="5">
        <v>0</v>
      </c>
      <c r="AP1089" s="9"/>
      <c r="AQ1089" s="5" t="s">
        <v>1210</v>
      </c>
      <c r="AR1089" s="5" t="s">
        <v>1210</v>
      </c>
      <c r="AS1089" s="8"/>
      <c r="AT1089" s="8"/>
      <c r="AU1089" s="8"/>
      <c r="AV1089" s="8"/>
      <c r="AW1089" s="8"/>
      <c r="AX1089" s="8"/>
      <c r="AY1089" s="8"/>
      <c r="AZ1089" s="8"/>
    </row>
    <row r="1090" spans="1:52">
      <c r="A1090" s="5" t="s">
        <v>924</v>
      </c>
      <c r="B1090" s="5" t="s">
        <v>1185</v>
      </c>
      <c r="C1090" s="19">
        <v>323</v>
      </c>
      <c r="E1090" s="14"/>
      <c r="F1090" s="11"/>
      <c r="G1090" s="11"/>
      <c r="H1090" s="11"/>
      <c r="I1090" s="11"/>
      <c r="J1090" s="25"/>
      <c r="K1090" s="11"/>
      <c r="L1090" s="11"/>
      <c r="M1090" s="19">
        <v>0</v>
      </c>
      <c r="O1090" s="6"/>
      <c r="P1090" s="16">
        <v>0</v>
      </c>
      <c r="Q1090" s="16">
        <v>0</v>
      </c>
      <c r="R1090" s="22"/>
      <c r="S1090" s="22">
        <f t="shared" si="32"/>
        <v>0</v>
      </c>
      <c r="T1090" s="5" t="s">
        <v>1210</v>
      </c>
      <c r="U1090" s="5" t="s">
        <v>1210</v>
      </c>
      <c r="Y1090" s="8"/>
      <c r="Z1090" s="8"/>
      <c r="AA1090" s="8"/>
      <c r="AB1090" s="8"/>
      <c r="AC1090" s="8"/>
      <c r="AD1090" s="8"/>
      <c r="AE1090" s="25"/>
      <c r="AF1090" s="11"/>
      <c r="AG1090" s="25"/>
      <c r="AH1090" s="11"/>
      <c r="AI1090" s="11">
        <v>91</v>
      </c>
      <c r="AJ1090" s="19">
        <v>0</v>
      </c>
      <c r="AK1090" s="12">
        <f>(AJ1090+AI1090)/30*7</f>
        <v>21.233333333333334</v>
      </c>
      <c r="AL1090" s="6">
        <f>IF(AK1090-C1090&lt;0,0,AK1090-C1090)</f>
        <v>0</v>
      </c>
      <c r="AM1090" s="6">
        <f>IF(AL1090-R1090-S1090&lt;0,0,AL1090-R1090-S1090)</f>
        <v>0</v>
      </c>
      <c r="AN1090" s="5" t="str">
        <f t="shared" si="33"/>
        <v/>
      </c>
      <c r="AO1090" s="5">
        <v>0</v>
      </c>
      <c r="AP1090" s="9"/>
      <c r="AQ1090" s="5" t="s">
        <v>1210</v>
      </c>
      <c r="AR1090" s="5" t="s">
        <v>1210</v>
      </c>
      <c r="AS1090" s="8"/>
      <c r="AT1090" s="8"/>
      <c r="AU1090" s="8"/>
      <c r="AV1090" s="8"/>
      <c r="AW1090" s="8"/>
      <c r="AX1090" s="8"/>
      <c r="AY1090" s="8"/>
      <c r="AZ1090" s="8"/>
    </row>
    <row r="1091" spans="1:52">
      <c r="A1091" s="5" t="s">
        <v>873</v>
      </c>
      <c r="B1091" s="5">
        <v>722</v>
      </c>
      <c r="C1091" s="19">
        <v>493</v>
      </c>
      <c r="E1091" s="14"/>
      <c r="F1091" s="11"/>
      <c r="G1091" s="11"/>
      <c r="H1091" s="11"/>
      <c r="I1091" s="11"/>
      <c r="J1091" s="25"/>
      <c r="K1091" s="11"/>
      <c r="L1091" s="11"/>
      <c r="M1091" s="19">
        <v>0</v>
      </c>
      <c r="O1091" s="6"/>
      <c r="P1091" s="16">
        <v>996</v>
      </c>
      <c r="Q1091" s="16">
        <v>358</v>
      </c>
      <c r="R1091" s="22"/>
      <c r="S1091" s="22">
        <f t="shared" si="32"/>
        <v>0</v>
      </c>
      <c r="T1091" s="5" t="s">
        <v>1210</v>
      </c>
      <c r="U1091" s="5" t="s">
        <v>1210</v>
      </c>
      <c r="Y1091" s="8"/>
      <c r="Z1091" s="8"/>
      <c r="AA1091" s="8"/>
      <c r="AB1091" s="8"/>
      <c r="AC1091" s="8"/>
      <c r="AD1091" s="8"/>
      <c r="AE1091" s="25"/>
      <c r="AF1091" s="11"/>
      <c r="AG1091" s="25"/>
      <c r="AH1091" s="11"/>
      <c r="AI1091" s="11">
        <v>15</v>
      </c>
      <c r="AJ1091" s="19">
        <v>6</v>
      </c>
      <c r="AK1091" s="12">
        <f>(AJ1091+AI1091)/30*7</f>
        <v>4.8999999999999995</v>
      </c>
      <c r="AL1091" s="6">
        <f>IF(AK1091-C1091&lt;0,0,AK1091-C1091)</f>
        <v>0</v>
      </c>
      <c r="AM1091" s="6">
        <f>IF(AL1091-R1091-S1091&lt;0,0,AL1091-R1091-S1091)</f>
        <v>0</v>
      </c>
      <c r="AN1091" s="5" t="str">
        <f t="shared" si="33"/>
        <v/>
      </c>
      <c r="AO1091" s="5">
        <v>0</v>
      </c>
      <c r="AP1091" s="9"/>
      <c r="AQ1091" s="5" t="s">
        <v>1210</v>
      </c>
      <c r="AR1091" s="5" t="s">
        <v>1210</v>
      </c>
      <c r="AS1091" s="8"/>
      <c r="AT1091" s="8"/>
      <c r="AU1091" s="8"/>
      <c r="AV1091" s="8"/>
      <c r="AW1091" s="8"/>
      <c r="AX1091" s="8"/>
      <c r="AY1091" s="8"/>
      <c r="AZ1091" s="8"/>
    </row>
    <row r="1092" spans="1:52">
      <c r="A1092" s="5" t="s">
        <v>773</v>
      </c>
      <c r="B1092" s="5">
        <v>602</v>
      </c>
      <c r="C1092" s="19">
        <v>676</v>
      </c>
      <c r="E1092" s="14"/>
      <c r="F1092" s="11"/>
      <c r="G1092" s="11"/>
      <c r="H1092" s="11"/>
      <c r="I1092" s="11"/>
      <c r="J1092" s="25"/>
      <c r="K1092" s="11"/>
      <c r="L1092" s="11"/>
      <c r="M1092" s="19">
        <v>0</v>
      </c>
      <c r="O1092" s="6"/>
      <c r="P1092" s="16">
        <v>0</v>
      </c>
      <c r="Q1092" s="16">
        <v>0</v>
      </c>
      <c r="R1092" s="22"/>
      <c r="S1092" s="22">
        <f t="shared" ref="S1092:S1144" si="34">IF(AL1092&gt;0,IF(Q1092&gt;=AL1092,ROUND(AL1092,0),Q1092),0)</f>
        <v>0</v>
      </c>
      <c r="T1092" s="5" t="s">
        <v>1210</v>
      </c>
      <c r="U1092" s="5" t="s">
        <v>1210</v>
      </c>
      <c r="Y1092" s="8"/>
      <c r="Z1092" s="8"/>
      <c r="AA1092" s="8"/>
      <c r="AB1092" s="8"/>
      <c r="AC1092" s="8"/>
      <c r="AD1092" s="8"/>
      <c r="AE1092" s="25"/>
      <c r="AF1092" s="11"/>
      <c r="AG1092" s="25"/>
      <c r="AH1092" s="11"/>
      <c r="AI1092" s="11">
        <v>39</v>
      </c>
      <c r="AJ1092" s="19">
        <v>0</v>
      </c>
      <c r="AK1092" s="12">
        <f>(AJ1092+AI1092)/30*7</f>
        <v>9.1</v>
      </c>
      <c r="AL1092" s="6">
        <f>IF(AK1092-C1092&lt;0,0,AK1092-C1092)</f>
        <v>0</v>
      </c>
      <c r="AM1092" s="6">
        <f>IF(AL1092-R1092-S1092&lt;0,0,AL1092-R1092-S1092)</f>
        <v>0</v>
      </c>
      <c r="AN1092" s="5" t="str">
        <f t="shared" ref="AN1092:AN1144" si="35">IF(AM1092&gt;0,IF(LEN(U1092)=0,IF(ROUND(AM1092-AO1092,0)&gt;0,ROUND(AM1092-AO1092,0),""),IF(U1092+AO1092&gt;=AM1092,"",ROUND(AM1092-U1092-AO1092,0))),"")</f>
        <v/>
      </c>
      <c r="AO1092" s="5">
        <v>0</v>
      </c>
      <c r="AP1092" s="9"/>
      <c r="AQ1092" s="5" t="s">
        <v>1210</v>
      </c>
      <c r="AR1092" s="5" t="s">
        <v>1210</v>
      </c>
      <c r="AS1092" s="8"/>
      <c r="AT1092" s="8"/>
      <c r="AU1092" s="8"/>
      <c r="AV1092" s="8"/>
      <c r="AW1092" s="8"/>
      <c r="AX1092" s="8"/>
      <c r="AY1092" s="8"/>
      <c r="AZ1092" s="8"/>
    </row>
    <row r="1093" spans="1:52">
      <c r="A1093" s="5" t="s">
        <v>749</v>
      </c>
      <c r="B1093" s="5">
        <v>755</v>
      </c>
      <c r="C1093" s="19">
        <v>470</v>
      </c>
      <c r="E1093" s="14"/>
      <c r="F1093" s="11"/>
      <c r="G1093" s="11"/>
      <c r="H1093" s="11"/>
      <c r="I1093" s="11"/>
      <c r="J1093" s="25"/>
      <c r="K1093" s="11"/>
      <c r="L1093" s="11"/>
      <c r="M1093" s="19">
        <v>0</v>
      </c>
      <c r="O1093" s="6"/>
      <c r="P1093" s="16">
        <v>0</v>
      </c>
      <c r="Q1093" s="16">
        <v>841</v>
      </c>
      <c r="R1093" s="22"/>
      <c r="S1093" s="22">
        <f t="shared" si="34"/>
        <v>0</v>
      </c>
      <c r="T1093" s="5" t="s">
        <v>1210</v>
      </c>
      <c r="U1093" s="5" t="s">
        <v>1210</v>
      </c>
      <c r="Y1093" s="8"/>
      <c r="Z1093" s="8"/>
      <c r="AA1093" s="8"/>
      <c r="AB1093" s="8"/>
      <c r="AC1093" s="8"/>
      <c r="AD1093" s="8"/>
      <c r="AE1093" s="25"/>
      <c r="AF1093" s="11"/>
      <c r="AG1093" s="25"/>
      <c r="AH1093" s="11"/>
      <c r="AI1093" s="11">
        <v>33</v>
      </c>
      <c r="AJ1093" s="19">
        <v>8</v>
      </c>
      <c r="AK1093" s="12">
        <f>(AJ1093+AI1093)/30*7</f>
        <v>9.5666666666666664</v>
      </c>
      <c r="AL1093" s="6">
        <f>IF(AK1093-C1093&lt;0,0,AK1093-C1093)</f>
        <v>0</v>
      </c>
      <c r="AM1093" s="6">
        <f>IF(AL1093-R1093-S1093&lt;0,0,AL1093-R1093-S1093)</f>
        <v>0</v>
      </c>
      <c r="AN1093" s="5" t="str">
        <f t="shared" si="35"/>
        <v/>
      </c>
      <c r="AO1093" s="5">
        <v>0</v>
      </c>
      <c r="AP1093" s="9"/>
      <c r="AQ1093" s="5" t="s">
        <v>1210</v>
      </c>
      <c r="AR1093" s="5" t="s">
        <v>1230</v>
      </c>
      <c r="AS1093" s="8"/>
      <c r="AT1093" s="8"/>
      <c r="AU1093" s="8"/>
      <c r="AV1093" s="8"/>
      <c r="AW1093" s="8"/>
      <c r="AX1093" s="8"/>
      <c r="AY1093" s="8"/>
      <c r="AZ1093" s="8"/>
    </row>
    <row r="1094" spans="1:52">
      <c r="A1094" s="5" t="s">
        <v>586</v>
      </c>
      <c r="B1094" s="5">
        <v>989</v>
      </c>
      <c r="C1094" s="19">
        <v>753</v>
      </c>
      <c r="E1094" s="14"/>
      <c r="F1094" s="11"/>
      <c r="G1094" s="11"/>
      <c r="H1094" s="11"/>
      <c r="I1094" s="11"/>
      <c r="J1094" s="25"/>
      <c r="K1094" s="11"/>
      <c r="L1094" s="11"/>
      <c r="M1094" s="19">
        <v>0</v>
      </c>
      <c r="O1094" s="6"/>
      <c r="P1094" s="16">
        <v>278</v>
      </c>
      <c r="Q1094" s="16">
        <v>533</v>
      </c>
      <c r="R1094" s="22"/>
      <c r="S1094" s="22">
        <f t="shared" si="34"/>
        <v>0</v>
      </c>
      <c r="T1094" s="5" t="s">
        <v>1210</v>
      </c>
      <c r="U1094" s="5" t="s">
        <v>1210</v>
      </c>
      <c r="Y1094" s="8"/>
      <c r="Z1094" s="8"/>
      <c r="AA1094" s="8"/>
      <c r="AB1094" s="8"/>
      <c r="AC1094" s="8"/>
      <c r="AD1094" s="8"/>
      <c r="AE1094" s="25"/>
      <c r="AF1094" s="11"/>
      <c r="AG1094" s="25"/>
      <c r="AH1094" s="11"/>
      <c r="AI1094" s="11">
        <v>68</v>
      </c>
      <c r="AJ1094" s="19">
        <v>4</v>
      </c>
      <c r="AK1094" s="12">
        <f>(AJ1094+AI1094)/30*7</f>
        <v>16.8</v>
      </c>
      <c r="AL1094" s="6">
        <f>IF(AK1094-C1094&lt;0,0,AK1094-C1094)</f>
        <v>0</v>
      </c>
      <c r="AM1094" s="6">
        <f>IF(AL1094-R1094-S1094&lt;0,0,AL1094-R1094-S1094)</f>
        <v>0</v>
      </c>
      <c r="AN1094" s="5" t="str">
        <f t="shared" si="35"/>
        <v/>
      </c>
      <c r="AO1094" s="5">
        <v>0</v>
      </c>
      <c r="AP1094" s="9"/>
      <c r="AQ1094" s="5" t="s">
        <v>1210</v>
      </c>
      <c r="AR1094" s="5" t="s">
        <v>1210</v>
      </c>
      <c r="AS1094" s="8"/>
      <c r="AT1094" s="8"/>
      <c r="AU1094" s="8"/>
      <c r="AV1094" s="8"/>
      <c r="AW1094" s="8"/>
      <c r="AX1094" s="8"/>
      <c r="AY1094" s="8"/>
      <c r="AZ1094" s="8"/>
    </row>
    <row r="1095" spans="1:52">
      <c r="A1095" s="5" t="s">
        <v>542</v>
      </c>
      <c r="B1095" s="5">
        <v>373</v>
      </c>
      <c r="C1095" s="19">
        <v>469</v>
      </c>
      <c r="E1095" s="14"/>
      <c r="F1095" s="11"/>
      <c r="G1095" s="11"/>
      <c r="H1095" s="11"/>
      <c r="I1095" s="11"/>
      <c r="J1095" s="25"/>
      <c r="K1095" s="11"/>
      <c r="L1095" s="11"/>
      <c r="M1095" s="19">
        <v>0</v>
      </c>
      <c r="O1095" s="6"/>
      <c r="P1095" s="16">
        <v>0</v>
      </c>
      <c r="Q1095" s="16">
        <v>0</v>
      </c>
      <c r="R1095" s="22"/>
      <c r="S1095" s="22">
        <f t="shared" si="34"/>
        <v>0</v>
      </c>
      <c r="T1095" s="5" t="s">
        <v>1210</v>
      </c>
      <c r="U1095" s="5" t="s">
        <v>1210</v>
      </c>
      <c r="Y1095" s="8"/>
      <c r="Z1095" s="8"/>
      <c r="AA1095" s="8"/>
      <c r="AB1095" s="8"/>
      <c r="AC1095" s="8"/>
      <c r="AD1095" s="8"/>
      <c r="AE1095" s="25"/>
      <c r="AF1095" s="11"/>
      <c r="AG1095" s="25"/>
      <c r="AH1095" s="11"/>
      <c r="AI1095" s="11">
        <v>40</v>
      </c>
      <c r="AJ1095" s="19">
        <v>0</v>
      </c>
      <c r="AK1095" s="12">
        <f>(AJ1095+AI1095)/30*7</f>
        <v>9.3333333333333321</v>
      </c>
      <c r="AL1095" s="6">
        <f>IF(AK1095-C1095&lt;0,0,AK1095-C1095)</f>
        <v>0</v>
      </c>
      <c r="AM1095" s="6">
        <f>IF(AL1095-R1095-S1095&lt;0,0,AL1095-R1095-S1095)</f>
        <v>0</v>
      </c>
      <c r="AN1095" s="5" t="str">
        <f t="shared" si="35"/>
        <v/>
      </c>
      <c r="AO1095" s="5">
        <v>0</v>
      </c>
      <c r="AP1095" s="9"/>
      <c r="AQ1095" s="5" t="s">
        <v>1210</v>
      </c>
      <c r="AR1095" s="5" t="s">
        <v>1210</v>
      </c>
      <c r="AS1095" s="8"/>
      <c r="AT1095" s="8"/>
      <c r="AU1095" s="8"/>
      <c r="AV1095" s="8"/>
      <c r="AW1095" s="8"/>
      <c r="AX1095" s="8"/>
      <c r="AY1095" s="8"/>
      <c r="AZ1095" s="8"/>
    </row>
    <row r="1096" spans="1:52">
      <c r="A1096" s="5" t="s">
        <v>770</v>
      </c>
      <c r="B1096" s="5">
        <v>398</v>
      </c>
      <c r="C1096" s="19">
        <v>497</v>
      </c>
      <c r="E1096" s="14"/>
      <c r="F1096" s="11"/>
      <c r="G1096" s="11"/>
      <c r="H1096" s="11"/>
      <c r="I1096" s="11"/>
      <c r="J1096" s="25"/>
      <c r="K1096" s="11"/>
      <c r="L1096" s="11"/>
      <c r="M1096" s="19">
        <v>0</v>
      </c>
      <c r="O1096" s="6"/>
      <c r="P1096" s="16">
        <v>0</v>
      </c>
      <c r="Q1096" s="16">
        <v>0</v>
      </c>
      <c r="R1096" s="22"/>
      <c r="S1096" s="22">
        <f t="shared" si="34"/>
        <v>0</v>
      </c>
      <c r="T1096" s="5" t="s">
        <v>1210</v>
      </c>
      <c r="U1096" s="5" t="s">
        <v>1210</v>
      </c>
      <c r="Y1096" s="8"/>
      <c r="Z1096" s="8"/>
      <c r="AA1096" s="8"/>
      <c r="AB1096" s="8"/>
      <c r="AC1096" s="8"/>
      <c r="AD1096" s="8"/>
      <c r="AE1096" s="25"/>
      <c r="AF1096" s="11"/>
      <c r="AG1096" s="25"/>
      <c r="AH1096" s="11"/>
      <c r="AI1096" s="11">
        <v>70</v>
      </c>
      <c r="AJ1096" s="19">
        <v>0</v>
      </c>
      <c r="AK1096" s="12">
        <f>(AJ1096+AI1096)/30*7</f>
        <v>16.333333333333336</v>
      </c>
      <c r="AL1096" s="6">
        <f>IF(AK1096-C1096&lt;0,0,AK1096-C1096)</f>
        <v>0</v>
      </c>
      <c r="AM1096" s="6">
        <f>IF(AL1096-R1096-S1096&lt;0,0,AL1096-R1096-S1096)</f>
        <v>0</v>
      </c>
      <c r="AN1096" s="5" t="str">
        <f t="shared" si="35"/>
        <v/>
      </c>
      <c r="AO1096" s="5">
        <v>0</v>
      </c>
      <c r="AP1096" s="9"/>
      <c r="AQ1096" s="5" t="s">
        <v>1210</v>
      </c>
      <c r="AR1096" s="5" t="s">
        <v>1210</v>
      </c>
      <c r="AS1096" s="8"/>
      <c r="AT1096" s="8"/>
      <c r="AU1096" s="8"/>
      <c r="AV1096" s="8"/>
      <c r="AW1096" s="8"/>
      <c r="AX1096" s="8"/>
      <c r="AY1096" s="8"/>
      <c r="AZ1096" s="8"/>
    </row>
    <row r="1097" spans="1:52">
      <c r="A1097" s="5" t="s">
        <v>594</v>
      </c>
      <c r="B1097" s="5">
        <v>507</v>
      </c>
      <c r="C1097" s="19">
        <v>790</v>
      </c>
      <c r="E1097" s="14"/>
      <c r="F1097" s="11"/>
      <c r="G1097" s="11"/>
      <c r="H1097" s="11"/>
      <c r="I1097" s="11"/>
      <c r="J1097" s="25"/>
      <c r="K1097" s="11"/>
      <c r="L1097" s="11"/>
      <c r="M1097" s="19">
        <v>0</v>
      </c>
      <c r="O1097" s="6"/>
      <c r="P1097" s="16">
        <v>0</v>
      </c>
      <c r="Q1097" s="16">
        <v>0</v>
      </c>
      <c r="R1097" s="22"/>
      <c r="S1097" s="22">
        <f t="shared" si="34"/>
        <v>0</v>
      </c>
      <c r="T1097" s="5">
        <v>728</v>
      </c>
      <c r="U1097" s="5">
        <v>28</v>
      </c>
      <c r="Y1097" s="8"/>
      <c r="Z1097" s="8"/>
      <c r="AA1097" s="8"/>
      <c r="AB1097" s="8"/>
      <c r="AC1097" s="8"/>
      <c r="AD1097" s="8"/>
      <c r="AE1097" s="25"/>
      <c r="AF1097" s="11"/>
      <c r="AG1097" s="25"/>
      <c r="AH1097" s="11"/>
      <c r="AI1097" s="11">
        <v>62</v>
      </c>
      <c r="AJ1097" s="19">
        <v>0</v>
      </c>
      <c r="AK1097" s="12">
        <f>(AJ1097+AI1097)/30*7</f>
        <v>14.466666666666669</v>
      </c>
      <c r="AL1097" s="6">
        <f>IF(AK1097-C1097&lt;0,0,AK1097-C1097)</f>
        <v>0</v>
      </c>
      <c r="AM1097" s="6">
        <f>IF(AL1097-R1097-S1097&lt;0,0,AL1097-R1097-S1097)</f>
        <v>0</v>
      </c>
      <c r="AN1097" s="5" t="str">
        <f t="shared" si="35"/>
        <v/>
      </c>
      <c r="AO1097" s="5">
        <v>0</v>
      </c>
      <c r="AP1097" s="9"/>
      <c r="AQ1097" s="5" t="s">
        <v>1210</v>
      </c>
      <c r="AR1097" s="5" t="s">
        <v>1210</v>
      </c>
      <c r="AS1097" s="8"/>
      <c r="AT1097" s="8"/>
      <c r="AU1097" s="8"/>
      <c r="AV1097" s="8"/>
      <c r="AW1097" s="8"/>
      <c r="AX1097" s="8"/>
      <c r="AY1097" s="8"/>
      <c r="AZ1097" s="8"/>
    </row>
    <row r="1098" spans="1:52">
      <c r="A1098" s="5" t="s">
        <v>746</v>
      </c>
      <c r="B1098" s="5">
        <v>527</v>
      </c>
      <c r="C1098" s="19">
        <v>371</v>
      </c>
      <c r="E1098" s="14"/>
      <c r="F1098" s="11"/>
      <c r="G1098" s="11"/>
      <c r="H1098" s="11"/>
      <c r="I1098" s="11"/>
      <c r="J1098" s="25"/>
      <c r="K1098" s="11"/>
      <c r="L1098" s="11"/>
      <c r="M1098" s="19">
        <v>0</v>
      </c>
      <c r="O1098" s="6"/>
      <c r="P1098" s="16">
        <v>0</v>
      </c>
      <c r="Q1098" s="16">
        <v>0</v>
      </c>
      <c r="R1098" s="22"/>
      <c r="S1098" s="22">
        <f t="shared" si="34"/>
        <v>0</v>
      </c>
      <c r="T1098" s="5" t="s">
        <v>1210</v>
      </c>
      <c r="U1098" s="5" t="s">
        <v>1210</v>
      </c>
      <c r="Y1098" s="8"/>
      <c r="Z1098" s="8"/>
      <c r="AA1098" s="8"/>
      <c r="AB1098" s="8"/>
      <c r="AC1098" s="8"/>
      <c r="AD1098" s="8"/>
      <c r="AE1098" s="25"/>
      <c r="AF1098" s="11"/>
      <c r="AG1098" s="25"/>
      <c r="AH1098" s="11"/>
      <c r="AI1098" s="11">
        <v>63</v>
      </c>
      <c r="AJ1098" s="19">
        <v>0</v>
      </c>
      <c r="AK1098" s="12">
        <f>(AJ1098+AI1098)/30*7</f>
        <v>14.700000000000001</v>
      </c>
      <c r="AL1098" s="6">
        <f>IF(AK1098-C1098&lt;0,0,AK1098-C1098)</f>
        <v>0</v>
      </c>
      <c r="AM1098" s="6">
        <f>IF(AL1098-R1098-S1098&lt;0,0,AL1098-R1098-S1098)</f>
        <v>0</v>
      </c>
      <c r="AN1098" s="5" t="str">
        <f t="shared" si="35"/>
        <v/>
      </c>
      <c r="AO1098" s="5">
        <v>0</v>
      </c>
      <c r="AP1098" s="9"/>
      <c r="AQ1098" s="5" t="s">
        <v>1210</v>
      </c>
      <c r="AR1098" s="5" t="s">
        <v>1210</v>
      </c>
      <c r="AS1098" s="8"/>
      <c r="AT1098" s="8"/>
      <c r="AU1098" s="8"/>
      <c r="AV1098" s="8"/>
      <c r="AW1098" s="8"/>
      <c r="AX1098" s="8"/>
      <c r="AY1098" s="8"/>
      <c r="AZ1098" s="8"/>
    </row>
    <row r="1099" spans="1:52">
      <c r="A1099" s="5" t="s">
        <v>953</v>
      </c>
      <c r="B1099" s="5">
        <v>530</v>
      </c>
      <c r="C1099" s="19">
        <v>546</v>
      </c>
      <c r="E1099" s="14"/>
      <c r="F1099" s="11"/>
      <c r="G1099" s="11"/>
      <c r="H1099" s="11"/>
      <c r="I1099" s="11"/>
      <c r="J1099" s="25"/>
      <c r="K1099" s="11"/>
      <c r="L1099" s="11"/>
      <c r="M1099" s="19">
        <v>0</v>
      </c>
      <c r="O1099" s="6"/>
      <c r="P1099" s="16">
        <v>690</v>
      </c>
      <c r="Q1099" s="16">
        <v>0</v>
      </c>
      <c r="R1099" s="22"/>
      <c r="S1099" s="22">
        <f t="shared" si="34"/>
        <v>0</v>
      </c>
      <c r="T1099" s="5">
        <v>723</v>
      </c>
      <c r="U1099" s="5">
        <v>278</v>
      </c>
      <c r="Y1099" s="8"/>
      <c r="Z1099" s="8"/>
      <c r="AA1099" s="8"/>
      <c r="AB1099" s="8"/>
      <c r="AC1099" s="8"/>
      <c r="AD1099" s="8"/>
      <c r="AE1099" s="25"/>
      <c r="AF1099" s="11"/>
      <c r="AG1099" s="25"/>
      <c r="AH1099" s="11"/>
      <c r="AI1099" s="11">
        <v>26</v>
      </c>
      <c r="AJ1099" s="19">
        <v>0</v>
      </c>
      <c r="AK1099" s="12">
        <f>(AJ1099+AI1099)/30*7</f>
        <v>6.0666666666666664</v>
      </c>
      <c r="AL1099" s="6">
        <f>IF(AK1099-C1099&lt;0,0,AK1099-C1099)</f>
        <v>0</v>
      </c>
      <c r="AM1099" s="6">
        <f>IF(AL1099-R1099-S1099&lt;0,0,AL1099-R1099-S1099)</f>
        <v>0</v>
      </c>
      <c r="AN1099" s="5" t="str">
        <f t="shared" si="35"/>
        <v/>
      </c>
      <c r="AO1099" s="5">
        <v>0</v>
      </c>
      <c r="AP1099" s="9"/>
      <c r="AQ1099" s="5" t="s">
        <v>1210</v>
      </c>
      <c r="AR1099" s="5" t="s">
        <v>1230</v>
      </c>
      <c r="AS1099" s="8"/>
      <c r="AT1099" s="8"/>
      <c r="AU1099" s="8"/>
      <c r="AV1099" s="8"/>
      <c r="AW1099" s="8"/>
      <c r="AX1099" s="8"/>
      <c r="AY1099" s="8"/>
      <c r="AZ1099" s="8"/>
    </row>
    <row r="1100" spans="1:52">
      <c r="A1100" s="5" t="s">
        <v>98</v>
      </c>
      <c r="B1100" s="5">
        <v>653</v>
      </c>
      <c r="C1100" s="19">
        <v>592</v>
      </c>
      <c r="E1100" s="14"/>
      <c r="F1100" s="11"/>
      <c r="G1100" s="11"/>
      <c r="H1100" s="11"/>
      <c r="I1100" s="11"/>
      <c r="J1100" s="25"/>
      <c r="K1100" s="11"/>
      <c r="L1100" s="11"/>
      <c r="M1100" s="19">
        <v>0</v>
      </c>
      <c r="O1100" s="6"/>
      <c r="P1100" s="16">
        <v>864</v>
      </c>
      <c r="Q1100" s="16">
        <v>223</v>
      </c>
      <c r="R1100" s="22"/>
      <c r="S1100" s="22">
        <f t="shared" si="34"/>
        <v>0</v>
      </c>
      <c r="T1100" s="5">
        <v>815</v>
      </c>
      <c r="U1100" s="5">
        <v>780</v>
      </c>
      <c r="Y1100" s="8"/>
      <c r="Z1100" s="8"/>
      <c r="AA1100" s="8"/>
      <c r="AB1100" s="8"/>
      <c r="AC1100" s="8"/>
      <c r="AD1100" s="8"/>
      <c r="AE1100" s="25"/>
      <c r="AF1100" s="11"/>
      <c r="AG1100" s="25"/>
      <c r="AH1100" s="11"/>
      <c r="AI1100" s="11">
        <v>91</v>
      </c>
      <c r="AJ1100" s="19">
        <v>0</v>
      </c>
      <c r="AK1100" s="12">
        <f>(AJ1100+AI1100)/30*7</f>
        <v>21.233333333333334</v>
      </c>
      <c r="AL1100" s="6">
        <f>IF(AK1100-C1100&lt;0,0,AK1100-C1100)</f>
        <v>0</v>
      </c>
      <c r="AM1100" s="6">
        <f>IF(AL1100-R1100-S1100&lt;0,0,AL1100-R1100-S1100)</f>
        <v>0</v>
      </c>
      <c r="AN1100" s="5" t="str">
        <f t="shared" si="35"/>
        <v/>
      </c>
      <c r="AO1100" s="5">
        <v>0</v>
      </c>
      <c r="AP1100" s="9"/>
      <c r="AQ1100" s="5" t="s">
        <v>1229</v>
      </c>
      <c r="AR1100" s="5" t="s">
        <v>1210</v>
      </c>
      <c r="AS1100" s="8"/>
      <c r="AT1100" s="8"/>
      <c r="AU1100" s="8"/>
      <c r="AV1100" s="8"/>
      <c r="AW1100" s="8"/>
      <c r="AX1100" s="8"/>
      <c r="AY1100" s="8"/>
      <c r="AZ1100" s="8"/>
    </row>
    <row r="1101" spans="1:52">
      <c r="A1101" s="5" t="s">
        <v>689</v>
      </c>
      <c r="B1101" s="5">
        <v>660</v>
      </c>
      <c r="C1101" s="19">
        <v>399</v>
      </c>
      <c r="E1101" s="14"/>
      <c r="F1101" s="11"/>
      <c r="G1101" s="11"/>
      <c r="H1101" s="11"/>
      <c r="I1101" s="11"/>
      <c r="J1101" s="25"/>
      <c r="K1101" s="11"/>
      <c r="L1101" s="11"/>
      <c r="M1101" s="19">
        <v>0</v>
      </c>
      <c r="O1101" s="6"/>
      <c r="P1101" s="16">
        <v>0</v>
      </c>
      <c r="Q1101" s="16">
        <v>0</v>
      </c>
      <c r="R1101" s="22"/>
      <c r="S1101" s="22">
        <f t="shared" si="34"/>
        <v>0</v>
      </c>
      <c r="T1101" s="5" t="s">
        <v>1210</v>
      </c>
      <c r="U1101" s="5" t="s">
        <v>1210</v>
      </c>
      <c r="Y1101" s="8"/>
      <c r="Z1101" s="8"/>
      <c r="AA1101" s="8"/>
      <c r="AB1101" s="8"/>
      <c r="AC1101" s="8"/>
      <c r="AD1101" s="8"/>
      <c r="AE1101" s="25"/>
      <c r="AF1101" s="11"/>
      <c r="AG1101" s="25"/>
      <c r="AH1101" s="11"/>
      <c r="AI1101" s="11">
        <v>66</v>
      </c>
      <c r="AJ1101" s="19">
        <v>5</v>
      </c>
      <c r="AK1101" s="12">
        <f>(AJ1101+AI1101)/30*7</f>
        <v>16.566666666666666</v>
      </c>
      <c r="AL1101" s="6">
        <f>IF(AK1101-C1101&lt;0,0,AK1101-C1101)</f>
        <v>0</v>
      </c>
      <c r="AM1101" s="6">
        <f>IF(AL1101-R1101-S1101&lt;0,0,AL1101-R1101-S1101)</f>
        <v>0</v>
      </c>
      <c r="AN1101" s="5" t="str">
        <f t="shared" si="35"/>
        <v/>
      </c>
      <c r="AO1101" s="5">
        <v>0</v>
      </c>
      <c r="AP1101" s="9"/>
      <c r="AQ1101" s="5" t="s">
        <v>1210</v>
      </c>
      <c r="AR1101" s="5" t="s">
        <v>1210</v>
      </c>
      <c r="AS1101" s="8"/>
      <c r="AT1101" s="8"/>
      <c r="AU1101" s="8"/>
      <c r="AV1101" s="8"/>
      <c r="AW1101" s="8"/>
      <c r="AX1101" s="8"/>
      <c r="AY1101" s="8"/>
      <c r="AZ1101" s="8"/>
    </row>
    <row r="1102" spans="1:52">
      <c r="A1102" s="5" t="s">
        <v>810</v>
      </c>
      <c r="B1102" s="5">
        <v>692</v>
      </c>
      <c r="C1102" s="19">
        <v>271</v>
      </c>
      <c r="E1102" s="14"/>
      <c r="F1102" s="11"/>
      <c r="G1102" s="11"/>
      <c r="H1102" s="11"/>
      <c r="I1102" s="11"/>
      <c r="J1102" s="25"/>
      <c r="K1102" s="11"/>
      <c r="L1102" s="11"/>
      <c r="M1102" s="19">
        <v>0</v>
      </c>
      <c r="O1102" s="6"/>
      <c r="P1102" s="16">
        <v>0</v>
      </c>
      <c r="Q1102" s="16">
        <v>0</v>
      </c>
      <c r="R1102" s="22"/>
      <c r="S1102" s="22">
        <f t="shared" si="34"/>
        <v>0</v>
      </c>
      <c r="T1102" s="5" t="s">
        <v>1210</v>
      </c>
      <c r="U1102" s="5" t="s">
        <v>1210</v>
      </c>
      <c r="Y1102" s="8"/>
      <c r="Z1102" s="8"/>
      <c r="AA1102" s="8"/>
      <c r="AB1102" s="8"/>
      <c r="AC1102" s="8"/>
      <c r="AD1102" s="8"/>
      <c r="AE1102" s="25"/>
      <c r="AF1102" s="11"/>
      <c r="AG1102" s="25"/>
      <c r="AH1102" s="11"/>
      <c r="AI1102" s="11">
        <v>38</v>
      </c>
      <c r="AJ1102" s="19">
        <v>0</v>
      </c>
      <c r="AK1102" s="12">
        <f>(AJ1102+AI1102)/30*7</f>
        <v>8.8666666666666671</v>
      </c>
      <c r="AL1102" s="6">
        <f>IF(AK1102-C1102&lt;0,0,AK1102-C1102)</f>
        <v>0</v>
      </c>
      <c r="AM1102" s="6">
        <f>IF(AL1102-R1102-S1102&lt;0,0,AL1102-R1102-S1102)</f>
        <v>0</v>
      </c>
      <c r="AN1102" s="5" t="str">
        <f t="shared" si="35"/>
        <v/>
      </c>
      <c r="AO1102" s="5">
        <v>0</v>
      </c>
      <c r="AP1102" s="9"/>
      <c r="AQ1102" s="5" t="s">
        <v>1210</v>
      </c>
      <c r="AR1102" s="5" t="s">
        <v>1210</v>
      </c>
      <c r="AS1102" s="8"/>
      <c r="AT1102" s="8"/>
      <c r="AU1102" s="8"/>
      <c r="AV1102" s="8"/>
      <c r="AW1102" s="8"/>
      <c r="AX1102" s="8"/>
      <c r="AY1102" s="8"/>
      <c r="AZ1102" s="8"/>
    </row>
    <row r="1103" spans="1:52">
      <c r="A1103" s="5" t="s">
        <v>753</v>
      </c>
      <c r="B1103" s="5">
        <v>698</v>
      </c>
      <c r="C1103" s="19">
        <v>317</v>
      </c>
      <c r="E1103" s="14"/>
      <c r="F1103" s="11"/>
      <c r="G1103" s="11"/>
      <c r="H1103" s="11"/>
      <c r="I1103" s="11"/>
      <c r="J1103" s="25"/>
      <c r="K1103" s="11"/>
      <c r="L1103" s="11"/>
      <c r="M1103" s="19">
        <v>0</v>
      </c>
      <c r="O1103" s="6"/>
      <c r="P1103" s="16">
        <v>0</v>
      </c>
      <c r="Q1103" s="16">
        <v>557</v>
      </c>
      <c r="R1103" s="22"/>
      <c r="S1103" s="22">
        <f t="shared" si="34"/>
        <v>0</v>
      </c>
      <c r="T1103" s="5">
        <v>383</v>
      </c>
      <c r="U1103" s="5">
        <v>997</v>
      </c>
      <c r="Y1103" s="8"/>
      <c r="Z1103" s="8"/>
      <c r="AA1103" s="8"/>
      <c r="AB1103" s="8"/>
      <c r="AC1103" s="8"/>
      <c r="AD1103" s="8"/>
      <c r="AE1103" s="25"/>
      <c r="AF1103" s="11"/>
      <c r="AG1103" s="25"/>
      <c r="AH1103" s="11"/>
      <c r="AI1103" s="11">
        <v>30</v>
      </c>
      <c r="AJ1103" s="19">
        <v>0</v>
      </c>
      <c r="AK1103" s="12">
        <f>(AJ1103+AI1103)/30*7</f>
        <v>7</v>
      </c>
      <c r="AL1103" s="6">
        <f>IF(AK1103-C1103&lt;0,0,AK1103-C1103)</f>
        <v>0</v>
      </c>
      <c r="AM1103" s="6">
        <f>IF(AL1103-R1103-S1103&lt;0,0,AL1103-R1103-S1103)</f>
        <v>0</v>
      </c>
      <c r="AN1103" s="5" t="str">
        <f t="shared" si="35"/>
        <v/>
      </c>
      <c r="AO1103" s="5">
        <v>0</v>
      </c>
      <c r="AP1103" s="9"/>
      <c r="AQ1103" s="5" t="s">
        <v>1210</v>
      </c>
      <c r="AR1103" s="5" t="s">
        <v>1210</v>
      </c>
      <c r="AS1103" s="8"/>
      <c r="AT1103" s="8"/>
      <c r="AU1103" s="8"/>
      <c r="AV1103" s="8"/>
      <c r="AW1103" s="8"/>
      <c r="AX1103" s="8"/>
      <c r="AY1103" s="8"/>
      <c r="AZ1103" s="8"/>
    </row>
    <row r="1104" spans="1:52">
      <c r="A1104" s="5" t="s">
        <v>707</v>
      </c>
      <c r="B1104" s="5">
        <v>724</v>
      </c>
      <c r="C1104" s="19">
        <v>278</v>
      </c>
      <c r="E1104" s="14"/>
      <c r="F1104" s="11"/>
      <c r="G1104" s="11"/>
      <c r="H1104" s="11"/>
      <c r="I1104" s="11"/>
      <c r="J1104" s="25"/>
      <c r="K1104" s="11"/>
      <c r="L1104" s="11"/>
      <c r="M1104" s="19">
        <v>0</v>
      </c>
      <c r="O1104" s="6"/>
      <c r="P1104" s="16">
        <v>0</v>
      </c>
      <c r="Q1104" s="16">
        <v>0</v>
      </c>
      <c r="R1104" s="22"/>
      <c r="S1104" s="22">
        <f t="shared" si="34"/>
        <v>0</v>
      </c>
      <c r="T1104" s="5" t="s">
        <v>1210</v>
      </c>
      <c r="U1104" s="5" t="s">
        <v>1210</v>
      </c>
      <c r="Y1104" s="8"/>
      <c r="Z1104" s="8"/>
      <c r="AA1104" s="8"/>
      <c r="AB1104" s="8"/>
      <c r="AC1104" s="8"/>
      <c r="AD1104" s="8"/>
      <c r="AE1104" s="25"/>
      <c r="AF1104" s="11"/>
      <c r="AG1104" s="25"/>
      <c r="AH1104" s="11"/>
      <c r="AI1104" s="11">
        <v>36</v>
      </c>
      <c r="AJ1104" s="19">
        <v>0</v>
      </c>
      <c r="AK1104" s="12">
        <f>(AJ1104+AI1104)/30*7</f>
        <v>8.4</v>
      </c>
      <c r="AL1104" s="6">
        <f>IF(AK1104-C1104&lt;0,0,AK1104-C1104)</f>
        <v>0</v>
      </c>
      <c r="AM1104" s="6">
        <f>IF(AL1104-R1104-S1104&lt;0,0,AL1104-R1104-S1104)</f>
        <v>0</v>
      </c>
      <c r="AN1104" s="5" t="str">
        <f t="shared" si="35"/>
        <v/>
      </c>
      <c r="AO1104" s="5">
        <v>0</v>
      </c>
      <c r="AP1104" s="9"/>
      <c r="AQ1104" s="5" t="s">
        <v>1210</v>
      </c>
      <c r="AR1104" s="5" t="s">
        <v>1210</v>
      </c>
      <c r="AS1104" s="8"/>
      <c r="AT1104" s="8"/>
      <c r="AU1104" s="8"/>
      <c r="AV1104" s="8"/>
      <c r="AW1104" s="8"/>
      <c r="AX1104" s="8"/>
      <c r="AY1104" s="8"/>
      <c r="AZ1104" s="8"/>
    </row>
    <row r="1105" spans="1:52">
      <c r="A1105" s="5" t="s">
        <v>930</v>
      </c>
      <c r="B1105" s="5">
        <v>739</v>
      </c>
      <c r="C1105" s="19">
        <v>245</v>
      </c>
      <c r="E1105" s="14"/>
      <c r="F1105" s="11"/>
      <c r="G1105" s="11"/>
      <c r="H1105" s="11"/>
      <c r="I1105" s="11"/>
      <c r="J1105" s="25"/>
      <c r="K1105" s="11"/>
      <c r="L1105" s="11"/>
      <c r="M1105" s="19">
        <v>0</v>
      </c>
      <c r="O1105" s="6"/>
      <c r="P1105" s="16">
        <v>0</v>
      </c>
      <c r="Q1105" s="16">
        <v>0</v>
      </c>
      <c r="R1105" s="22"/>
      <c r="S1105" s="22">
        <f t="shared" si="34"/>
        <v>0</v>
      </c>
      <c r="T1105" s="5" t="s">
        <v>1210</v>
      </c>
      <c r="U1105" s="5" t="s">
        <v>1210</v>
      </c>
      <c r="Y1105" s="8"/>
      <c r="Z1105" s="8"/>
      <c r="AA1105" s="8"/>
      <c r="AB1105" s="8"/>
      <c r="AC1105" s="8"/>
      <c r="AD1105" s="8"/>
      <c r="AE1105" s="25"/>
      <c r="AF1105" s="11"/>
      <c r="AG1105" s="25"/>
      <c r="AH1105" s="11"/>
      <c r="AI1105" s="11">
        <v>54</v>
      </c>
      <c r="AJ1105" s="19">
        <v>0</v>
      </c>
      <c r="AK1105" s="12">
        <f>(AJ1105+AI1105)/30*7</f>
        <v>12.6</v>
      </c>
      <c r="AL1105" s="6">
        <f>IF(AK1105-C1105&lt;0,0,AK1105-C1105)</f>
        <v>0</v>
      </c>
      <c r="AM1105" s="6">
        <f>IF(AL1105-R1105-S1105&lt;0,0,AL1105-R1105-S1105)</f>
        <v>0</v>
      </c>
      <c r="AN1105" s="5" t="str">
        <f t="shared" si="35"/>
        <v/>
      </c>
      <c r="AO1105" s="5">
        <v>0</v>
      </c>
      <c r="AP1105" s="9"/>
      <c r="AQ1105" s="5" t="s">
        <v>1210</v>
      </c>
      <c r="AR1105" s="5" t="s">
        <v>1210</v>
      </c>
      <c r="AS1105" s="8"/>
      <c r="AT1105" s="8"/>
      <c r="AU1105" s="8"/>
      <c r="AV1105" s="8"/>
      <c r="AW1105" s="8"/>
      <c r="AX1105" s="8"/>
      <c r="AY1105" s="8"/>
      <c r="AZ1105" s="8"/>
    </row>
    <row r="1106" spans="1:52">
      <c r="A1106" s="5" t="s">
        <v>658</v>
      </c>
      <c r="B1106" s="5">
        <v>772</v>
      </c>
      <c r="C1106" s="19">
        <v>409</v>
      </c>
      <c r="E1106" s="14"/>
      <c r="F1106" s="11"/>
      <c r="G1106" s="11"/>
      <c r="H1106" s="11"/>
      <c r="I1106" s="11"/>
      <c r="J1106" s="25"/>
      <c r="K1106" s="11"/>
      <c r="L1106" s="11"/>
      <c r="M1106" s="19">
        <v>0</v>
      </c>
      <c r="O1106" s="6"/>
      <c r="P1106" s="16">
        <v>0</v>
      </c>
      <c r="Q1106" s="16">
        <v>738</v>
      </c>
      <c r="R1106" s="22"/>
      <c r="S1106" s="22">
        <f t="shared" si="34"/>
        <v>0</v>
      </c>
      <c r="T1106" s="5" t="s">
        <v>1210</v>
      </c>
      <c r="U1106" s="5" t="s">
        <v>1210</v>
      </c>
      <c r="Y1106" s="8"/>
      <c r="Z1106" s="8"/>
      <c r="AA1106" s="8"/>
      <c r="AB1106" s="8"/>
      <c r="AC1106" s="8"/>
      <c r="AD1106" s="8"/>
      <c r="AE1106" s="25"/>
      <c r="AF1106" s="11"/>
      <c r="AG1106" s="25"/>
      <c r="AH1106" s="11"/>
      <c r="AI1106" s="11">
        <v>21</v>
      </c>
      <c r="AJ1106" s="19">
        <v>0</v>
      </c>
      <c r="AK1106" s="12">
        <f>(AJ1106+AI1106)/30*7</f>
        <v>4.8999999999999995</v>
      </c>
      <c r="AL1106" s="6">
        <f>IF(AK1106-C1106&lt;0,0,AK1106-C1106)</f>
        <v>0</v>
      </c>
      <c r="AM1106" s="6">
        <f>IF(AL1106-R1106-S1106&lt;0,0,AL1106-R1106-S1106)</f>
        <v>0</v>
      </c>
      <c r="AN1106" s="5" t="str">
        <f t="shared" si="35"/>
        <v/>
      </c>
      <c r="AO1106" s="5">
        <v>0</v>
      </c>
      <c r="AP1106" s="9"/>
      <c r="AQ1106" s="5" t="s">
        <v>1210</v>
      </c>
      <c r="AR1106" s="5" t="s">
        <v>1210</v>
      </c>
      <c r="AS1106" s="8"/>
      <c r="AT1106" s="8"/>
      <c r="AU1106" s="8"/>
      <c r="AV1106" s="8"/>
      <c r="AW1106" s="8"/>
      <c r="AX1106" s="8"/>
      <c r="AY1106" s="8"/>
      <c r="AZ1106" s="8"/>
    </row>
    <row r="1107" spans="1:52">
      <c r="A1107" s="5" t="s">
        <v>1030</v>
      </c>
      <c r="B1107" s="5">
        <v>799</v>
      </c>
      <c r="C1107" s="19">
        <v>1000</v>
      </c>
      <c r="E1107" s="14"/>
      <c r="F1107" s="11"/>
      <c r="G1107" s="11"/>
      <c r="H1107" s="11"/>
      <c r="I1107" s="11"/>
      <c r="J1107" s="25"/>
      <c r="K1107" s="11"/>
      <c r="L1107" s="11"/>
      <c r="M1107" s="19">
        <v>0</v>
      </c>
      <c r="O1107" s="6"/>
      <c r="P1107" s="16">
        <v>482</v>
      </c>
      <c r="Q1107" s="16">
        <v>419</v>
      </c>
      <c r="R1107" s="22"/>
      <c r="S1107" s="22">
        <f t="shared" si="34"/>
        <v>0</v>
      </c>
      <c r="T1107" s="5">
        <v>436</v>
      </c>
      <c r="U1107" s="5">
        <v>264</v>
      </c>
      <c r="Y1107" s="8"/>
      <c r="Z1107" s="8"/>
      <c r="AA1107" s="8"/>
      <c r="AB1107" s="8"/>
      <c r="AC1107" s="8"/>
      <c r="AD1107" s="8"/>
      <c r="AE1107" s="25"/>
      <c r="AF1107" s="11"/>
      <c r="AG1107" s="25"/>
      <c r="AH1107" s="11"/>
      <c r="AI1107" s="11">
        <v>22</v>
      </c>
      <c r="AJ1107" s="19">
        <v>0</v>
      </c>
      <c r="AK1107" s="12">
        <f>(AJ1107+AI1107)/30*7</f>
        <v>5.1333333333333329</v>
      </c>
      <c r="AL1107" s="6">
        <f>IF(AK1107-C1107&lt;0,0,AK1107-C1107)</f>
        <v>0</v>
      </c>
      <c r="AM1107" s="6">
        <f>IF(AL1107-R1107-S1107&lt;0,0,AL1107-R1107-S1107)</f>
        <v>0</v>
      </c>
      <c r="AN1107" s="5" t="str">
        <f t="shared" si="35"/>
        <v/>
      </c>
      <c r="AO1107" s="5">
        <v>0</v>
      </c>
      <c r="AP1107" s="9"/>
      <c r="AQ1107" s="5" t="s">
        <v>1210</v>
      </c>
      <c r="AR1107" s="5" t="s">
        <v>1230</v>
      </c>
      <c r="AS1107" s="8"/>
      <c r="AT1107" s="8"/>
      <c r="AU1107" s="8"/>
      <c r="AV1107" s="8"/>
      <c r="AW1107" s="8"/>
      <c r="AX1107" s="8"/>
      <c r="AY1107" s="8"/>
      <c r="AZ1107" s="8"/>
    </row>
    <row r="1108" spans="1:52">
      <c r="A1108" s="5" t="s">
        <v>1124</v>
      </c>
      <c r="B1108" s="5">
        <v>866</v>
      </c>
      <c r="C1108" s="19">
        <v>729</v>
      </c>
      <c r="E1108" s="14"/>
      <c r="F1108" s="11"/>
      <c r="G1108" s="11"/>
      <c r="H1108" s="11"/>
      <c r="I1108" s="11"/>
      <c r="J1108" s="25"/>
      <c r="K1108" s="11"/>
      <c r="L1108" s="11"/>
      <c r="M1108" s="19">
        <v>0</v>
      </c>
      <c r="O1108" s="6"/>
      <c r="P1108" s="16">
        <v>0</v>
      </c>
      <c r="Q1108" s="16">
        <v>742</v>
      </c>
      <c r="R1108" s="22"/>
      <c r="S1108" s="22">
        <f t="shared" si="34"/>
        <v>0</v>
      </c>
      <c r="T1108" s="5">
        <v>2057</v>
      </c>
      <c r="U1108" s="5">
        <v>901</v>
      </c>
      <c r="Y1108" s="8"/>
      <c r="Z1108" s="8"/>
      <c r="AA1108" s="8"/>
      <c r="AB1108" s="8"/>
      <c r="AC1108" s="8"/>
      <c r="AD1108" s="8"/>
      <c r="AE1108" s="25"/>
      <c r="AF1108" s="11"/>
      <c r="AG1108" s="25"/>
      <c r="AH1108" s="11"/>
      <c r="AI1108" s="11">
        <v>43</v>
      </c>
      <c r="AJ1108" s="19">
        <v>0</v>
      </c>
      <c r="AK1108" s="12">
        <f>(AJ1108+AI1108)/30*7</f>
        <v>10.033333333333333</v>
      </c>
      <c r="AL1108" s="6">
        <f>IF(AK1108-C1108&lt;0,0,AK1108-C1108)</f>
        <v>0</v>
      </c>
      <c r="AM1108" s="6">
        <f>IF(AL1108-R1108-S1108&lt;0,0,AL1108-R1108-S1108)</f>
        <v>0</v>
      </c>
      <c r="AN1108" s="5" t="str">
        <f t="shared" si="35"/>
        <v/>
      </c>
      <c r="AO1108" s="5">
        <v>0</v>
      </c>
      <c r="AP1108" s="9"/>
      <c r="AQ1108" s="5" t="s">
        <v>1210</v>
      </c>
      <c r="AR1108" s="5" t="s">
        <v>1230</v>
      </c>
      <c r="AS1108" s="8"/>
      <c r="AT1108" s="8"/>
      <c r="AU1108" s="8"/>
      <c r="AV1108" s="8"/>
      <c r="AW1108" s="8"/>
      <c r="AX1108" s="8"/>
      <c r="AY1108" s="8"/>
      <c r="AZ1108" s="8"/>
    </row>
    <row r="1109" spans="1:52">
      <c r="A1109" s="5" t="s">
        <v>1051</v>
      </c>
      <c r="B1109" s="5">
        <v>915</v>
      </c>
      <c r="C1109" s="19">
        <v>512</v>
      </c>
      <c r="E1109" s="14"/>
      <c r="F1109" s="11"/>
      <c r="G1109" s="11"/>
      <c r="H1109" s="11"/>
      <c r="I1109" s="11"/>
      <c r="J1109" s="25"/>
      <c r="K1109" s="11"/>
      <c r="L1109" s="11"/>
      <c r="M1109" s="19">
        <v>0</v>
      </c>
      <c r="O1109" s="6"/>
      <c r="P1109" s="16">
        <v>0</v>
      </c>
      <c r="Q1109" s="16">
        <v>0</v>
      </c>
      <c r="R1109" s="22"/>
      <c r="S1109" s="22">
        <f t="shared" si="34"/>
        <v>0</v>
      </c>
      <c r="T1109" s="5">
        <v>1111</v>
      </c>
      <c r="U1109" s="5">
        <v>660</v>
      </c>
      <c r="Y1109" s="8"/>
      <c r="Z1109" s="8"/>
      <c r="AA1109" s="8"/>
      <c r="AB1109" s="8"/>
      <c r="AC1109" s="8"/>
      <c r="AD1109" s="8"/>
      <c r="AE1109" s="25"/>
      <c r="AF1109" s="11"/>
      <c r="AG1109" s="25"/>
      <c r="AH1109" s="11"/>
      <c r="AI1109" s="11">
        <v>6</v>
      </c>
      <c r="AJ1109" s="19">
        <v>0</v>
      </c>
      <c r="AK1109" s="12">
        <f>(AJ1109+AI1109)/30*7</f>
        <v>1.4000000000000001</v>
      </c>
      <c r="AL1109" s="6">
        <f>IF(AK1109-C1109&lt;0,0,AK1109-C1109)</f>
        <v>0</v>
      </c>
      <c r="AM1109" s="6">
        <f>IF(AL1109-R1109-S1109&lt;0,0,AL1109-R1109-S1109)</f>
        <v>0</v>
      </c>
      <c r="AN1109" s="5" t="str">
        <f t="shared" si="35"/>
        <v/>
      </c>
      <c r="AO1109" s="5">
        <v>0</v>
      </c>
      <c r="AP1109" s="9"/>
      <c r="AQ1109" s="5" t="s">
        <v>1210</v>
      </c>
      <c r="AR1109" s="5" t="s">
        <v>1210</v>
      </c>
      <c r="AS1109" s="8"/>
      <c r="AT1109" s="8"/>
      <c r="AU1109" s="8"/>
      <c r="AV1109" s="8"/>
      <c r="AW1109" s="8"/>
      <c r="AX1109" s="8"/>
      <c r="AY1109" s="8"/>
      <c r="AZ1109" s="8"/>
    </row>
    <row r="1110" spans="1:52">
      <c r="A1110" s="5" t="s">
        <v>808</v>
      </c>
      <c r="B1110" s="5">
        <v>964</v>
      </c>
      <c r="C1110" s="19">
        <v>511</v>
      </c>
      <c r="E1110" s="14"/>
      <c r="F1110" s="11"/>
      <c r="G1110" s="11"/>
      <c r="H1110" s="11"/>
      <c r="I1110" s="11"/>
      <c r="J1110" s="25"/>
      <c r="K1110" s="11"/>
      <c r="L1110" s="11"/>
      <c r="M1110" s="19">
        <v>0</v>
      </c>
      <c r="O1110" s="6"/>
      <c r="P1110" s="16">
        <v>0</v>
      </c>
      <c r="Q1110" s="16">
        <v>0</v>
      </c>
      <c r="R1110" s="22"/>
      <c r="S1110" s="22">
        <f t="shared" si="34"/>
        <v>0</v>
      </c>
      <c r="T1110" s="5">
        <v>981</v>
      </c>
      <c r="U1110" s="5">
        <v>296</v>
      </c>
      <c r="Y1110" s="8"/>
      <c r="Z1110" s="8"/>
      <c r="AA1110" s="8"/>
      <c r="AB1110" s="8"/>
      <c r="AC1110" s="8"/>
      <c r="AD1110" s="8"/>
      <c r="AE1110" s="25"/>
      <c r="AF1110" s="11"/>
      <c r="AG1110" s="25"/>
      <c r="AH1110" s="11"/>
      <c r="AI1110" s="11">
        <v>44</v>
      </c>
      <c r="AJ1110" s="19">
        <v>0</v>
      </c>
      <c r="AK1110" s="12">
        <f>(AJ1110+AI1110)/30*7</f>
        <v>10.266666666666666</v>
      </c>
      <c r="AL1110" s="6">
        <f>IF(AK1110-C1110&lt;0,0,AK1110-C1110)</f>
        <v>0</v>
      </c>
      <c r="AM1110" s="6">
        <f>IF(AL1110-R1110-S1110&lt;0,0,AL1110-R1110-S1110)</f>
        <v>0</v>
      </c>
      <c r="AN1110" s="5" t="str">
        <f t="shared" si="35"/>
        <v/>
      </c>
      <c r="AO1110" s="5">
        <v>0</v>
      </c>
      <c r="AP1110" s="9"/>
      <c r="AQ1110" s="5" t="s">
        <v>1210</v>
      </c>
      <c r="AR1110" s="5" t="s">
        <v>1210</v>
      </c>
      <c r="AS1110" s="8"/>
      <c r="AT1110" s="8"/>
      <c r="AU1110" s="8"/>
      <c r="AV1110" s="8"/>
      <c r="AW1110" s="8"/>
      <c r="AX1110" s="8"/>
      <c r="AY1110" s="8"/>
      <c r="AZ1110" s="8"/>
    </row>
    <row r="1111" spans="1:52">
      <c r="A1111" s="5" t="s">
        <v>261</v>
      </c>
      <c r="B1111" s="5">
        <v>1101</v>
      </c>
      <c r="C1111" s="19">
        <v>969</v>
      </c>
      <c r="E1111" s="14"/>
      <c r="F1111" s="11"/>
      <c r="G1111" s="11"/>
      <c r="H1111" s="11"/>
      <c r="I1111" s="11"/>
      <c r="J1111" s="25"/>
      <c r="K1111" s="11"/>
      <c r="L1111" s="11"/>
      <c r="M1111" s="19">
        <v>0</v>
      </c>
      <c r="O1111" s="6"/>
      <c r="P1111" s="16">
        <v>504</v>
      </c>
      <c r="Q1111" s="16">
        <v>0</v>
      </c>
      <c r="R1111" s="22"/>
      <c r="S1111" s="22">
        <f t="shared" si="34"/>
        <v>0</v>
      </c>
      <c r="T1111" s="5">
        <v>1100</v>
      </c>
      <c r="U1111" s="5">
        <v>738</v>
      </c>
      <c r="Y1111" s="8"/>
      <c r="Z1111" s="8"/>
      <c r="AA1111" s="8"/>
      <c r="AB1111" s="8"/>
      <c r="AC1111" s="8"/>
      <c r="AD1111" s="8"/>
      <c r="AE1111" s="25"/>
      <c r="AF1111" s="11"/>
      <c r="AG1111" s="25"/>
      <c r="AH1111" s="11"/>
      <c r="AI1111" s="11">
        <v>60</v>
      </c>
      <c r="AJ1111" s="19">
        <v>0</v>
      </c>
      <c r="AK1111" s="12">
        <f>(AJ1111+AI1111)/30*7</f>
        <v>14</v>
      </c>
      <c r="AL1111" s="6">
        <f>IF(AK1111-C1111&lt;0,0,AK1111-C1111)</f>
        <v>0</v>
      </c>
      <c r="AM1111" s="6">
        <f>IF(AL1111-R1111-S1111&lt;0,0,AL1111-R1111-S1111)</f>
        <v>0</v>
      </c>
      <c r="AN1111" s="5" t="str">
        <f t="shared" si="35"/>
        <v/>
      </c>
      <c r="AO1111" s="5">
        <v>0</v>
      </c>
      <c r="AP1111" s="9"/>
      <c r="AQ1111" s="5" t="s">
        <v>1210</v>
      </c>
      <c r="AR1111" s="5" t="s">
        <v>1210</v>
      </c>
      <c r="AS1111" s="8"/>
      <c r="AT1111" s="8"/>
      <c r="AU1111" s="8"/>
      <c r="AV1111" s="8"/>
      <c r="AW1111" s="8"/>
      <c r="AX1111" s="8"/>
      <c r="AY1111" s="8"/>
      <c r="AZ1111" s="8"/>
    </row>
    <row r="1112" spans="1:52">
      <c r="A1112" s="5" t="s">
        <v>723</v>
      </c>
      <c r="B1112" s="5">
        <v>1202</v>
      </c>
      <c r="C1112" s="19">
        <v>475</v>
      </c>
      <c r="E1112" s="14"/>
      <c r="F1112" s="11"/>
      <c r="G1112" s="11"/>
      <c r="H1112" s="11"/>
      <c r="I1112" s="11"/>
      <c r="J1112" s="25"/>
      <c r="K1112" s="11"/>
      <c r="L1112" s="11"/>
      <c r="M1112" s="19">
        <v>0</v>
      </c>
      <c r="O1112" s="6"/>
      <c r="P1112" s="16">
        <v>0</v>
      </c>
      <c r="Q1112" s="16">
        <v>0</v>
      </c>
      <c r="R1112" s="22"/>
      <c r="S1112" s="22">
        <f t="shared" si="34"/>
        <v>0</v>
      </c>
      <c r="T1112" s="5">
        <v>1917</v>
      </c>
      <c r="U1112" s="5">
        <v>376</v>
      </c>
      <c r="Y1112" s="8"/>
      <c r="Z1112" s="8"/>
      <c r="AA1112" s="8"/>
      <c r="AB1112" s="8"/>
      <c r="AC1112" s="8"/>
      <c r="AD1112" s="8"/>
      <c r="AE1112" s="25"/>
      <c r="AF1112" s="11"/>
      <c r="AG1112" s="25"/>
      <c r="AH1112" s="11"/>
      <c r="AI1112" s="11">
        <v>29</v>
      </c>
      <c r="AJ1112" s="19">
        <v>0</v>
      </c>
      <c r="AK1112" s="12">
        <f>(AJ1112+AI1112)/30*7</f>
        <v>6.7666666666666666</v>
      </c>
      <c r="AL1112" s="6">
        <f>IF(AK1112-C1112&lt;0,0,AK1112-C1112)</f>
        <v>0</v>
      </c>
      <c r="AM1112" s="6">
        <f>IF(AL1112-R1112-S1112&lt;0,0,AL1112-R1112-S1112)</f>
        <v>0</v>
      </c>
      <c r="AN1112" s="5" t="str">
        <f t="shared" si="35"/>
        <v/>
      </c>
      <c r="AO1112" s="5">
        <v>0</v>
      </c>
      <c r="AP1112" s="9"/>
      <c r="AQ1112" s="5" t="s">
        <v>1210</v>
      </c>
      <c r="AR1112" s="5" t="s">
        <v>1210</v>
      </c>
      <c r="AS1112" s="8"/>
      <c r="AT1112" s="8"/>
      <c r="AU1112" s="8"/>
      <c r="AV1112" s="8"/>
      <c r="AW1112" s="8"/>
      <c r="AX1112" s="8"/>
      <c r="AY1112" s="8"/>
      <c r="AZ1112" s="8"/>
    </row>
    <row r="1113" spans="1:52">
      <c r="A1113" s="5" t="s">
        <v>608</v>
      </c>
      <c r="B1113" s="5">
        <v>1240</v>
      </c>
      <c r="C1113" s="19">
        <v>800</v>
      </c>
      <c r="E1113" s="14"/>
      <c r="F1113" s="11"/>
      <c r="G1113" s="11"/>
      <c r="H1113" s="11"/>
      <c r="I1113" s="11"/>
      <c r="J1113" s="25"/>
      <c r="K1113" s="11"/>
      <c r="L1113" s="11"/>
      <c r="M1113" s="19">
        <v>0</v>
      </c>
      <c r="O1113" s="6"/>
      <c r="P1113" s="16">
        <v>0</v>
      </c>
      <c r="Q1113" s="16">
        <v>0</v>
      </c>
      <c r="R1113" s="22"/>
      <c r="S1113" s="22">
        <f t="shared" si="34"/>
        <v>0</v>
      </c>
      <c r="T1113" s="5" t="s">
        <v>1210</v>
      </c>
      <c r="U1113" s="5" t="s">
        <v>1210</v>
      </c>
      <c r="Y1113" s="8"/>
      <c r="Z1113" s="8"/>
      <c r="AA1113" s="8"/>
      <c r="AB1113" s="8"/>
      <c r="AC1113" s="8"/>
      <c r="AD1113" s="8"/>
      <c r="AE1113" s="25"/>
      <c r="AF1113" s="11"/>
      <c r="AG1113" s="25"/>
      <c r="AH1113" s="11"/>
      <c r="AI1113" s="11">
        <v>96</v>
      </c>
      <c r="AJ1113" s="19">
        <v>0</v>
      </c>
      <c r="AK1113" s="12">
        <f>(AJ1113+AI1113)/30*7</f>
        <v>22.400000000000002</v>
      </c>
      <c r="AL1113" s="6">
        <f>IF(AK1113-C1113&lt;0,0,AK1113-C1113)</f>
        <v>0</v>
      </c>
      <c r="AM1113" s="6">
        <f>IF(AL1113-R1113-S1113&lt;0,0,AL1113-R1113-S1113)</f>
        <v>0</v>
      </c>
      <c r="AN1113" s="5" t="str">
        <f t="shared" si="35"/>
        <v/>
      </c>
      <c r="AO1113" s="5">
        <v>0</v>
      </c>
      <c r="AP1113" s="9"/>
      <c r="AQ1113" s="5" t="s">
        <v>1210</v>
      </c>
      <c r="AR1113" s="5" t="s">
        <v>1210</v>
      </c>
      <c r="AS1113" s="8"/>
      <c r="AT1113" s="8"/>
      <c r="AU1113" s="8"/>
      <c r="AV1113" s="8"/>
      <c r="AW1113" s="8"/>
      <c r="AX1113" s="8"/>
      <c r="AY1113" s="8"/>
      <c r="AZ1113" s="8"/>
    </row>
    <row r="1114" spans="1:52">
      <c r="A1114" s="5" t="s">
        <v>1010</v>
      </c>
      <c r="B1114" s="5">
        <v>1326</v>
      </c>
      <c r="C1114" s="19">
        <v>755</v>
      </c>
      <c r="E1114" s="14"/>
      <c r="F1114" s="11"/>
      <c r="G1114" s="11"/>
      <c r="H1114" s="11"/>
      <c r="I1114" s="11"/>
      <c r="J1114" s="25"/>
      <c r="K1114" s="11"/>
      <c r="L1114" s="11"/>
      <c r="M1114" s="19">
        <v>7</v>
      </c>
      <c r="O1114" s="6"/>
      <c r="P1114" s="16">
        <v>282</v>
      </c>
      <c r="Q1114" s="16">
        <v>0</v>
      </c>
      <c r="R1114" s="22"/>
      <c r="S1114" s="22">
        <f t="shared" si="34"/>
        <v>0</v>
      </c>
      <c r="T1114" s="5">
        <v>1719</v>
      </c>
      <c r="U1114" s="5">
        <v>524</v>
      </c>
      <c r="Y1114" s="8"/>
      <c r="Z1114" s="8"/>
      <c r="AA1114" s="8"/>
      <c r="AB1114" s="8"/>
      <c r="AC1114" s="8"/>
      <c r="AD1114" s="8"/>
      <c r="AE1114" s="25"/>
      <c r="AF1114" s="11"/>
      <c r="AG1114" s="25"/>
      <c r="AH1114" s="11"/>
      <c r="AI1114" s="11">
        <v>14</v>
      </c>
      <c r="AJ1114" s="19">
        <v>0</v>
      </c>
      <c r="AK1114" s="12">
        <f>(AJ1114+AI1114)/30*7</f>
        <v>3.2666666666666666</v>
      </c>
      <c r="AL1114" s="6">
        <f>IF(AK1114-C1114&lt;0,0,AK1114-C1114)</f>
        <v>0</v>
      </c>
      <c r="AM1114" s="6">
        <f>IF(AL1114-R1114-S1114&lt;0,0,AL1114-R1114-S1114)</f>
        <v>0</v>
      </c>
      <c r="AN1114" s="5" t="str">
        <f t="shared" si="35"/>
        <v/>
      </c>
      <c r="AO1114" s="5">
        <v>0</v>
      </c>
      <c r="AP1114" s="9"/>
      <c r="AQ1114" s="5" t="s">
        <v>1210</v>
      </c>
      <c r="AR1114" s="5" t="s">
        <v>1230</v>
      </c>
      <c r="AS1114" s="8"/>
      <c r="AT1114" s="8"/>
      <c r="AU1114" s="8"/>
      <c r="AV1114" s="8"/>
      <c r="AW1114" s="8"/>
      <c r="AX1114" s="8"/>
      <c r="AY1114" s="8"/>
      <c r="AZ1114" s="8"/>
    </row>
    <row r="1115" spans="1:52">
      <c r="A1115" s="5" t="s">
        <v>1089</v>
      </c>
      <c r="B1115" s="5">
        <v>1330</v>
      </c>
      <c r="C1115" s="19">
        <v>481</v>
      </c>
      <c r="E1115" s="14"/>
      <c r="F1115" s="11"/>
      <c r="G1115" s="11"/>
      <c r="H1115" s="11"/>
      <c r="I1115" s="11"/>
      <c r="J1115" s="25"/>
      <c r="K1115" s="11"/>
      <c r="L1115" s="11"/>
      <c r="M1115" s="19">
        <v>0</v>
      </c>
      <c r="O1115" s="6"/>
      <c r="P1115" s="16">
        <v>0</v>
      </c>
      <c r="Q1115" s="16">
        <v>439</v>
      </c>
      <c r="R1115" s="22"/>
      <c r="S1115" s="22">
        <f t="shared" si="34"/>
        <v>0</v>
      </c>
      <c r="T1115" s="5" t="s">
        <v>1210</v>
      </c>
      <c r="U1115" s="5" t="s">
        <v>1210</v>
      </c>
      <c r="Y1115" s="8"/>
      <c r="Z1115" s="8"/>
      <c r="AA1115" s="8"/>
      <c r="AB1115" s="8"/>
      <c r="AC1115" s="8"/>
      <c r="AD1115" s="8"/>
      <c r="AE1115" s="25"/>
      <c r="AF1115" s="11"/>
      <c r="AG1115" s="25"/>
      <c r="AH1115" s="11"/>
      <c r="AI1115" s="11">
        <v>32</v>
      </c>
      <c r="AJ1115" s="19">
        <v>0</v>
      </c>
      <c r="AK1115" s="12">
        <f>(AJ1115+AI1115)/30*7</f>
        <v>7.4666666666666668</v>
      </c>
      <c r="AL1115" s="6">
        <f>IF(AK1115-C1115&lt;0,0,AK1115-C1115)</f>
        <v>0</v>
      </c>
      <c r="AM1115" s="6">
        <f>IF(AL1115-R1115-S1115&lt;0,0,AL1115-R1115-S1115)</f>
        <v>0</v>
      </c>
      <c r="AN1115" s="5" t="str">
        <f t="shared" si="35"/>
        <v/>
      </c>
      <c r="AO1115" s="5">
        <v>0</v>
      </c>
      <c r="AP1115" s="9"/>
      <c r="AQ1115" s="5" t="s">
        <v>1210</v>
      </c>
      <c r="AR1115" s="5" t="s">
        <v>1210</v>
      </c>
      <c r="AS1115" s="8"/>
      <c r="AT1115" s="8"/>
      <c r="AU1115" s="8"/>
      <c r="AV1115" s="8"/>
      <c r="AW1115" s="8"/>
      <c r="AX1115" s="8"/>
      <c r="AY1115" s="8"/>
      <c r="AZ1115" s="8"/>
    </row>
    <row r="1116" spans="1:52">
      <c r="A1116" s="5" t="s">
        <v>1002</v>
      </c>
      <c r="B1116" s="5">
        <v>1376</v>
      </c>
      <c r="C1116" s="19">
        <v>837</v>
      </c>
      <c r="E1116" s="14"/>
      <c r="F1116" s="11"/>
      <c r="G1116" s="11"/>
      <c r="H1116" s="11"/>
      <c r="I1116" s="11"/>
      <c r="J1116" s="25"/>
      <c r="K1116" s="11"/>
      <c r="L1116" s="11"/>
      <c r="M1116" s="19">
        <v>0</v>
      </c>
      <c r="O1116" s="6"/>
      <c r="P1116" s="16">
        <v>710</v>
      </c>
      <c r="Q1116" s="16">
        <v>625</v>
      </c>
      <c r="R1116" s="22"/>
      <c r="S1116" s="22">
        <f t="shared" si="34"/>
        <v>0</v>
      </c>
      <c r="T1116" s="5">
        <v>1508</v>
      </c>
      <c r="U1116" s="5">
        <v>885</v>
      </c>
      <c r="Y1116" s="8"/>
      <c r="Z1116" s="8"/>
      <c r="AA1116" s="8"/>
      <c r="AB1116" s="8"/>
      <c r="AC1116" s="8"/>
      <c r="AD1116" s="8"/>
      <c r="AE1116" s="25"/>
      <c r="AF1116" s="11"/>
      <c r="AG1116" s="25"/>
      <c r="AH1116" s="11"/>
      <c r="AI1116" s="11">
        <v>95</v>
      </c>
      <c r="AJ1116" s="19">
        <v>0</v>
      </c>
      <c r="AK1116" s="12">
        <f>(AJ1116+AI1116)/30*7</f>
        <v>22.166666666666664</v>
      </c>
      <c r="AL1116" s="6">
        <f>IF(AK1116-C1116&lt;0,0,AK1116-C1116)</f>
        <v>0</v>
      </c>
      <c r="AM1116" s="6">
        <f>IF(AL1116-R1116-S1116&lt;0,0,AL1116-R1116-S1116)</f>
        <v>0</v>
      </c>
      <c r="AN1116" s="5" t="str">
        <f t="shared" si="35"/>
        <v/>
      </c>
      <c r="AO1116" s="5">
        <v>0</v>
      </c>
      <c r="AP1116" s="9"/>
      <c r="AQ1116" s="5" t="s">
        <v>1210</v>
      </c>
      <c r="AR1116" s="5" t="s">
        <v>1210</v>
      </c>
      <c r="AS1116" s="8"/>
      <c r="AT1116" s="8"/>
      <c r="AU1116" s="8"/>
      <c r="AV1116" s="8"/>
      <c r="AW1116" s="8"/>
      <c r="AX1116" s="8"/>
      <c r="AY1116" s="8"/>
      <c r="AZ1116" s="8"/>
    </row>
    <row r="1117" spans="1:52">
      <c r="A1117" s="5" t="s">
        <v>898</v>
      </c>
      <c r="B1117" s="5">
        <v>1392</v>
      </c>
      <c r="C1117" s="19">
        <v>416</v>
      </c>
      <c r="E1117" s="14"/>
      <c r="F1117" s="11"/>
      <c r="G1117" s="11"/>
      <c r="H1117" s="11"/>
      <c r="I1117" s="11"/>
      <c r="J1117" s="25"/>
      <c r="K1117" s="11"/>
      <c r="L1117" s="11"/>
      <c r="M1117" s="19">
        <v>0</v>
      </c>
      <c r="O1117" s="6"/>
      <c r="P1117" s="16">
        <v>0</v>
      </c>
      <c r="Q1117" s="16">
        <v>0</v>
      </c>
      <c r="R1117" s="22"/>
      <c r="S1117" s="22">
        <f t="shared" si="34"/>
        <v>0</v>
      </c>
      <c r="T1117" s="5">
        <v>1083</v>
      </c>
      <c r="U1117" s="5">
        <v>580</v>
      </c>
      <c r="Y1117" s="8"/>
      <c r="Z1117" s="8"/>
      <c r="AA1117" s="8"/>
      <c r="AB1117" s="8"/>
      <c r="AC1117" s="8"/>
      <c r="AD1117" s="8"/>
      <c r="AE1117" s="25"/>
      <c r="AF1117" s="11"/>
      <c r="AG1117" s="25"/>
      <c r="AH1117" s="11"/>
      <c r="AI1117" s="11">
        <v>21</v>
      </c>
      <c r="AJ1117" s="19">
        <v>0</v>
      </c>
      <c r="AK1117" s="12">
        <f>(AJ1117+AI1117)/30*7</f>
        <v>4.8999999999999995</v>
      </c>
      <c r="AL1117" s="6">
        <f>IF(AK1117-C1117&lt;0,0,AK1117-C1117)</f>
        <v>0</v>
      </c>
      <c r="AM1117" s="6">
        <f>IF(AL1117-R1117-S1117&lt;0,0,AL1117-R1117-S1117)</f>
        <v>0</v>
      </c>
      <c r="AN1117" s="5" t="str">
        <f t="shared" si="35"/>
        <v/>
      </c>
      <c r="AO1117" s="5">
        <v>0</v>
      </c>
      <c r="AP1117" s="9"/>
      <c r="AQ1117" s="5" t="s">
        <v>1210</v>
      </c>
      <c r="AR1117" s="5" t="s">
        <v>1210</v>
      </c>
      <c r="AS1117" s="8"/>
      <c r="AT1117" s="8"/>
      <c r="AU1117" s="8"/>
      <c r="AV1117" s="8"/>
      <c r="AW1117" s="8"/>
      <c r="AX1117" s="8"/>
      <c r="AY1117" s="8"/>
      <c r="AZ1117" s="8"/>
    </row>
    <row r="1118" spans="1:52">
      <c r="A1118" s="5" t="s">
        <v>765</v>
      </c>
      <c r="B1118" s="5">
        <v>1393</v>
      </c>
      <c r="C1118" s="19">
        <v>606</v>
      </c>
      <c r="E1118" s="14"/>
      <c r="F1118" s="11"/>
      <c r="G1118" s="11"/>
      <c r="H1118" s="11"/>
      <c r="I1118" s="11"/>
      <c r="J1118" s="25"/>
      <c r="K1118" s="11"/>
      <c r="L1118" s="11"/>
      <c r="M1118" s="19">
        <v>0</v>
      </c>
      <c r="O1118" s="6"/>
      <c r="P1118" s="16">
        <v>0</v>
      </c>
      <c r="Q1118" s="16">
        <v>0</v>
      </c>
      <c r="R1118" s="22"/>
      <c r="S1118" s="22">
        <f t="shared" si="34"/>
        <v>0</v>
      </c>
      <c r="T1118" s="5">
        <v>905</v>
      </c>
      <c r="U1118" s="5">
        <v>425</v>
      </c>
      <c r="Y1118" s="8"/>
      <c r="Z1118" s="8"/>
      <c r="AA1118" s="8"/>
      <c r="AB1118" s="8"/>
      <c r="AC1118" s="8"/>
      <c r="AD1118" s="8"/>
      <c r="AE1118" s="25"/>
      <c r="AF1118" s="11"/>
      <c r="AG1118" s="25"/>
      <c r="AH1118" s="11"/>
      <c r="AI1118" s="11">
        <v>51</v>
      </c>
      <c r="AJ1118" s="19">
        <v>0</v>
      </c>
      <c r="AK1118" s="12">
        <f>(AJ1118+AI1118)/30*7</f>
        <v>11.9</v>
      </c>
      <c r="AL1118" s="6">
        <f>IF(AK1118-C1118&lt;0,0,AK1118-C1118)</f>
        <v>0</v>
      </c>
      <c r="AM1118" s="6">
        <f>IF(AL1118-R1118-S1118&lt;0,0,AL1118-R1118-S1118)</f>
        <v>0</v>
      </c>
      <c r="AN1118" s="5" t="str">
        <f t="shared" si="35"/>
        <v/>
      </c>
      <c r="AO1118" s="5">
        <v>0</v>
      </c>
      <c r="AP1118" s="9"/>
      <c r="AQ1118" s="5" t="s">
        <v>1210</v>
      </c>
      <c r="AR1118" s="5" t="s">
        <v>1210</v>
      </c>
      <c r="AS1118" s="8"/>
      <c r="AT1118" s="8"/>
      <c r="AU1118" s="8"/>
      <c r="AV1118" s="8"/>
      <c r="AW1118" s="8"/>
      <c r="AX1118" s="8"/>
      <c r="AY1118" s="8"/>
      <c r="AZ1118" s="8"/>
    </row>
    <row r="1119" spans="1:52">
      <c r="A1119" s="5" t="s">
        <v>767</v>
      </c>
      <c r="B1119" s="5">
        <v>1403</v>
      </c>
      <c r="C1119" s="19">
        <v>860</v>
      </c>
      <c r="E1119" s="14"/>
      <c r="F1119" s="11"/>
      <c r="G1119" s="11"/>
      <c r="H1119" s="11"/>
      <c r="I1119" s="11"/>
      <c r="J1119" s="25"/>
      <c r="K1119" s="11"/>
      <c r="L1119" s="11"/>
      <c r="M1119" s="19">
        <v>0</v>
      </c>
      <c r="O1119" s="6"/>
      <c r="P1119" s="16">
        <v>998</v>
      </c>
      <c r="Q1119" s="16">
        <v>350</v>
      </c>
      <c r="R1119" s="22"/>
      <c r="S1119" s="22">
        <f t="shared" si="34"/>
        <v>0</v>
      </c>
      <c r="T1119" s="5" t="s">
        <v>1210</v>
      </c>
      <c r="U1119" s="5" t="s">
        <v>1210</v>
      </c>
      <c r="Y1119" s="8"/>
      <c r="Z1119" s="8"/>
      <c r="AA1119" s="8"/>
      <c r="AB1119" s="8"/>
      <c r="AC1119" s="8"/>
      <c r="AD1119" s="8"/>
      <c r="AE1119" s="25"/>
      <c r="AF1119" s="11"/>
      <c r="AG1119" s="25"/>
      <c r="AH1119" s="11"/>
      <c r="AI1119" s="11">
        <v>28</v>
      </c>
      <c r="AJ1119" s="19">
        <v>0</v>
      </c>
      <c r="AK1119" s="12">
        <f>(AJ1119+AI1119)/30*7</f>
        <v>6.5333333333333332</v>
      </c>
      <c r="AL1119" s="6">
        <f>IF(AK1119-C1119&lt;0,0,AK1119-C1119)</f>
        <v>0</v>
      </c>
      <c r="AM1119" s="6">
        <f>IF(AL1119-R1119-S1119&lt;0,0,AL1119-R1119-S1119)</f>
        <v>0</v>
      </c>
      <c r="AN1119" s="5" t="str">
        <f t="shared" si="35"/>
        <v/>
      </c>
      <c r="AO1119" s="5">
        <v>0</v>
      </c>
      <c r="AP1119" s="9"/>
      <c r="AQ1119" s="5" t="s">
        <v>1210</v>
      </c>
      <c r="AR1119" s="5" t="s">
        <v>1230</v>
      </c>
      <c r="AS1119" s="8"/>
      <c r="AT1119" s="8"/>
      <c r="AU1119" s="8"/>
      <c r="AV1119" s="8"/>
      <c r="AW1119" s="8"/>
      <c r="AX1119" s="8"/>
      <c r="AY1119" s="8"/>
      <c r="AZ1119" s="8"/>
    </row>
    <row r="1120" spans="1:52">
      <c r="A1120" s="5" t="s">
        <v>713</v>
      </c>
      <c r="B1120" s="5">
        <v>1409</v>
      </c>
      <c r="C1120" s="19">
        <v>661</v>
      </c>
      <c r="E1120" s="14"/>
      <c r="F1120" s="11"/>
      <c r="G1120" s="11"/>
      <c r="H1120" s="11"/>
      <c r="I1120" s="11"/>
      <c r="J1120" s="25"/>
      <c r="K1120" s="11"/>
      <c r="L1120" s="11"/>
      <c r="M1120" s="19">
        <v>0</v>
      </c>
      <c r="O1120" s="6"/>
      <c r="P1120" s="16">
        <v>0</v>
      </c>
      <c r="Q1120" s="16">
        <v>0</v>
      </c>
      <c r="R1120" s="22"/>
      <c r="S1120" s="22">
        <f t="shared" si="34"/>
        <v>0</v>
      </c>
      <c r="T1120" s="5" t="s">
        <v>1210</v>
      </c>
      <c r="U1120" s="5" t="s">
        <v>1210</v>
      </c>
      <c r="Y1120" s="8"/>
      <c r="Z1120" s="8"/>
      <c r="AA1120" s="8"/>
      <c r="AB1120" s="8"/>
      <c r="AC1120" s="8"/>
      <c r="AD1120" s="8"/>
      <c r="AE1120" s="25"/>
      <c r="AF1120" s="11"/>
      <c r="AG1120" s="25"/>
      <c r="AH1120" s="11"/>
      <c r="AI1120" s="11">
        <v>70</v>
      </c>
      <c r="AJ1120" s="19">
        <v>0</v>
      </c>
      <c r="AK1120" s="12">
        <f>(AJ1120+AI1120)/30*7</f>
        <v>16.333333333333336</v>
      </c>
      <c r="AL1120" s="6">
        <f>IF(AK1120-C1120&lt;0,0,AK1120-C1120)</f>
        <v>0</v>
      </c>
      <c r="AM1120" s="6">
        <f>IF(AL1120-R1120-S1120&lt;0,0,AL1120-R1120-S1120)</f>
        <v>0</v>
      </c>
      <c r="AN1120" s="5" t="str">
        <f t="shared" si="35"/>
        <v/>
      </c>
      <c r="AO1120" s="5">
        <v>0</v>
      </c>
      <c r="AP1120" s="9"/>
      <c r="AQ1120" s="5" t="s">
        <v>1210</v>
      </c>
      <c r="AR1120" s="5" t="s">
        <v>1210</v>
      </c>
      <c r="AS1120" s="8"/>
      <c r="AT1120" s="8"/>
      <c r="AU1120" s="8"/>
      <c r="AV1120" s="8"/>
      <c r="AW1120" s="8"/>
      <c r="AX1120" s="8"/>
      <c r="AY1120" s="8"/>
      <c r="AZ1120" s="8"/>
    </row>
    <row r="1121" spans="1:52">
      <c r="A1121" s="5" t="s">
        <v>583</v>
      </c>
      <c r="B1121" s="5">
        <v>1411</v>
      </c>
      <c r="C1121" s="19">
        <v>929</v>
      </c>
      <c r="E1121" s="14"/>
      <c r="F1121" s="11"/>
      <c r="G1121" s="11"/>
      <c r="H1121" s="11"/>
      <c r="I1121" s="11"/>
      <c r="J1121" s="25"/>
      <c r="K1121" s="11"/>
      <c r="L1121" s="11"/>
      <c r="M1121" s="19">
        <v>0</v>
      </c>
      <c r="O1121" s="6"/>
      <c r="P1121" s="16">
        <v>0</v>
      </c>
      <c r="Q1121" s="16">
        <v>0</v>
      </c>
      <c r="R1121" s="22"/>
      <c r="S1121" s="22">
        <f t="shared" si="34"/>
        <v>0</v>
      </c>
      <c r="T1121" s="5">
        <v>1565</v>
      </c>
      <c r="U1121" s="5">
        <v>467</v>
      </c>
      <c r="Y1121" s="8"/>
      <c r="Z1121" s="8"/>
      <c r="AA1121" s="8"/>
      <c r="AB1121" s="8"/>
      <c r="AC1121" s="8"/>
      <c r="AD1121" s="8"/>
      <c r="AE1121" s="25"/>
      <c r="AF1121" s="11"/>
      <c r="AG1121" s="25"/>
      <c r="AH1121" s="11"/>
      <c r="AI1121" s="11">
        <v>78</v>
      </c>
      <c r="AJ1121" s="19">
        <v>0</v>
      </c>
      <c r="AK1121" s="12">
        <f>(AJ1121+AI1121)/30*7</f>
        <v>18.2</v>
      </c>
      <c r="AL1121" s="6">
        <f>IF(AK1121-C1121&lt;0,0,AK1121-C1121)</f>
        <v>0</v>
      </c>
      <c r="AM1121" s="6">
        <f>IF(AL1121-R1121-S1121&lt;0,0,AL1121-R1121-S1121)</f>
        <v>0</v>
      </c>
      <c r="AN1121" s="5" t="str">
        <f t="shared" si="35"/>
        <v/>
      </c>
      <c r="AO1121" s="5">
        <v>0</v>
      </c>
      <c r="AP1121" s="9"/>
      <c r="AQ1121" s="5" t="s">
        <v>1210</v>
      </c>
      <c r="AR1121" s="5" t="s">
        <v>1210</v>
      </c>
      <c r="AS1121" s="8"/>
      <c r="AT1121" s="8"/>
      <c r="AU1121" s="8"/>
      <c r="AV1121" s="8"/>
      <c r="AW1121" s="8"/>
      <c r="AX1121" s="8"/>
      <c r="AY1121" s="8"/>
      <c r="AZ1121" s="8"/>
    </row>
    <row r="1122" spans="1:52">
      <c r="A1122" s="5" t="s">
        <v>934</v>
      </c>
      <c r="B1122" s="5">
        <v>1425</v>
      </c>
      <c r="C1122" s="19">
        <v>262</v>
      </c>
      <c r="E1122" s="14"/>
      <c r="F1122" s="11"/>
      <c r="G1122" s="11"/>
      <c r="H1122" s="11"/>
      <c r="I1122" s="11"/>
      <c r="J1122" s="25"/>
      <c r="K1122" s="11"/>
      <c r="L1122" s="11"/>
      <c r="M1122" s="19">
        <v>0</v>
      </c>
      <c r="O1122" s="6"/>
      <c r="P1122" s="16">
        <v>0</v>
      </c>
      <c r="Q1122" s="16">
        <v>0</v>
      </c>
      <c r="R1122" s="22"/>
      <c r="S1122" s="22">
        <f t="shared" si="34"/>
        <v>0</v>
      </c>
      <c r="T1122" s="5" t="s">
        <v>1210</v>
      </c>
      <c r="U1122" s="5" t="s">
        <v>1210</v>
      </c>
      <c r="Y1122" s="8"/>
      <c r="Z1122" s="8"/>
      <c r="AA1122" s="8"/>
      <c r="AB1122" s="8"/>
      <c r="AC1122" s="8"/>
      <c r="AD1122" s="8"/>
      <c r="AE1122" s="25"/>
      <c r="AF1122" s="11"/>
      <c r="AG1122" s="25"/>
      <c r="AH1122" s="11"/>
      <c r="AI1122" s="11">
        <v>78</v>
      </c>
      <c r="AJ1122" s="19">
        <v>0</v>
      </c>
      <c r="AK1122" s="12">
        <f>(AJ1122+AI1122)/30*7</f>
        <v>18.2</v>
      </c>
      <c r="AL1122" s="6">
        <f>IF(AK1122-C1122&lt;0,0,AK1122-C1122)</f>
        <v>0</v>
      </c>
      <c r="AM1122" s="6">
        <f>IF(AL1122-R1122-S1122&lt;0,0,AL1122-R1122-S1122)</f>
        <v>0</v>
      </c>
      <c r="AN1122" s="5" t="str">
        <f t="shared" si="35"/>
        <v/>
      </c>
      <c r="AO1122" s="5">
        <v>0</v>
      </c>
      <c r="AP1122" s="9"/>
      <c r="AQ1122" s="5" t="s">
        <v>1210</v>
      </c>
      <c r="AR1122" s="5" t="s">
        <v>1210</v>
      </c>
      <c r="AS1122" s="8"/>
      <c r="AT1122" s="8"/>
      <c r="AU1122" s="8"/>
      <c r="AV1122" s="8"/>
      <c r="AW1122" s="8"/>
      <c r="AX1122" s="8"/>
      <c r="AY1122" s="8"/>
      <c r="AZ1122" s="8"/>
    </row>
    <row r="1123" spans="1:52">
      <c r="A1123" s="5" t="s">
        <v>809</v>
      </c>
      <c r="B1123" s="5">
        <v>1426</v>
      </c>
      <c r="C1123" s="19">
        <v>475</v>
      </c>
      <c r="E1123" s="14"/>
      <c r="F1123" s="11"/>
      <c r="G1123" s="11"/>
      <c r="H1123" s="11"/>
      <c r="I1123" s="11"/>
      <c r="J1123" s="25"/>
      <c r="K1123" s="11"/>
      <c r="L1123" s="11"/>
      <c r="M1123" s="19">
        <v>0</v>
      </c>
      <c r="O1123" s="6"/>
      <c r="P1123" s="16">
        <v>0</v>
      </c>
      <c r="Q1123" s="16">
        <v>378</v>
      </c>
      <c r="R1123" s="22"/>
      <c r="S1123" s="22">
        <f t="shared" si="34"/>
        <v>0</v>
      </c>
      <c r="T1123" s="5" t="s">
        <v>1210</v>
      </c>
      <c r="U1123" s="5" t="s">
        <v>1210</v>
      </c>
      <c r="Y1123" s="8"/>
      <c r="Z1123" s="8"/>
      <c r="AA1123" s="8"/>
      <c r="AB1123" s="8"/>
      <c r="AC1123" s="8"/>
      <c r="AD1123" s="8"/>
      <c r="AE1123" s="25"/>
      <c r="AF1123" s="11"/>
      <c r="AG1123" s="25"/>
      <c r="AH1123" s="11"/>
      <c r="AI1123" s="11">
        <v>7</v>
      </c>
      <c r="AJ1123" s="19">
        <v>0</v>
      </c>
      <c r="AK1123" s="12">
        <f>(AJ1123+AI1123)/30*7</f>
        <v>1.6333333333333333</v>
      </c>
      <c r="AL1123" s="6">
        <f>IF(AK1123-C1123&lt;0,0,AK1123-C1123)</f>
        <v>0</v>
      </c>
      <c r="AM1123" s="6">
        <f>IF(AL1123-R1123-S1123&lt;0,0,AL1123-R1123-S1123)</f>
        <v>0</v>
      </c>
      <c r="AN1123" s="5" t="str">
        <f t="shared" si="35"/>
        <v/>
      </c>
      <c r="AO1123" s="5">
        <v>0</v>
      </c>
      <c r="AP1123" s="9"/>
      <c r="AQ1123" s="5" t="s">
        <v>1210</v>
      </c>
      <c r="AR1123" s="5" t="s">
        <v>1210</v>
      </c>
      <c r="AS1123" s="8"/>
      <c r="AT1123" s="8"/>
      <c r="AU1123" s="8"/>
      <c r="AV1123" s="8"/>
      <c r="AW1123" s="8"/>
      <c r="AX1123" s="8"/>
      <c r="AY1123" s="8"/>
      <c r="AZ1123" s="8"/>
    </row>
    <row r="1124" spans="1:52">
      <c r="A1124" s="5" t="s">
        <v>738</v>
      </c>
      <c r="B1124" s="5">
        <v>1504</v>
      </c>
      <c r="C1124" s="19">
        <v>545</v>
      </c>
      <c r="E1124" s="14"/>
      <c r="F1124" s="11"/>
      <c r="G1124" s="11"/>
      <c r="H1124" s="11"/>
      <c r="I1124" s="11"/>
      <c r="J1124" s="25"/>
      <c r="K1124" s="11"/>
      <c r="L1124" s="11"/>
      <c r="M1124" s="19">
        <v>0</v>
      </c>
      <c r="O1124" s="6"/>
      <c r="P1124" s="16">
        <v>0</v>
      </c>
      <c r="Q1124" s="16">
        <v>0</v>
      </c>
      <c r="R1124" s="22"/>
      <c r="S1124" s="22">
        <f t="shared" si="34"/>
        <v>0</v>
      </c>
      <c r="T1124" s="5" t="s">
        <v>1210</v>
      </c>
      <c r="U1124" s="5" t="s">
        <v>1210</v>
      </c>
      <c r="Y1124" s="8"/>
      <c r="Z1124" s="8"/>
      <c r="AA1124" s="8"/>
      <c r="AB1124" s="8"/>
      <c r="AC1124" s="8"/>
      <c r="AD1124" s="8"/>
      <c r="AE1124" s="25"/>
      <c r="AF1124" s="11"/>
      <c r="AG1124" s="25"/>
      <c r="AH1124" s="11"/>
      <c r="AI1124" s="11">
        <v>32</v>
      </c>
      <c r="AJ1124" s="19">
        <v>0</v>
      </c>
      <c r="AK1124" s="12">
        <f>(AJ1124+AI1124)/30*7</f>
        <v>7.4666666666666668</v>
      </c>
      <c r="AL1124" s="6">
        <f>IF(AK1124-C1124&lt;0,0,AK1124-C1124)</f>
        <v>0</v>
      </c>
      <c r="AM1124" s="6">
        <f>IF(AL1124-R1124-S1124&lt;0,0,AL1124-R1124-S1124)</f>
        <v>0</v>
      </c>
      <c r="AN1124" s="5" t="str">
        <f t="shared" si="35"/>
        <v/>
      </c>
      <c r="AO1124" s="5">
        <v>0</v>
      </c>
      <c r="AP1124" s="9"/>
      <c r="AQ1124" s="5" t="s">
        <v>1210</v>
      </c>
      <c r="AR1124" s="5" t="s">
        <v>1210</v>
      </c>
      <c r="AS1124" s="8"/>
      <c r="AT1124" s="8"/>
      <c r="AU1124" s="8"/>
      <c r="AV1124" s="8"/>
      <c r="AW1124" s="8"/>
      <c r="AX1124" s="8"/>
      <c r="AY1124" s="8"/>
      <c r="AZ1124" s="8"/>
    </row>
    <row r="1125" spans="1:52">
      <c r="A1125" s="5" t="s">
        <v>968</v>
      </c>
      <c r="B1125" s="5">
        <v>1546</v>
      </c>
      <c r="C1125" s="19">
        <v>971</v>
      </c>
      <c r="E1125" s="14"/>
      <c r="F1125" s="11"/>
      <c r="G1125" s="11"/>
      <c r="H1125" s="11"/>
      <c r="I1125" s="11"/>
      <c r="J1125" s="25"/>
      <c r="K1125" s="11"/>
      <c r="L1125" s="11"/>
      <c r="M1125" s="19">
        <v>0</v>
      </c>
      <c r="O1125" s="6"/>
      <c r="P1125" s="16">
        <v>0</v>
      </c>
      <c r="Q1125" s="16">
        <v>0</v>
      </c>
      <c r="R1125" s="22"/>
      <c r="S1125" s="22">
        <f t="shared" si="34"/>
        <v>0</v>
      </c>
      <c r="T1125" s="5" t="s">
        <v>1210</v>
      </c>
      <c r="U1125" s="5" t="s">
        <v>1210</v>
      </c>
      <c r="Y1125" s="8"/>
      <c r="Z1125" s="8"/>
      <c r="AA1125" s="8"/>
      <c r="AB1125" s="8"/>
      <c r="AC1125" s="8"/>
      <c r="AD1125" s="8"/>
      <c r="AE1125" s="25"/>
      <c r="AF1125" s="11"/>
      <c r="AG1125" s="25"/>
      <c r="AH1125" s="11"/>
      <c r="AI1125" s="11">
        <v>94</v>
      </c>
      <c r="AJ1125" s="19">
        <v>0</v>
      </c>
      <c r="AK1125" s="12">
        <f>(AJ1125+AI1125)/30*7</f>
        <v>21.933333333333334</v>
      </c>
      <c r="AL1125" s="6">
        <f>IF(AK1125-C1125&lt;0,0,AK1125-C1125)</f>
        <v>0</v>
      </c>
      <c r="AM1125" s="6">
        <f>IF(AL1125-R1125-S1125&lt;0,0,AL1125-R1125-S1125)</f>
        <v>0</v>
      </c>
      <c r="AN1125" s="5" t="str">
        <f t="shared" si="35"/>
        <v/>
      </c>
      <c r="AO1125" s="5">
        <v>0</v>
      </c>
      <c r="AP1125" s="9"/>
      <c r="AQ1125" s="5" t="s">
        <v>1210</v>
      </c>
      <c r="AR1125" s="5" t="s">
        <v>1210</v>
      </c>
      <c r="AS1125" s="8"/>
      <c r="AT1125" s="8"/>
      <c r="AU1125" s="8"/>
      <c r="AV1125" s="8"/>
      <c r="AW1125" s="8"/>
      <c r="AX1125" s="8"/>
      <c r="AY1125" s="8"/>
      <c r="AZ1125" s="8"/>
    </row>
    <row r="1126" spans="1:52">
      <c r="A1126" s="5" t="s">
        <v>574</v>
      </c>
      <c r="B1126" s="5">
        <v>1549</v>
      </c>
      <c r="C1126" s="19">
        <v>706</v>
      </c>
      <c r="E1126" s="14"/>
      <c r="F1126" s="11"/>
      <c r="G1126" s="11"/>
      <c r="H1126" s="11"/>
      <c r="I1126" s="11"/>
      <c r="J1126" s="25"/>
      <c r="K1126" s="11"/>
      <c r="L1126" s="11"/>
      <c r="M1126" s="19">
        <v>0</v>
      </c>
      <c r="O1126" s="6"/>
      <c r="P1126" s="16">
        <v>0</v>
      </c>
      <c r="Q1126" s="16">
        <v>0</v>
      </c>
      <c r="R1126" s="22"/>
      <c r="S1126" s="22">
        <f t="shared" si="34"/>
        <v>0</v>
      </c>
      <c r="T1126" s="5" t="s">
        <v>1210</v>
      </c>
      <c r="U1126" s="5" t="s">
        <v>1210</v>
      </c>
      <c r="Y1126" s="8"/>
      <c r="Z1126" s="8"/>
      <c r="AA1126" s="8"/>
      <c r="AB1126" s="8"/>
      <c r="AC1126" s="8"/>
      <c r="AD1126" s="8"/>
      <c r="AE1126" s="25"/>
      <c r="AF1126" s="11"/>
      <c r="AG1126" s="25"/>
      <c r="AH1126" s="11"/>
      <c r="AI1126" s="11">
        <v>96</v>
      </c>
      <c r="AJ1126" s="19">
        <v>0</v>
      </c>
      <c r="AK1126" s="12">
        <f>(AJ1126+AI1126)/30*7</f>
        <v>22.400000000000002</v>
      </c>
      <c r="AL1126" s="6">
        <f>IF(AK1126-C1126&lt;0,0,AK1126-C1126)</f>
        <v>0</v>
      </c>
      <c r="AM1126" s="6">
        <f>IF(AL1126-R1126-S1126&lt;0,0,AL1126-R1126-S1126)</f>
        <v>0</v>
      </c>
      <c r="AN1126" s="5" t="str">
        <f t="shared" si="35"/>
        <v/>
      </c>
      <c r="AO1126" s="5">
        <v>0</v>
      </c>
      <c r="AP1126" s="9"/>
      <c r="AQ1126" s="5" t="s">
        <v>1210</v>
      </c>
      <c r="AR1126" s="5" t="s">
        <v>1210</v>
      </c>
      <c r="AS1126" s="8"/>
      <c r="AT1126" s="8"/>
      <c r="AU1126" s="8"/>
      <c r="AV1126" s="8"/>
      <c r="AW1126" s="8"/>
      <c r="AX1126" s="8"/>
      <c r="AY1126" s="8"/>
      <c r="AZ1126" s="8"/>
    </row>
    <row r="1127" spans="1:52">
      <c r="A1127" s="5" t="s">
        <v>768</v>
      </c>
      <c r="B1127" s="5">
        <v>1608</v>
      </c>
      <c r="C1127" s="19">
        <v>752</v>
      </c>
      <c r="E1127" s="14"/>
      <c r="F1127" s="11"/>
      <c r="G1127" s="11"/>
      <c r="H1127" s="11"/>
      <c r="I1127" s="11"/>
      <c r="J1127" s="25"/>
      <c r="K1127" s="11"/>
      <c r="L1127" s="11"/>
      <c r="M1127" s="19">
        <v>0</v>
      </c>
      <c r="O1127" s="6"/>
      <c r="P1127" s="16">
        <v>740</v>
      </c>
      <c r="Q1127" s="16">
        <v>0</v>
      </c>
      <c r="R1127" s="22"/>
      <c r="S1127" s="22">
        <f t="shared" si="34"/>
        <v>0</v>
      </c>
      <c r="T1127" s="5">
        <v>1506</v>
      </c>
      <c r="U1127" s="5">
        <v>442</v>
      </c>
      <c r="Y1127" s="8"/>
      <c r="Z1127" s="8"/>
      <c r="AA1127" s="8"/>
      <c r="AB1127" s="8"/>
      <c r="AC1127" s="8"/>
      <c r="AD1127" s="8"/>
      <c r="AE1127" s="25"/>
      <c r="AF1127" s="11"/>
      <c r="AG1127" s="25"/>
      <c r="AH1127" s="11"/>
      <c r="AI1127" s="11">
        <v>24</v>
      </c>
      <c r="AJ1127" s="19">
        <v>0</v>
      </c>
      <c r="AK1127" s="12">
        <f>(AJ1127+AI1127)/30*7</f>
        <v>5.6000000000000005</v>
      </c>
      <c r="AL1127" s="6">
        <f>IF(AK1127-C1127&lt;0,0,AK1127-C1127)</f>
        <v>0</v>
      </c>
      <c r="AM1127" s="6">
        <f>IF(AL1127-R1127-S1127&lt;0,0,AL1127-R1127-S1127)</f>
        <v>0</v>
      </c>
      <c r="AN1127" s="5" t="str">
        <f t="shared" si="35"/>
        <v/>
      </c>
      <c r="AO1127" s="5">
        <v>0</v>
      </c>
      <c r="AP1127" s="9"/>
      <c r="AQ1127" s="5" t="s">
        <v>1210</v>
      </c>
      <c r="AR1127" s="5" t="s">
        <v>1230</v>
      </c>
      <c r="AS1127" s="8"/>
      <c r="AT1127" s="8"/>
      <c r="AU1127" s="8"/>
      <c r="AV1127" s="8"/>
      <c r="AW1127" s="8"/>
      <c r="AX1127" s="8"/>
      <c r="AY1127" s="8"/>
      <c r="AZ1127" s="8"/>
    </row>
    <row r="1128" spans="1:52">
      <c r="A1128" s="5" t="s">
        <v>936</v>
      </c>
      <c r="B1128" s="5">
        <v>1636</v>
      </c>
      <c r="C1128" s="19">
        <v>754</v>
      </c>
      <c r="E1128" s="14"/>
      <c r="F1128" s="11"/>
      <c r="G1128" s="11"/>
      <c r="H1128" s="11"/>
      <c r="I1128" s="11"/>
      <c r="J1128" s="25"/>
      <c r="K1128" s="11"/>
      <c r="L1128" s="11"/>
      <c r="M1128" s="19">
        <v>2</v>
      </c>
      <c r="O1128" s="6"/>
      <c r="P1128" s="16">
        <v>868</v>
      </c>
      <c r="Q1128" s="16">
        <v>0</v>
      </c>
      <c r="R1128" s="22"/>
      <c r="S1128" s="22">
        <f t="shared" si="34"/>
        <v>0</v>
      </c>
      <c r="T1128" s="5">
        <v>1636</v>
      </c>
      <c r="U1128" s="5">
        <v>754</v>
      </c>
      <c r="Y1128" s="8"/>
      <c r="Z1128" s="8"/>
      <c r="AA1128" s="8"/>
      <c r="AB1128" s="8"/>
      <c r="AC1128" s="8"/>
      <c r="AD1128" s="8"/>
      <c r="AE1128" s="25"/>
      <c r="AF1128" s="11"/>
      <c r="AG1128" s="25"/>
      <c r="AH1128" s="11"/>
      <c r="AI1128" s="11">
        <v>75</v>
      </c>
      <c r="AJ1128" s="19">
        <v>0</v>
      </c>
      <c r="AK1128" s="12">
        <f>(AJ1128+AI1128)/30*7</f>
        <v>17.5</v>
      </c>
      <c r="AL1128" s="6">
        <f>IF(AK1128-C1128&lt;0,0,AK1128-C1128)</f>
        <v>0</v>
      </c>
      <c r="AM1128" s="6">
        <f>IF(AL1128-R1128-S1128&lt;0,0,AL1128-R1128-S1128)</f>
        <v>0</v>
      </c>
      <c r="AN1128" s="5" t="str">
        <f t="shared" si="35"/>
        <v/>
      </c>
      <c r="AO1128" s="5">
        <v>0</v>
      </c>
      <c r="AP1128" s="9"/>
      <c r="AQ1128" s="5" t="s">
        <v>1210</v>
      </c>
      <c r="AR1128" s="5" t="s">
        <v>1230</v>
      </c>
      <c r="AS1128" s="8"/>
      <c r="AT1128" s="8"/>
      <c r="AU1128" s="8"/>
      <c r="AV1128" s="8"/>
      <c r="AW1128" s="8"/>
      <c r="AX1128" s="8"/>
      <c r="AY1128" s="8"/>
      <c r="AZ1128" s="8"/>
    </row>
    <row r="1129" spans="1:52">
      <c r="A1129" s="5" t="s">
        <v>962</v>
      </c>
      <c r="B1129" s="5">
        <v>1656</v>
      </c>
      <c r="C1129" s="19">
        <v>584</v>
      </c>
      <c r="E1129" s="14"/>
      <c r="F1129" s="11"/>
      <c r="G1129" s="11"/>
      <c r="H1129" s="11"/>
      <c r="I1129" s="11"/>
      <c r="J1129" s="25"/>
      <c r="K1129" s="11"/>
      <c r="L1129" s="11"/>
      <c r="M1129" s="19">
        <v>0</v>
      </c>
      <c r="O1129" s="6"/>
      <c r="P1129" s="16">
        <v>751</v>
      </c>
      <c r="Q1129" s="16">
        <v>459</v>
      </c>
      <c r="R1129" s="22"/>
      <c r="S1129" s="22">
        <f t="shared" si="34"/>
        <v>0</v>
      </c>
      <c r="T1129" s="5" t="s">
        <v>1210</v>
      </c>
      <c r="U1129" s="5" t="s">
        <v>1210</v>
      </c>
      <c r="Y1129" s="8"/>
      <c r="Z1129" s="8"/>
      <c r="AA1129" s="8"/>
      <c r="AB1129" s="8"/>
      <c r="AC1129" s="8"/>
      <c r="AD1129" s="8"/>
      <c r="AE1129" s="25"/>
      <c r="AF1129" s="11"/>
      <c r="AG1129" s="25"/>
      <c r="AH1129" s="11"/>
      <c r="AI1129" s="11">
        <v>100</v>
      </c>
      <c r="AJ1129" s="19">
        <v>0</v>
      </c>
      <c r="AK1129" s="12">
        <f>(AJ1129+AI1129)/30*7</f>
        <v>23.333333333333336</v>
      </c>
      <c r="AL1129" s="6">
        <f>IF(AK1129-C1129&lt;0,0,AK1129-C1129)</f>
        <v>0</v>
      </c>
      <c r="AM1129" s="6">
        <f>IF(AL1129-R1129-S1129&lt;0,0,AL1129-R1129-S1129)</f>
        <v>0</v>
      </c>
      <c r="AN1129" s="5" t="str">
        <f t="shared" si="35"/>
        <v/>
      </c>
      <c r="AO1129" s="5">
        <v>0</v>
      </c>
      <c r="AP1129" s="9"/>
      <c r="AQ1129" s="5" t="s">
        <v>1210</v>
      </c>
      <c r="AR1129" s="5" t="s">
        <v>1210</v>
      </c>
      <c r="AS1129" s="8"/>
      <c r="AT1129" s="8"/>
      <c r="AU1129" s="8"/>
      <c r="AV1129" s="8"/>
      <c r="AW1129" s="8"/>
      <c r="AX1129" s="8"/>
      <c r="AY1129" s="8"/>
      <c r="AZ1129" s="8"/>
    </row>
    <row r="1130" spans="1:52">
      <c r="A1130" s="5" t="s">
        <v>642</v>
      </c>
      <c r="B1130" s="5">
        <v>1670</v>
      </c>
      <c r="C1130" s="19">
        <v>546</v>
      </c>
      <c r="E1130" s="14"/>
      <c r="F1130" s="11"/>
      <c r="G1130" s="11"/>
      <c r="H1130" s="11"/>
      <c r="I1130" s="11"/>
      <c r="J1130" s="25"/>
      <c r="K1130" s="11"/>
      <c r="L1130" s="11"/>
      <c r="M1130" s="19">
        <v>0</v>
      </c>
      <c r="O1130" s="6"/>
      <c r="P1130" s="16">
        <v>0</v>
      </c>
      <c r="Q1130" s="16">
        <v>0</v>
      </c>
      <c r="R1130" s="22"/>
      <c r="S1130" s="22">
        <f t="shared" si="34"/>
        <v>0</v>
      </c>
      <c r="T1130" s="5" t="s">
        <v>1210</v>
      </c>
      <c r="U1130" s="5" t="s">
        <v>1210</v>
      </c>
      <c r="Y1130" s="8"/>
      <c r="Z1130" s="8"/>
      <c r="AA1130" s="8"/>
      <c r="AB1130" s="8"/>
      <c r="AC1130" s="8"/>
      <c r="AD1130" s="8"/>
      <c r="AE1130" s="25"/>
      <c r="AF1130" s="11"/>
      <c r="AG1130" s="25"/>
      <c r="AH1130" s="11"/>
      <c r="AI1130" s="11">
        <v>66</v>
      </c>
      <c r="AJ1130" s="19">
        <v>0</v>
      </c>
      <c r="AK1130" s="12">
        <f>(AJ1130+AI1130)/30*7</f>
        <v>15.400000000000002</v>
      </c>
      <c r="AL1130" s="6">
        <f>IF(AK1130-C1130&lt;0,0,AK1130-C1130)</f>
        <v>0</v>
      </c>
      <c r="AM1130" s="6">
        <f>IF(AL1130-R1130-S1130&lt;0,0,AL1130-R1130-S1130)</f>
        <v>0</v>
      </c>
      <c r="AN1130" s="5" t="str">
        <f t="shared" si="35"/>
        <v/>
      </c>
      <c r="AO1130" s="5">
        <v>0</v>
      </c>
      <c r="AP1130" s="9"/>
      <c r="AQ1130" s="5" t="s">
        <v>1210</v>
      </c>
      <c r="AR1130" s="5" t="s">
        <v>1210</v>
      </c>
      <c r="AS1130" s="8"/>
      <c r="AT1130" s="8"/>
      <c r="AU1130" s="8"/>
      <c r="AV1130" s="8"/>
      <c r="AW1130" s="8"/>
      <c r="AX1130" s="8"/>
      <c r="AY1130" s="8"/>
      <c r="AZ1130" s="8"/>
    </row>
    <row r="1131" spans="1:52">
      <c r="A1131" s="5" t="s">
        <v>588</v>
      </c>
      <c r="B1131" s="5">
        <v>1688</v>
      </c>
      <c r="C1131" s="19">
        <v>535</v>
      </c>
      <c r="E1131" s="14"/>
      <c r="F1131" s="11"/>
      <c r="G1131" s="11"/>
      <c r="H1131" s="11"/>
      <c r="I1131" s="11"/>
      <c r="J1131" s="25"/>
      <c r="K1131" s="11"/>
      <c r="L1131" s="11"/>
      <c r="M1131" s="19">
        <v>0</v>
      </c>
      <c r="O1131" s="6"/>
      <c r="P1131" s="16">
        <v>0</v>
      </c>
      <c r="Q1131" s="16">
        <v>0</v>
      </c>
      <c r="R1131" s="22"/>
      <c r="S1131" s="22">
        <f t="shared" si="34"/>
        <v>0</v>
      </c>
      <c r="T1131" s="5" t="s">
        <v>1210</v>
      </c>
      <c r="U1131" s="5" t="s">
        <v>1210</v>
      </c>
      <c r="Y1131" s="8"/>
      <c r="Z1131" s="8"/>
      <c r="AA1131" s="8"/>
      <c r="AB1131" s="8"/>
      <c r="AC1131" s="8"/>
      <c r="AD1131" s="8"/>
      <c r="AE1131" s="25"/>
      <c r="AF1131" s="11"/>
      <c r="AG1131" s="25"/>
      <c r="AH1131" s="11"/>
      <c r="AI1131" s="11">
        <v>26</v>
      </c>
      <c r="AJ1131" s="19">
        <v>0</v>
      </c>
      <c r="AK1131" s="12">
        <f>(AJ1131+AI1131)/30*7</f>
        <v>6.0666666666666664</v>
      </c>
      <c r="AL1131" s="6">
        <f>IF(AK1131-C1131&lt;0,0,AK1131-C1131)</f>
        <v>0</v>
      </c>
      <c r="AM1131" s="6">
        <f>IF(AL1131-R1131-S1131&lt;0,0,AL1131-R1131-S1131)</f>
        <v>0</v>
      </c>
      <c r="AN1131" s="5" t="str">
        <f t="shared" si="35"/>
        <v/>
      </c>
      <c r="AO1131" s="5">
        <v>0</v>
      </c>
      <c r="AP1131" s="9"/>
      <c r="AQ1131" s="5" t="s">
        <v>1210</v>
      </c>
      <c r="AR1131" s="5" t="s">
        <v>1210</v>
      </c>
      <c r="AS1131" s="8"/>
      <c r="AT1131" s="8"/>
      <c r="AU1131" s="8"/>
      <c r="AV1131" s="8"/>
      <c r="AW1131" s="8"/>
      <c r="AX1131" s="8"/>
      <c r="AY1131" s="8"/>
      <c r="AZ1131" s="8"/>
    </row>
    <row r="1132" spans="1:52">
      <c r="A1132" s="5" t="s">
        <v>1048</v>
      </c>
      <c r="B1132" s="5">
        <v>1689</v>
      </c>
      <c r="C1132" s="19">
        <v>601</v>
      </c>
      <c r="E1132" s="14"/>
      <c r="F1132" s="11"/>
      <c r="G1132" s="11"/>
      <c r="H1132" s="11"/>
      <c r="I1132" s="11"/>
      <c r="J1132" s="25"/>
      <c r="K1132" s="11"/>
      <c r="L1132" s="11"/>
      <c r="M1132" s="19">
        <v>0</v>
      </c>
      <c r="O1132" s="6"/>
      <c r="P1132" s="16">
        <v>0</v>
      </c>
      <c r="Q1132" s="16">
        <v>0</v>
      </c>
      <c r="R1132" s="22"/>
      <c r="S1132" s="22">
        <f t="shared" si="34"/>
        <v>0</v>
      </c>
      <c r="T1132" s="5" t="s">
        <v>1210</v>
      </c>
      <c r="U1132" s="5" t="s">
        <v>1210</v>
      </c>
      <c r="Y1132" s="8"/>
      <c r="Z1132" s="8"/>
      <c r="AA1132" s="8"/>
      <c r="AB1132" s="8"/>
      <c r="AC1132" s="8"/>
      <c r="AD1132" s="8"/>
      <c r="AE1132" s="25"/>
      <c r="AF1132" s="11"/>
      <c r="AG1132" s="25"/>
      <c r="AH1132" s="11"/>
      <c r="AI1132" s="11">
        <v>26</v>
      </c>
      <c r="AJ1132" s="19">
        <v>0</v>
      </c>
      <c r="AK1132" s="12">
        <f>(AJ1132+AI1132)/30*7</f>
        <v>6.0666666666666664</v>
      </c>
      <c r="AL1132" s="6">
        <f>IF(AK1132-C1132&lt;0,0,AK1132-C1132)</f>
        <v>0</v>
      </c>
      <c r="AM1132" s="6">
        <f>IF(AL1132-R1132-S1132&lt;0,0,AL1132-R1132-S1132)</f>
        <v>0</v>
      </c>
      <c r="AN1132" s="5" t="str">
        <f t="shared" si="35"/>
        <v/>
      </c>
      <c r="AO1132" s="5">
        <v>0</v>
      </c>
      <c r="AP1132" s="9"/>
      <c r="AQ1132" s="5" t="s">
        <v>1210</v>
      </c>
      <c r="AR1132" s="5" t="s">
        <v>1210</v>
      </c>
      <c r="AS1132" s="8"/>
      <c r="AT1132" s="8"/>
      <c r="AU1132" s="8"/>
      <c r="AV1132" s="8"/>
      <c r="AW1132" s="8"/>
      <c r="AX1132" s="8"/>
      <c r="AY1132" s="8"/>
      <c r="AZ1132" s="8"/>
    </row>
    <row r="1133" spans="1:52">
      <c r="A1133" s="5" t="s">
        <v>835</v>
      </c>
      <c r="B1133" s="5">
        <v>1819</v>
      </c>
      <c r="C1133" s="19">
        <v>786</v>
      </c>
      <c r="E1133" s="14"/>
      <c r="F1133" s="11"/>
      <c r="G1133" s="11"/>
      <c r="H1133" s="11"/>
      <c r="I1133" s="11"/>
      <c r="J1133" s="25"/>
      <c r="K1133" s="11"/>
      <c r="L1133" s="11"/>
      <c r="M1133" s="19">
        <v>0</v>
      </c>
      <c r="O1133" s="6"/>
      <c r="P1133" s="16">
        <v>222</v>
      </c>
      <c r="Q1133" s="16">
        <v>686</v>
      </c>
      <c r="R1133" s="22"/>
      <c r="S1133" s="22">
        <f t="shared" si="34"/>
        <v>0</v>
      </c>
      <c r="T1133" s="5" t="s">
        <v>1210</v>
      </c>
      <c r="U1133" s="5" t="s">
        <v>1210</v>
      </c>
      <c r="Y1133" s="8"/>
      <c r="Z1133" s="8"/>
      <c r="AA1133" s="8"/>
      <c r="AB1133" s="8"/>
      <c r="AC1133" s="8"/>
      <c r="AD1133" s="8"/>
      <c r="AE1133" s="25"/>
      <c r="AF1133" s="11"/>
      <c r="AG1133" s="25"/>
      <c r="AH1133" s="11"/>
      <c r="AI1133" s="11">
        <v>84</v>
      </c>
      <c r="AJ1133" s="19">
        <v>0</v>
      </c>
      <c r="AK1133" s="12">
        <f>(AJ1133+AI1133)/30*7</f>
        <v>19.599999999999998</v>
      </c>
      <c r="AL1133" s="6">
        <f>IF(AK1133-C1133&lt;0,0,AK1133-C1133)</f>
        <v>0</v>
      </c>
      <c r="AM1133" s="6">
        <f>IF(AL1133-R1133-S1133&lt;0,0,AL1133-R1133-S1133)</f>
        <v>0</v>
      </c>
      <c r="AN1133" s="5" t="str">
        <f t="shared" si="35"/>
        <v/>
      </c>
      <c r="AO1133" s="5">
        <v>0</v>
      </c>
      <c r="AP1133" s="9"/>
      <c r="AQ1133" s="5" t="s">
        <v>1210</v>
      </c>
      <c r="AR1133" s="5" t="s">
        <v>1230</v>
      </c>
      <c r="AS1133" s="8"/>
      <c r="AT1133" s="8"/>
      <c r="AU1133" s="8"/>
      <c r="AV1133" s="8"/>
      <c r="AW1133" s="8"/>
      <c r="AX1133" s="8"/>
      <c r="AY1133" s="8"/>
      <c r="AZ1133" s="8"/>
    </row>
    <row r="1134" spans="1:52">
      <c r="A1134" s="5" t="s">
        <v>818</v>
      </c>
      <c r="B1134" s="5">
        <v>1860</v>
      </c>
      <c r="C1134" s="19">
        <v>584</v>
      </c>
      <c r="E1134" s="14"/>
      <c r="F1134" s="11"/>
      <c r="G1134" s="11"/>
      <c r="H1134" s="11"/>
      <c r="I1134" s="11"/>
      <c r="J1134" s="25"/>
      <c r="K1134" s="11"/>
      <c r="L1134" s="11"/>
      <c r="M1134" s="19">
        <v>0</v>
      </c>
      <c r="O1134" s="6"/>
      <c r="P1134" s="16">
        <v>823</v>
      </c>
      <c r="Q1134" s="16">
        <v>0</v>
      </c>
      <c r="R1134" s="22"/>
      <c r="S1134" s="22">
        <f t="shared" si="34"/>
        <v>0</v>
      </c>
      <c r="T1134" s="5" t="s">
        <v>1210</v>
      </c>
      <c r="U1134" s="5" t="s">
        <v>1210</v>
      </c>
      <c r="Y1134" s="8"/>
      <c r="Z1134" s="8"/>
      <c r="AA1134" s="8"/>
      <c r="AB1134" s="8"/>
      <c r="AC1134" s="8"/>
      <c r="AD1134" s="8"/>
      <c r="AE1134" s="25"/>
      <c r="AF1134" s="11"/>
      <c r="AG1134" s="25"/>
      <c r="AH1134" s="11"/>
      <c r="AI1134" s="11">
        <v>30</v>
      </c>
      <c r="AJ1134" s="19">
        <v>0</v>
      </c>
      <c r="AK1134" s="12">
        <f>(AJ1134+AI1134)/30*7</f>
        <v>7</v>
      </c>
      <c r="AL1134" s="6">
        <f>IF(AK1134-C1134&lt;0,0,AK1134-C1134)</f>
        <v>0</v>
      </c>
      <c r="AM1134" s="6">
        <f>IF(AL1134-R1134-S1134&lt;0,0,AL1134-R1134-S1134)</f>
        <v>0</v>
      </c>
      <c r="AN1134" s="5" t="str">
        <f t="shared" si="35"/>
        <v/>
      </c>
      <c r="AO1134" s="5">
        <v>0</v>
      </c>
      <c r="AP1134" s="9"/>
      <c r="AQ1134" s="5" t="s">
        <v>1210</v>
      </c>
      <c r="AR1134" s="5" t="s">
        <v>1210</v>
      </c>
      <c r="AS1134" s="8"/>
      <c r="AT1134" s="8"/>
      <c r="AU1134" s="8"/>
      <c r="AV1134" s="8"/>
      <c r="AW1134" s="8"/>
      <c r="AX1134" s="8"/>
      <c r="AY1134" s="8"/>
      <c r="AZ1134" s="8"/>
    </row>
    <row r="1135" spans="1:52">
      <c r="A1135" s="5" t="s">
        <v>892</v>
      </c>
      <c r="B1135" s="5">
        <v>1871</v>
      </c>
      <c r="C1135" s="19">
        <v>759</v>
      </c>
      <c r="E1135" s="14"/>
      <c r="F1135" s="11"/>
      <c r="G1135" s="11"/>
      <c r="H1135" s="11"/>
      <c r="I1135" s="11"/>
      <c r="J1135" s="25"/>
      <c r="K1135" s="11"/>
      <c r="L1135" s="11"/>
      <c r="M1135" s="19">
        <v>0</v>
      </c>
      <c r="O1135" s="6"/>
      <c r="P1135" s="16">
        <v>581</v>
      </c>
      <c r="Q1135" s="16">
        <v>636</v>
      </c>
      <c r="R1135" s="22"/>
      <c r="S1135" s="22">
        <f t="shared" si="34"/>
        <v>0</v>
      </c>
      <c r="T1135" s="5" t="s">
        <v>1210</v>
      </c>
      <c r="U1135" s="5" t="s">
        <v>1210</v>
      </c>
      <c r="Y1135" s="8"/>
      <c r="Z1135" s="8"/>
      <c r="AA1135" s="8"/>
      <c r="AB1135" s="8"/>
      <c r="AC1135" s="8"/>
      <c r="AD1135" s="8"/>
      <c r="AE1135" s="25"/>
      <c r="AF1135" s="11"/>
      <c r="AG1135" s="25"/>
      <c r="AH1135" s="11"/>
      <c r="AI1135" s="11">
        <v>91</v>
      </c>
      <c r="AJ1135" s="19">
        <v>0</v>
      </c>
      <c r="AK1135" s="12">
        <f>(AJ1135+AI1135)/30*7</f>
        <v>21.233333333333334</v>
      </c>
      <c r="AL1135" s="6">
        <f>IF(AK1135-C1135&lt;0,0,AK1135-C1135)</f>
        <v>0</v>
      </c>
      <c r="AM1135" s="6">
        <f>IF(AL1135-R1135-S1135&lt;0,0,AL1135-R1135-S1135)</f>
        <v>0</v>
      </c>
      <c r="AN1135" s="5" t="str">
        <f t="shared" si="35"/>
        <v/>
      </c>
      <c r="AO1135" s="5">
        <v>0</v>
      </c>
      <c r="AP1135" s="9"/>
      <c r="AQ1135" s="5" t="s">
        <v>1210</v>
      </c>
      <c r="AR1135" s="5" t="s">
        <v>1210</v>
      </c>
      <c r="AS1135" s="8"/>
      <c r="AT1135" s="8"/>
      <c r="AU1135" s="8"/>
      <c r="AV1135" s="8"/>
      <c r="AW1135" s="8"/>
      <c r="AX1135" s="8"/>
      <c r="AY1135" s="8"/>
      <c r="AZ1135" s="8"/>
    </row>
    <row r="1136" spans="1:52">
      <c r="A1136" s="5" t="s">
        <v>1033</v>
      </c>
      <c r="B1136" s="5">
        <v>1893</v>
      </c>
      <c r="C1136" s="19">
        <v>817</v>
      </c>
      <c r="E1136" s="14"/>
      <c r="F1136" s="11"/>
      <c r="G1136" s="11"/>
      <c r="H1136" s="11"/>
      <c r="I1136" s="11"/>
      <c r="J1136" s="25"/>
      <c r="K1136" s="11"/>
      <c r="L1136" s="11"/>
      <c r="M1136" s="19">
        <v>0</v>
      </c>
      <c r="O1136" s="6"/>
      <c r="P1136" s="16">
        <v>283</v>
      </c>
      <c r="Q1136" s="16">
        <v>681</v>
      </c>
      <c r="R1136" s="22"/>
      <c r="S1136" s="22">
        <f t="shared" si="34"/>
        <v>0</v>
      </c>
      <c r="T1136" s="5" t="s">
        <v>1210</v>
      </c>
      <c r="U1136" s="5" t="s">
        <v>1210</v>
      </c>
      <c r="Y1136" s="8"/>
      <c r="Z1136" s="8"/>
      <c r="AA1136" s="8"/>
      <c r="AB1136" s="8"/>
      <c r="AC1136" s="8"/>
      <c r="AD1136" s="8"/>
      <c r="AE1136" s="25"/>
      <c r="AF1136" s="11"/>
      <c r="AG1136" s="25"/>
      <c r="AH1136" s="11"/>
      <c r="AI1136" s="11">
        <v>12</v>
      </c>
      <c r="AJ1136" s="19">
        <v>0</v>
      </c>
      <c r="AK1136" s="12">
        <f>(AJ1136+AI1136)/30*7</f>
        <v>2.8000000000000003</v>
      </c>
      <c r="AL1136" s="6">
        <f>IF(AK1136-C1136&lt;0,0,AK1136-C1136)</f>
        <v>0</v>
      </c>
      <c r="AM1136" s="6">
        <f>IF(AL1136-R1136-S1136&lt;0,0,AL1136-R1136-S1136)</f>
        <v>0</v>
      </c>
      <c r="AN1136" s="5" t="str">
        <f t="shared" si="35"/>
        <v/>
      </c>
      <c r="AO1136" s="5">
        <v>0</v>
      </c>
      <c r="AP1136" s="9"/>
      <c r="AQ1136" s="5" t="s">
        <v>1210</v>
      </c>
      <c r="AR1136" s="5" t="s">
        <v>1230</v>
      </c>
      <c r="AS1136" s="8"/>
      <c r="AT1136" s="8"/>
      <c r="AU1136" s="8"/>
      <c r="AV1136" s="8"/>
      <c r="AW1136" s="8"/>
      <c r="AX1136" s="8"/>
      <c r="AY1136" s="8"/>
      <c r="AZ1136" s="8"/>
    </row>
    <row r="1137" spans="1:52">
      <c r="A1137" s="5" t="s">
        <v>687</v>
      </c>
      <c r="B1137" s="5">
        <v>1903</v>
      </c>
      <c r="C1137" s="19">
        <v>787</v>
      </c>
      <c r="E1137" s="14"/>
      <c r="F1137" s="11"/>
      <c r="G1137" s="11"/>
      <c r="H1137" s="11"/>
      <c r="I1137" s="11"/>
      <c r="J1137" s="25"/>
      <c r="K1137" s="11"/>
      <c r="L1137" s="11"/>
      <c r="M1137" s="19">
        <v>0</v>
      </c>
      <c r="O1137" s="6"/>
      <c r="P1137" s="16">
        <v>200</v>
      </c>
      <c r="Q1137" s="16">
        <v>506</v>
      </c>
      <c r="R1137" s="22"/>
      <c r="S1137" s="22">
        <f t="shared" si="34"/>
        <v>0</v>
      </c>
      <c r="T1137" s="5" t="s">
        <v>1210</v>
      </c>
      <c r="U1137" s="5" t="s">
        <v>1210</v>
      </c>
      <c r="Y1137" s="8"/>
      <c r="Z1137" s="8"/>
      <c r="AA1137" s="8"/>
      <c r="AB1137" s="8"/>
      <c r="AC1137" s="8"/>
      <c r="AD1137" s="8"/>
      <c r="AE1137" s="25"/>
      <c r="AF1137" s="11"/>
      <c r="AG1137" s="25"/>
      <c r="AH1137" s="11"/>
      <c r="AI1137" s="11">
        <v>46</v>
      </c>
      <c r="AJ1137" s="19">
        <v>0</v>
      </c>
      <c r="AK1137" s="12">
        <f>(AJ1137+AI1137)/30*7</f>
        <v>10.733333333333334</v>
      </c>
      <c r="AL1137" s="6">
        <f>IF(AK1137-C1137&lt;0,0,AK1137-C1137)</f>
        <v>0</v>
      </c>
      <c r="AM1137" s="6">
        <f>IF(AL1137-R1137-S1137&lt;0,0,AL1137-R1137-S1137)</f>
        <v>0</v>
      </c>
      <c r="AN1137" s="5" t="str">
        <f t="shared" si="35"/>
        <v/>
      </c>
      <c r="AO1137" s="5">
        <v>0</v>
      </c>
      <c r="AP1137" s="9"/>
      <c r="AQ1137" s="5" t="s">
        <v>1210</v>
      </c>
      <c r="AR1137" s="5" t="s">
        <v>1210</v>
      </c>
      <c r="AS1137" s="8"/>
      <c r="AT1137" s="8"/>
      <c r="AU1137" s="8"/>
      <c r="AV1137" s="8"/>
      <c r="AW1137" s="8"/>
      <c r="AX1137" s="8"/>
      <c r="AY1137" s="8"/>
      <c r="AZ1137" s="8"/>
    </row>
    <row r="1138" spans="1:52">
      <c r="A1138" s="5" t="s">
        <v>597</v>
      </c>
      <c r="B1138" s="5">
        <v>1968</v>
      </c>
      <c r="C1138" s="19">
        <v>781</v>
      </c>
      <c r="E1138" s="14"/>
      <c r="F1138" s="11"/>
      <c r="G1138" s="11"/>
      <c r="H1138" s="11"/>
      <c r="I1138" s="11"/>
      <c r="J1138" s="25"/>
      <c r="K1138" s="11"/>
      <c r="L1138" s="11"/>
      <c r="M1138" s="19">
        <v>0</v>
      </c>
      <c r="O1138" s="6"/>
      <c r="P1138" s="16">
        <v>636</v>
      </c>
      <c r="Q1138" s="16">
        <v>0</v>
      </c>
      <c r="R1138" s="22"/>
      <c r="S1138" s="22">
        <f t="shared" si="34"/>
        <v>0</v>
      </c>
      <c r="T1138" s="5" t="s">
        <v>1210</v>
      </c>
      <c r="U1138" s="5" t="s">
        <v>1210</v>
      </c>
      <c r="Y1138" s="8"/>
      <c r="Z1138" s="8"/>
      <c r="AA1138" s="8"/>
      <c r="AB1138" s="8"/>
      <c r="AC1138" s="8"/>
      <c r="AD1138" s="8"/>
      <c r="AE1138" s="25"/>
      <c r="AF1138" s="11"/>
      <c r="AG1138" s="25"/>
      <c r="AH1138" s="11"/>
      <c r="AI1138" s="11">
        <v>56</v>
      </c>
      <c r="AJ1138" s="19">
        <v>0</v>
      </c>
      <c r="AK1138" s="12">
        <f>(AJ1138+AI1138)/30*7</f>
        <v>13.066666666666666</v>
      </c>
      <c r="AL1138" s="6">
        <f>IF(AK1138-C1138&lt;0,0,AK1138-C1138)</f>
        <v>0</v>
      </c>
      <c r="AM1138" s="6">
        <f>IF(AL1138-R1138-S1138&lt;0,0,AL1138-R1138-S1138)</f>
        <v>0</v>
      </c>
      <c r="AN1138" s="5" t="str">
        <f t="shared" si="35"/>
        <v/>
      </c>
      <c r="AO1138" s="5">
        <v>0</v>
      </c>
      <c r="AP1138" s="9"/>
      <c r="AQ1138" s="5" t="s">
        <v>1210</v>
      </c>
      <c r="AR1138" s="5" t="s">
        <v>1230</v>
      </c>
      <c r="AS1138" s="8"/>
      <c r="AT1138" s="8"/>
      <c r="AU1138" s="8"/>
      <c r="AV1138" s="8"/>
      <c r="AW1138" s="8"/>
      <c r="AX1138" s="8"/>
      <c r="AY1138" s="8"/>
      <c r="AZ1138" s="8"/>
    </row>
    <row r="1139" spans="1:52">
      <c r="A1139" s="5" t="s">
        <v>931</v>
      </c>
      <c r="B1139" s="5">
        <v>1977</v>
      </c>
      <c r="C1139" s="19">
        <v>369</v>
      </c>
      <c r="E1139" s="14"/>
      <c r="F1139" s="11"/>
      <c r="G1139" s="11"/>
      <c r="H1139" s="11"/>
      <c r="I1139" s="11"/>
      <c r="J1139" s="25"/>
      <c r="K1139" s="11"/>
      <c r="L1139" s="11"/>
      <c r="M1139" s="19">
        <v>0</v>
      </c>
      <c r="O1139" s="6"/>
      <c r="P1139" s="16">
        <v>538</v>
      </c>
      <c r="Q1139" s="16">
        <v>0</v>
      </c>
      <c r="R1139" s="22"/>
      <c r="S1139" s="22">
        <f t="shared" si="34"/>
        <v>0</v>
      </c>
      <c r="T1139" s="5" t="s">
        <v>1210</v>
      </c>
      <c r="U1139" s="5" t="s">
        <v>1210</v>
      </c>
      <c r="Y1139" s="8"/>
      <c r="Z1139" s="8"/>
      <c r="AA1139" s="8"/>
      <c r="AB1139" s="8"/>
      <c r="AC1139" s="8"/>
      <c r="AD1139" s="8"/>
      <c r="AE1139" s="25"/>
      <c r="AF1139" s="11"/>
      <c r="AG1139" s="25"/>
      <c r="AH1139" s="11"/>
      <c r="AI1139" s="11">
        <v>57</v>
      </c>
      <c r="AJ1139" s="19">
        <v>5</v>
      </c>
      <c r="AK1139" s="12">
        <f>(AJ1139+AI1139)/30*7</f>
        <v>14.466666666666669</v>
      </c>
      <c r="AL1139" s="6">
        <f>IF(AK1139-C1139&lt;0,0,AK1139-C1139)</f>
        <v>0</v>
      </c>
      <c r="AM1139" s="6">
        <f>IF(AL1139-R1139-S1139&lt;0,0,AL1139-R1139-S1139)</f>
        <v>0</v>
      </c>
      <c r="AN1139" s="5" t="str">
        <f t="shared" si="35"/>
        <v/>
      </c>
      <c r="AO1139" s="5">
        <v>0</v>
      </c>
      <c r="AP1139" s="9"/>
      <c r="AQ1139" s="5" t="s">
        <v>1210</v>
      </c>
      <c r="AR1139" s="5" t="s">
        <v>1210</v>
      </c>
      <c r="AS1139" s="8"/>
      <c r="AT1139" s="8"/>
      <c r="AU1139" s="8"/>
      <c r="AV1139" s="8"/>
      <c r="AW1139" s="8"/>
      <c r="AX1139" s="8"/>
      <c r="AY1139" s="8"/>
      <c r="AZ1139" s="8"/>
    </row>
    <row r="1140" spans="1:52">
      <c r="A1140" s="5" t="s">
        <v>1128</v>
      </c>
      <c r="B1140" s="5">
        <v>2162</v>
      </c>
      <c r="C1140" s="19">
        <v>646</v>
      </c>
      <c r="E1140" s="14"/>
      <c r="F1140" s="11"/>
      <c r="G1140" s="11"/>
      <c r="H1140" s="11"/>
      <c r="I1140" s="11"/>
      <c r="J1140" s="25"/>
      <c r="K1140" s="11"/>
      <c r="L1140" s="11"/>
      <c r="M1140" s="19">
        <v>0</v>
      </c>
      <c r="O1140" s="6"/>
      <c r="P1140" s="16">
        <v>207</v>
      </c>
      <c r="Q1140" s="16">
        <v>0</v>
      </c>
      <c r="R1140" s="22"/>
      <c r="S1140" s="22">
        <f t="shared" si="34"/>
        <v>0</v>
      </c>
      <c r="T1140" s="5" t="s">
        <v>1210</v>
      </c>
      <c r="U1140" s="5" t="s">
        <v>1210</v>
      </c>
      <c r="Y1140" s="8"/>
      <c r="Z1140" s="8"/>
      <c r="AA1140" s="8"/>
      <c r="AB1140" s="8"/>
      <c r="AC1140" s="8"/>
      <c r="AD1140" s="8"/>
      <c r="AE1140" s="25"/>
      <c r="AF1140" s="11"/>
      <c r="AG1140" s="25"/>
      <c r="AH1140" s="11"/>
      <c r="AI1140" s="11">
        <v>76</v>
      </c>
      <c r="AJ1140" s="19">
        <v>0</v>
      </c>
      <c r="AK1140" s="12">
        <f>(AJ1140+AI1140)/30*7</f>
        <v>17.733333333333334</v>
      </c>
      <c r="AL1140" s="6">
        <f>IF(AK1140-C1140&lt;0,0,AK1140-C1140)</f>
        <v>0</v>
      </c>
      <c r="AM1140" s="6">
        <f>IF(AL1140-R1140-S1140&lt;0,0,AL1140-R1140-S1140)</f>
        <v>0</v>
      </c>
      <c r="AN1140" s="5" t="str">
        <f t="shared" si="35"/>
        <v/>
      </c>
      <c r="AO1140" s="5">
        <v>0</v>
      </c>
      <c r="AP1140" s="9"/>
      <c r="AQ1140" s="5" t="s">
        <v>1210</v>
      </c>
      <c r="AR1140" s="5" t="s">
        <v>1210</v>
      </c>
      <c r="AS1140" s="8"/>
      <c r="AT1140" s="8"/>
      <c r="AU1140" s="8"/>
      <c r="AV1140" s="8"/>
      <c r="AW1140" s="8"/>
      <c r="AX1140" s="8"/>
      <c r="AY1140" s="8"/>
      <c r="AZ1140" s="8"/>
    </row>
    <row r="1141" spans="1:52">
      <c r="A1141" s="5" t="s">
        <v>1092</v>
      </c>
      <c r="B1141" s="5">
        <v>2189</v>
      </c>
      <c r="C1141" s="19">
        <v>653</v>
      </c>
      <c r="E1141" s="14"/>
      <c r="F1141" s="11"/>
      <c r="G1141" s="11"/>
      <c r="H1141" s="11"/>
      <c r="I1141" s="11"/>
      <c r="J1141" s="25"/>
      <c r="K1141" s="11"/>
      <c r="L1141" s="11"/>
      <c r="M1141" s="19">
        <v>0</v>
      </c>
      <c r="O1141" s="6"/>
      <c r="P1141" s="16">
        <v>452</v>
      </c>
      <c r="Q1141" s="16">
        <v>0</v>
      </c>
      <c r="R1141" s="22"/>
      <c r="S1141" s="22">
        <f t="shared" si="34"/>
        <v>0</v>
      </c>
      <c r="T1141" s="5" t="s">
        <v>1210</v>
      </c>
      <c r="U1141" s="5" t="s">
        <v>1210</v>
      </c>
      <c r="Y1141" s="8"/>
      <c r="Z1141" s="8"/>
      <c r="AA1141" s="8"/>
      <c r="AB1141" s="8"/>
      <c r="AC1141" s="8"/>
      <c r="AD1141" s="8"/>
      <c r="AE1141" s="25"/>
      <c r="AF1141" s="11"/>
      <c r="AG1141" s="25"/>
      <c r="AH1141" s="11"/>
      <c r="AI1141" s="11">
        <v>92</v>
      </c>
      <c r="AJ1141" s="19">
        <v>8</v>
      </c>
      <c r="AK1141" s="12">
        <f>(AJ1141+AI1141)/30*7</f>
        <v>23.333333333333336</v>
      </c>
      <c r="AL1141" s="6">
        <f>IF(AK1141-C1141&lt;0,0,AK1141-C1141)</f>
        <v>0</v>
      </c>
      <c r="AM1141" s="6">
        <f>IF(AL1141-R1141-S1141&lt;0,0,AL1141-R1141-S1141)</f>
        <v>0</v>
      </c>
      <c r="AN1141" s="5" t="str">
        <f t="shared" si="35"/>
        <v/>
      </c>
      <c r="AO1141" s="5">
        <v>0</v>
      </c>
      <c r="AP1141" s="9"/>
      <c r="AQ1141" s="5" t="s">
        <v>1210</v>
      </c>
      <c r="AR1141" s="5" t="s">
        <v>1210</v>
      </c>
      <c r="AS1141" s="8"/>
      <c r="AT1141" s="8"/>
      <c r="AU1141" s="8"/>
      <c r="AV1141" s="8"/>
      <c r="AW1141" s="8"/>
      <c r="AX1141" s="8"/>
      <c r="AY1141" s="8"/>
      <c r="AZ1141" s="8"/>
    </row>
    <row r="1142" spans="1:52">
      <c r="A1142" s="5" t="s">
        <v>912</v>
      </c>
      <c r="B1142" s="5">
        <v>2207</v>
      </c>
      <c r="C1142" s="19">
        <v>555</v>
      </c>
      <c r="E1142" s="14"/>
      <c r="F1142" s="11"/>
      <c r="G1142" s="11"/>
      <c r="H1142" s="11"/>
      <c r="I1142" s="11"/>
      <c r="J1142" s="25"/>
      <c r="K1142" s="11"/>
      <c r="L1142" s="11"/>
      <c r="M1142" s="19">
        <v>0</v>
      </c>
      <c r="O1142" s="6"/>
      <c r="P1142" s="16">
        <v>251</v>
      </c>
      <c r="Q1142" s="16">
        <v>0</v>
      </c>
      <c r="R1142" s="22"/>
      <c r="S1142" s="22">
        <f t="shared" si="34"/>
        <v>0</v>
      </c>
      <c r="T1142" s="5" t="s">
        <v>1210</v>
      </c>
      <c r="U1142" s="5" t="s">
        <v>1210</v>
      </c>
      <c r="Y1142" s="8"/>
      <c r="Z1142" s="8"/>
      <c r="AA1142" s="8"/>
      <c r="AB1142" s="8"/>
      <c r="AC1142" s="8"/>
      <c r="AD1142" s="8"/>
      <c r="AE1142" s="25"/>
      <c r="AF1142" s="11"/>
      <c r="AG1142" s="25"/>
      <c r="AH1142" s="11"/>
      <c r="AI1142" s="11">
        <v>92</v>
      </c>
      <c r="AJ1142" s="19">
        <v>0</v>
      </c>
      <c r="AK1142" s="12">
        <f>(AJ1142+AI1142)/30*7</f>
        <v>21.466666666666669</v>
      </c>
      <c r="AL1142" s="6">
        <f>IF(AK1142-C1142&lt;0,0,AK1142-C1142)</f>
        <v>0</v>
      </c>
      <c r="AM1142" s="6">
        <f>IF(AL1142-R1142-S1142&lt;0,0,AL1142-R1142-S1142)</f>
        <v>0</v>
      </c>
      <c r="AN1142" s="5" t="str">
        <f t="shared" si="35"/>
        <v/>
      </c>
      <c r="AO1142" s="5">
        <v>0</v>
      </c>
      <c r="AP1142" s="9"/>
      <c r="AQ1142" s="5" t="s">
        <v>1210</v>
      </c>
      <c r="AR1142" s="5" t="s">
        <v>1210</v>
      </c>
      <c r="AS1142" s="8"/>
      <c r="AT1142" s="8"/>
      <c r="AU1142" s="8"/>
      <c r="AV1142" s="8"/>
      <c r="AW1142" s="8"/>
      <c r="AX1142" s="8"/>
      <c r="AY1142" s="8"/>
      <c r="AZ1142" s="8"/>
    </row>
    <row r="1143" spans="1:52">
      <c r="A1143" s="5" t="s">
        <v>592</v>
      </c>
      <c r="B1143" s="5">
        <v>2224</v>
      </c>
      <c r="C1143" s="19">
        <v>644</v>
      </c>
      <c r="E1143" s="14"/>
      <c r="F1143" s="11"/>
      <c r="G1143" s="11"/>
      <c r="H1143" s="11"/>
      <c r="I1143" s="11"/>
      <c r="J1143" s="25"/>
      <c r="K1143" s="11"/>
      <c r="L1143" s="11"/>
      <c r="M1143" s="19">
        <v>0</v>
      </c>
      <c r="O1143" s="6"/>
      <c r="P1143" s="16">
        <v>615</v>
      </c>
      <c r="Q1143" s="16">
        <v>0</v>
      </c>
      <c r="R1143" s="22"/>
      <c r="S1143" s="22">
        <f t="shared" si="34"/>
        <v>0</v>
      </c>
      <c r="T1143" s="5" t="s">
        <v>1210</v>
      </c>
      <c r="U1143" s="5" t="s">
        <v>1210</v>
      </c>
      <c r="Y1143" s="8"/>
      <c r="Z1143" s="8"/>
      <c r="AA1143" s="8"/>
      <c r="AB1143" s="8"/>
      <c r="AC1143" s="8"/>
      <c r="AD1143" s="8"/>
      <c r="AE1143" s="25"/>
      <c r="AF1143" s="11"/>
      <c r="AG1143" s="25"/>
      <c r="AH1143" s="11"/>
      <c r="AI1143" s="11">
        <v>79</v>
      </c>
      <c r="AJ1143" s="19">
        <v>0</v>
      </c>
      <c r="AK1143" s="12">
        <f>(AJ1143+AI1143)/30*7</f>
        <v>18.433333333333334</v>
      </c>
      <c r="AL1143" s="6">
        <f>IF(AK1143-C1143&lt;0,0,AK1143-C1143)</f>
        <v>0</v>
      </c>
      <c r="AM1143" s="6">
        <f>IF(AL1143-R1143-S1143&lt;0,0,AL1143-R1143-S1143)</f>
        <v>0</v>
      </c>
      <c r="AN1143" s="5" t="str">
        <f t="shared" si="35"/>
        <v/>
      </c>
      <c r="AO1143" s="5">
        <v>0</v>
      </c>
      <c r="AP1143" s="9"/>
      <c r="AQ1143" s="5" t="s">
        <v>1210</v>
      </c>
      <c r="AR1143" s="5" t="s">
        <v>1210</v>
      </c>
      <c r="AS1143" s="8"/>
      <c r="AT1143" s="8"/>
      <c r="AU1143" s="8"/>
      <c r="AV1143" s="8"/>
      <c r="AW1143" s="8"/>
      <c r="AX1143" s="8"/>
      <c r="AY1143" s="8"/>
      <c r="AZ1143" s="8"/>
    </row>
    <row r="1144" spans="1:52">
      <c r="A1144" s="5" t="s">
        <v>945</v>
      </c>
      <c r="B1144" s="5">
        <v>2270</v>
      </c>
      <c r="C1144" s="19">
        <v>820</v>
      </c>
      <c r="E1144" s="14"/>
      <c r="F1144" s="11"/>
      <c r="G1144" s="11"/>
      <c r="H1144" s="11"/>
      <c r="I1144" s="11"/>
      <c r="J1144" s="25"/>
      <c r="K1144" s="11"/>
      <c r="L1144" s="11"/>
      <c r="M1144" s="19">
        <v>0</v>
      </c>
      <c r="O1144" s="6"/>
      <c r="P1144" s="16">
        <v>893</v>
      </c>
      <c r="Q1144" s="16">
        <v>0</v>
      </c>
      <c r="R1144" s="22"/>
      <c r="S1144" s="22">
        <f t="shared" si="34"/>
        <v>0</v>
      </c>
      <c r="T1144" s="5" t="s">
        <v>1210</v>
      </c>
      <c r="U1144" s="5" t="s">
        <v>1210</v>
      </c>
      <c r="Y1144" s="8"/>
      <c r="Z1144" s="8"/>
      <c r="AA1144" s="8"/>
      <c r="AB1144" s="8"/>
      <c r="AC1144" s="8"/>
      <c r="AD1144" s="8"/>
      <c r="AE1144" s="25"/>
      <c r="AF1144" s="11"/>
      <c r="AG1144" s="25"/>
      <c r="AH1144" s="11"/>
      <c r="AI1144" s="11">
        <v>38</v>
      </c>
      <c r="AJ1144" s="19">
        <v>11</v>
      </c>
      <c r="AK1144" s="12">
        <f>(AJ1144+AI1144)/30*7</f>
        <v>11.433333333333334</v>
      </c>
      <c r="AL1144" s="6">
        <f>IF(AK1144-C1144&lt;0,0,AK1144-C1144)</f>
        <v>0</v>
      </c>
      <c r="AM1144" s="6">
        <f>IF(AL1144-R1144-S1144&lt;0,0,AL1144-R1144-S1144)</f>
        <v>0</v>
      </c>
      <c r="AN1144" s="5" t="str">
        <f t="shared" si="35"/>
        <v/>
      </c>
      <c r="AO1144" s="5">
        <v>0</v>
      </c>
      <c r="AP1144" s="9"/>
      <c r="AQ1144" s="5" t="s">
        <v>1210</v>
      </c>
      <c r="AR1144" s="5" t="s">
        <v>1210</v>
      </c>
      <c r="AS1144" s="8"/>
      <c r="AT1144" s="8"/>
      <c r="AU1144" s="8"/>
      <c r="AV1144" s="8"/>
      <c r="AW1144" s="8"/>
      <c r="AX1144" s="8"/>
      <c r="AY1144" s="8"/>
      <c r="AZ1144" s="8"/>
    </row>
  </sheetData>
  <autoFilter ref="A2:BA1144" xr:uid="{00000000-0001-0000-0000-000000000000}">
    <sortState xmlns:xlrd2="http://schemas.microsoft.com/office/spreadsheetml/2017/richdata2" ref="A3:BA1144">
      <sortCondition descending="1" ref="AL2:AL1144"/>
    </sortState>
  </autoFilter>
  <mergeCells count="3">
    <mergeCell ref="R1:S1"/>
    <mergeCell ref="AW1:AZ1"/>
    <mergeCell ref="AS1:AV1"/>
  </mergeCells>
  <phoneticPr fontId="2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E0B6-75A0-4D4A-AA13-55A0FD8E2A5D}">
  <sheetPr codeName="Sheet2"/>
  <dimension ref="A1:F499"/>
  <sheetViews>
    <sheetView workbookViewId="0"/>
  </sheetViews>
  <sheetFormatPr defaultRowHeight="15"/>
  <sheetData>
    <row r="1" spans="1:6">
      <c r="A1" t="s">
        <v>1240</v>
      </c>
      <c r="B1" t="s">
        <v>1241</v>
      </c>
    </row>
    <row r="2" spans="1:6">
      <c r="A2" s="5" t="s">
        <v>1169</v>
      </c>
      <c r="B2" s="5">
        <v>7</v>
      </c>
      <c r="D2" t="s">
        <v>1249</v>
      </c>
      <c r="E2" t="s">
        <v>1250</v>
      </c>
      <c r="F2">
        <v>7</v>
      </c>
    </row>
    <row r="3" spans="1:6">
      <c r="A3" s="5">
        <v>500</v>
      </c>
      <c r="B3" s="5">
        <v>5</v>
      </c>
      <c r="D3" t="s">
        <v>1251</v>
      </c>
      <c r="E3" t="s">
        <v>1252</v>
      </c>
      <c r="F3">
        <v>5</v>
      </c>
    </row>
    <row r="4" spans="1:6">
      <c r="A4" s="5">
        <v>427</v>
      </c>
      <c r="B4" s="5">
        <v>4</v>
      </c>
      <c r="D4" t="s">
        <v>1255</v>
      </c>
      <c r="E4" t="s">
        <v>1256</v>
      </c>
      <c r="F4">
        <v>4</v>
      </c>
    </row>
    <row r="5" spans="1:6">
      <c r="A5" s="5" t="s">
        <v>1207</v>
      </c>
      <c r="B5" s="5">
        <v>4</v>
      </c>
      <c r="D5" t="s">
        <v>1257</v>
      </c>
      <c r="E5" t="s">
        <v>1258</v>
      </c>
      <c r="F5">
        <v>4</v>
      </c>
    </row>
    <row r="6" spans="1:6">
      <c r="A6" s="5">
        <v>356</v>
      </c>
      <c r="B6" s="5">
        <v>3</v>
      </c>
      <c r="D6" t="s">
        <v>1253</v>
      </c>
      <c r="E6" t="s">
        <v>1254</v>
      </c>
      <c r="F6">
        <v>3</v>
      </c>
    </row>
    <row r="7" spans="1:6">
      <c r="A7" s="5">
        <v>256</v>
      </c>
      <c r="B7" s="5">
        <v>3</v>
      </c>
      <c r="D7" t="s">
        <v>1265</v>
      </c>
      <c r="E7" t="s">
        <v>1266</v>
      </c>
      <c r="F7">
        <v>3</v>
      </c>
    </row>
    <row r="8" spans="1:6">
      <c r="A8" s="5">
        <v>531</v>
      </c>
      <c r="B8" s="5">
        <v>2</v>
      </c>
      <c r="D8" t="s">
        <v>1259</v>
      </c>
      <c r="E8" t="s">
        <v>1260</v>
      </c>
      <c r="F8">
        <v>2</v>
      </c>
    </row>
    <row r="9" spans="1:6">
      <c r="A9" s="5">
        <v>573</v>
      </c>
      <c r="B9" s="5">
        <v>2</v>
      </c>
      <c r="D9" t="s">
        <v>1261</v>
      </c>
      <c r="E9" t="s">
        <v>1262</v>
      </c>
      <c r="F9">
        <v>2</v>
      </c>
    </row>
    <row r="10" spans="1:6">
      <c r="A10" s="5">
        <v>1252</v>
      </c>
      <c r="B10" s="5">
        <v>1</v>
      </c>
      <c r="D10" t="s">
        <v>1263</v>
      </c>
      <c r="E10" t="s">
        <v>1264</v>
      </c>
      <c r="F10">
        <v>1</v>
      </c>
    </row>
    <row r="11" spans="1:6">
      <c r="A11" s="5">
        <v>363</v>
      </c>
      <c r="B11" s="5">
        <v>1</v>
      </c>
      <c r="D11" t="s">
        <v>1267</v>
      </c>
      <c r="E11" t="s">
        <v>1268</v>
      </c>
      <c r="F11">
        <v>1</v>
      </c>
    </row>
    <row r="12" spans="1:6">
      <c r="A12" s="5"/>
      <c r="B12" s="5"/>
    </row>
    <row r="13" spans="1:6">
      <c r="A13" s="5"/>
      <c r="B13" s="5"/>
    </row>
    <row r="14" spans="1:6">
      <c r="A14" s="5"/>
      <c r="B14" s="5"/>
    </row>
    <row r="15" spans="1:6">
      <c r="A15" s="5"/>
      <c r="B15" s="5"/>
    </row>
    <row r="16" spans="1:6">
      <c r="A16" s="5"/>
      <c r="B16" s="5"/>
    </row>
    <row r="17" spans="1:2">
      <c r="A17" s="5"/>
      <c r="B17" s="5"/>
    </row>
    <row r="18" spans="1:2">
      <c r="A18" s="5"/>
      <c r="B18" s="5"/>
    </row>
    <row r="19" spans="1:2">
      <c r="A19" s="5"/>
      <c r="B19" s="5"/>
    </row>
    <row r="20" spans="1:2">
      <c r="A20" s="5"/>
      <c r="B20" s="5"/>
    </row>
    <row r="21" spans="1:2">
      <c r="A21" s="5"/>
      <c r="B21" s="5"/>
    </row>
    <row r="22" spans="1:2">
      <c r="A22" s="5"/>
      <c r="B22" s="5"/>
    </row>
    <row r="23" spans="1:2">
      <c r="A23" s="5"/>
      <c r="B23" s="5"/>
    </row>
    <row r="24" spans="1:2">
      <c r="A24" s="5"/>
      <c r="B24" s="5"/>
    </row>
    <row r="25" spans="1:2">
      <c r="A25" s="5"/>
      <c r="B25" s="5"/>
    </row>
    <row r="26" spans="1:2">
      <c r="A26" s="5"/>
      <c r="B26" s="5"/>
    </row>
    <row r="27" spans="1:2">
      <c r="A27" s="5"/>
      <c r="B27" s="5"/>
    </row>
    <row r="28" spans="1:2">
      <c r="A28" s="5"/>
      <c r="B28" s="5"/>
    </row>
    <row r="29" spans="1:2">
      <c r="A29" s="5"/>
      <c r="B29" s="5"/>
    </row>
    <row r="30" spans="1:2">
      <c r="A30" s="5"/>
      <c r="B30" s="5"/>
    </row>
    <row r="31" spans="1:2">
      <c r="A31" s="5"/>
      <c r="B31" s="5"/>
    </row>
    <row r="32" spans="1:2">
      <c r="A32" s="5"/>
      <c r="B32" s="5"/>
    </row>
    <row r="33" spans="1:2">
      <c r="A33" s="5"/>
      <c r="B33" s="5"/>
    </row>
    <row r="34" spans="1:2">
      <c r="A34" s="5"/>
      <c r="B34" s="5"/>
    </row>
    <row r="35" spans="1:2">
      <c r="A35" s="5"/>
      <c r="B35" s="5"/>
    </row>
    <row r="36" spans="1:2">
      <c r="A36" s="5"/>
      <c r="B36" s="5"/>
    </row>
    <row r="37" spans="1:2">
      <c r="A37" s="5"/>
      <c r="B37" s="5"/>
    </row>
    <row r="38" spans="1:2">
      <c r="A38" s="5"/>
      <c r="B38" s="5"/>
    </row>
    <row r="39" spans="1:2">
      <c r="A39" s="5"/>
      <c r="B39" s="5"/>
    </row>
    <row r="40" spans="1:2">
      <c r="A40" s="5"/>
      <c r="B40" s="5"/>
    </row>
    <row r="41" spans="1:2">
      <c r="A41" s="5"/>
      <c r="B41" s="5"/>
    </row>
    <row r="42" spans="1:2">
      <c r="A42" s="5"/>
      <c r="B42" s="5"/>
    </row>
    <row r="43" spans="1:2">
      <c r="A43" s="5"/>
      <c r="B43" s="5"/>
    </row>
    <row r="44" spans="1:2">
      <c r="A44" s="5"/>
      <c r="B44" s="5"/>
    </row>
    <row r="45" spans="1:2">
      <c r="A45" s="5"/>
      <c r="B45" s="5"/>
    </row>
    <row r="46" spans="1:2">
      <c r="A46" s="5"/>
      <c r="B46" s="5"/>
    </row>
    <row r="47" spans="1:2">
      <c r="A47" s="5"/>
      <c r="B47" s="5"/>
    </row>
    <row r="48" spans="1:2">
      <c r="A48" s="5"/>
      <c r="B48" s="5"/>
    </row>
    <row r="49" spans="1:2">
      <c r="A49" s="5"/>
      <c r="B49" s="5"/>
    </row>
    <row r="50" spans="1:2">
      <c r="A50" s="5"/>
      <c r="B50" s="5"/>
    </row>
    <row r="51" spans="1:2">
      <c r="A51" s="5"/>
      <c r="B51" s="5"/>
    </row>
    <row r="52" spans="1:2">
      <c r="A52" s="5"/>
      <c r="B52" s="5"/>
    </row>
    <row r="53" spans="1:2">
      <c r="A53" s="5"/>
      <c r="B53" s="5"/>
    </row>
    <row r="54" spans="1:2">
      <c r="A54" s="5"/>
      <c r="B54" s="5"/>
    </row>
    <row r="55" spans="1:2">
      <c r="A55" s="5"/>
      <c r="B55" s="5"/>
    </row>
    <row r="56" spans="1:2">
      <c r="A56" s="5"/>
      <c r="B56" s="5"/>
    </row>
    <row r="57" spans="1:2">
      <c r="A57" s="5"/>
      <c r="B57" s="5"/>
    </row>
    <row r="58" spans="1:2">
      <c r="A58" s="5"/>
      <c r="B58" s="5"/>
    </row>
    <row r="59" spans="1:2">
      <c r="A59" s="5"/>
      <c r="B59" s="5"/>
    </row>
    <row r="60" spans="1:2">
      <c r="A60" s="5"/>
      <c r="B60" s="5"/>
    </row>
    <row r="61" spans="1:2">
      <c r="A61" s="5"/>
      <c r="B61" s="5"/>
    </row>
    <row r="62" spans="1:2">
      <c r="A62" s="5"/>
      <c r="B62" s="5"/>
    </row>
    <row r="63" spans="1:2">
      <c r="A63" s="5"/>
      <c r="B63" s="5"/>
    </row>
    <row r="64" spans="1:2">
      <c r="A64" s="5"/>
      <c r="B64" s="5"/>
    </row>
    <row r="65" spans="1:2">
      <c r="A65" s="5"/>
      <c r="B65" s="5"/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  <row r="215" spans="1:2">
      <c r="A215" s="5"/>
      <c r="B215" s="5"/>
    </row>
    <row r="216" spans="1:2">
      <c r="A216" s="5"/>
      <c r="B216" s="5"/>
    </row>
    <row r="217" spans="1:2">
      <c r="A217" s="5"/>
      <c r="B217" s="5"/>
    </row>
    <row r="218" spans="1:2">
      <c r="A218" s="5"/>
      <c r="B218" s="5"/>
    </row>
    <row r="219" spans="1:2">
      <c r="A219" s="5"/>
      <c r="B219" s="5"/>
    </row>
    <row r="220" spans="1:2">
      <c r="A220" s="5"/>
      <c r="B220" s="5"/>
    </row>
    <row r="221" spans="1:2">
      <c r="A221" s="5"/>
      <c r="B221" s="5"/>
    </row>
    <row r="222" spans="1:2">
      <c r="A222" s="5"/>
      <c r="B222" s="5"/>
    </row>
    <row r="223" spans="1:2">
      <c r="A223" s="5"/>
      <c r="B223" s="5"/>
    </row>
    <row r="224" spans="1:2">
      <c r="A224" s="5"/>
      <c r="B224" s="5"/>
    </row>
    <row r="225" spans="1:2">
      <c r="A225" s="5"/>
      <c r="B225" s="5"/>
    </row>
    <row r="226" spans="1:2">
      <c r="A226" s="5"/>
      <c r="B226" s="5"/>
    </row>
    <row r="227" spans="1:2">
      <c r="A227" s="5"/>
      <c r="B227" s="5"/>
    </row>
    <row r="228" spans="1:2">
      <c r="A228" s="5"/>
      <c r="B228" s="5"/>
    </row>
    <row r="229" spans="1:2">
      <c r="A229" s="5"/>
      <c r="B229" s="5"/>
    </row>
    <row r="230" spans="1:2">
      <c r="A230" s="5"/>
      <c r="B230" s="5"/>
    </row>
    <row r="231" spans="1:2">
      <c r="A231" s="5"/>
      <c r="B231" s="5"/>
    </row>
    <row r="232" spans="1:2">
      <c r="A232" s="5"/>
      <c r="B232" s="5"/>
    </row>
    <row r="233" spans="1:2">
      <c r="A233" s="5"/>
      <c r="B233" s="5"/>
    </row>
    <row r="234" spans="1:2">
      <c r="A234" s="5"/>
      <c r="B234" s="5"/>
    </row>
    <row r="235" spans="1:2">
      <c r="A235" s="5"/>
      <c r="B235" s="5"/>
    </row>
    <row r="236" spans="1:2">
      <c r="A236" s="5"/>
      <c r="B236" s="5"/>
    </row>
    <row r="237" spans="1:2">
      <c r="A237" s="5"/>
      <c r="B237" s="5"/>
    </row>
    <row r="238" spans="1:2">
      <c r="A238" s="5"/>
      <c r="B238" s="5"/>
    </row>
    <row r="239" spans="1:2">
      <c r="A239" s="5"/>
      <c r="B239" s="5"/>
    </row>
    <row r="240" spans="1:2">
      <c r="A240" s="5"/>
      <c r="B240" s="5"/>
    </row>
    <row r="241" spans="1:2">
      <c r="A241" s="5"/>
      <c r="B241" s="5"/>
    </row>
    <row r="242" spans="1:2">
      <c r="A242" s="5"/>
      <c r="B242" s="5"/>
    </row>
    <row r="243" spans="1:2">
      <c r="A243" s="5"/>
      <c r="B243" s="5"/>
    </row>
    <row r="244" spans="1:2">
      <c r="A244" s="5"/>
      <c r="B244" s="5"/>
    </row>
    <row r="245" spans="1:2">
      <c r="A245" s="5"/>
      <c r="B245" s="5"/>
    </row>
    <row r="246" spans="1:2">
      <c r="A246" s="5"/>
      <c r="B246" s="5"/>
    </row>
    <row r="247" spans="1:2">
      <c r="A247" s="5"/>
      <c r="B247" s="5"/>
    </row>
    <row r="248" spans="1:2">
      <c r="A248" s="5"/>
      <c r="B248" s="5"/>
    </row>
    <row r="249" spans="1:2">
      <c r="A249" s="5"/>
      <c r="B249" s="5"/>
    </row>
    <row r="250" spans="1:2">
      <c r="A250" s="5"/>
      <c r="B250" s="5"/>
    </row>
    <row r="251" spans="1:2">
      <c r="A251" s="5"/>
      <c r="B251" s="5"/>
    </row>
    <row r="252" spans="1:2">
      <c r="A252" s="5"/>
      <c r="B252" s="5"/>
    </row>
    <row r="253" spans="1:2">
      <c r="A253" s="5"/>
      <c r="B253" s="5"/>
    </row>
    <row r="254" spans="1:2">
      <c r="A254" s="5"/>
      <c r="B254" s="5"/>
    </row>
    <row r="255" spans="1:2">
      <c r="A255" s="5"/>
      <c r="B255" s="5"/>
    </row>
    <row r="256" spans="1:2">
      <c r="A256" s="5"/>
      <c r="B256" s="5"/>
    </row>
    <row r="257" spans="1:2">
      <c r="A257" s="5"/>
      <c r="B257" s="5"/>
    </row>
    <row r="258" spans="1:2">
      <c r="A258" s="5"/>
      <c r="B258" s="5"/>
    </row>
    <row r="259" spans="1:2">
      <c r="A259" s="5"/>
      <c r="B259" s="5"/>
    </row>
    <row r="260" spans="1:2">
      <c r="A260" s="5"/>
      <c r="B260" s="5"/>
    </row>
    <row r="261" spans="1:2">
      <c r="A261" s="5"/>
      <c r="B261" s="5"/>
    </row>
    <row r="262" spans="1:2">
      <c r="A262" s="5"/>
      <c r="B262" s="5"/>
    </row>
    <row r="263" spans="1:2">
      <c r="A263" s="5"/>
      <c r="B263" s="5"/>
    </row>
    <row r="264" spans="1:2">
      <c r="A264" s="5"/>
      <c r="B264" s="5"/>
    </row>
    <row r="265" spans="1:2">
      <c r="A265" s="5"/>
      <c r="B265" s="5"/>
    </row>
    <row r="266" spans="1:2">
      <c r="A266" s="5"/>
      <c r="B266" s="5"/>
    </row>
    <row r="267" spans="1:2">
      <c r="A267" s="5"/>
      <c r="B267" s="5"/>
    </row>
    <row r="268" spans="1:2">
      <c r="A268" s="5"/>
      <c r="B268" s="5"/>
    </row>
    <row r="269" spans="1:2">
      <c r="A269" s="5"/>
      <c r="B269" s="5"/>
    </row>
    <row r="270" spans="1:2">
      <c r="A270" s="5"/>
      <c r="B270" s="5"/>
    </row>
    <row r="271" spans="1:2">
      <c r="A271" s="5"/>
      <c r="B271" s="5"/>
    </row>
    <row r="272" spans="1:2">
      <c r="A272" s="5"/>
      <c r="B272" s="5"/>
    </row>
    <row r="273" spans="1:2">
      <c r="A273" s="5"/>
      <c r="B273" s="5"/>
    </row>
    <row r="274" spans="1:2">
      <c r="A274" s="5"/>
      <c r="B274" s="5"/>
    </row>
    <row r="275" spans="1:2">
      <c r="A275" s="5"/>
      <c r="B275" s="5"/>
    </row>
    <row r="276" spans="1:2">
      <c r="A276" s="5"/>
      <c r="B276" s="5"/>
    </row>
    <row r="277" spans="1:2">
      <c r="A277" s="5"/>
      <c r="B277" s="5"/>
    </row>
    <row r="278" spans="1:2">
      <c r="A278" s="5"/>
      <c r="B278" s="5"/>
    </row>
    <row r="279" spans="1:2">
      <c r="A279" s="5"/>
      <c r="B279" s="5"/>
    </row>
    <row r="280" spans="1:2">
      <c r="A280" s="5"/>
      <c r="B280" s="5"/>
    </row>
    <row r="281" spans="1:2">
      <c r="A281" s="5"/>
      <c r="B281" s="5"/>
    </row>
    <row r="282" spans="1:2">
      <c r="A282" s="5"/>
      <c r="B282" s="5"/>
    </row>
    <row r="283" spans="1:2">
      <c r="A283" s="5"/>
      <c r="B283" s="5"/>
    </row>
    <row r="284" spans="1:2">
      <c r="A284" s="5"/>
      <c r="B284" s="5"/>
    </row>
    <row r="285" spans="1:2">
      <c r="A285" s="5"/>
      <c r="B285" s="5"/>
    </row>
    <row r="286" spans="1:2">
      <c r="A286" s="5"/>
      <c r="B286" s="5"/>
    </row>
    <row r="287" spans="1:2">
      <c r="A287" s="5"/>
      <c r="B287" s="5"/>
    </row>
    <row r="288" spans="1:2">
      <c r="A288" s="5"/>
      <c r="B288" s="5"/>
    </row>
    <row r="289" spans="1:2">
      <c r="A289" s="5"/>
      <c r="B289" s="5"/>
    </row>
    <row r="290" spans="1:2">
      <c r="A290" s="5"/>
      <c r="B290" s="5"/>
    </row>
    <row r="291" spans="1:2">
      <c r="A291" s="5"/>
      <c r="B291" s="5"/>
    </row>
    <row r="292" spans="1:2">
      <c r="A292" s="5"/>
      <c r="B292" s="5"/>
    </row>
    <row r="293" spans="1:2">
      <c r="A293" s="5"/>
      <c r="B293" s="5"/>
    </row>
    <row r="294" spans="1:2">
      <c r="A294" s="5"/>
      <c r="B294" s="5"/>
    </row>
    <row r="295" spans="1:2">
      <c r="A295" s="5"/>
      <c r="B295" s="5"/>
    </row>
    <row r="296" spans="1:2">
      <c r="A296" s="5"/>
      <c r="B296" s="5"/>
    </row>
    <row r="297" spans="1:2">
      <c r="A297" s="5"/>
      <c r="B297" s="5"/>
    </row>
    <row r="298" spans="1:2">
      <c r="A298" s="5"/>
      <c r="B298" s="5"/>
    </row>
    <row r="299" spans="1:2">
      <c r="A299" s="5"/>
      <c r="B299" s="5"/>
    </row>
    <row r="300" spans="1:2">
      <c r="A300" s="5"/>
      <c r="B300" s="5"/>
    </row>
    <row r="301" spans="1:2">
      <c r="A301" s="5"/>
      <c r="B301" s="5"/>
    </row>
    <row r="302" spans="1:2">
      <c r="A302" s="5"/>
      <c r="B302" s="5"/>
    </row>
    <row r="303" spans="1:2">
      <c r="A303" s="5"/>
      <c r="B303" s="5"/>
    </row>
    <row r="304" spans="1:2">
      <c r="A304" s="5"/>
      <c r="B304" s="5"/>
    </row>
    <row r="305" spans="1:2">
      <c r="A305" s="5"/>
      <c r="B305" s="5"/>
    </row>
    <row r="306" spans="1:2">
      <c r="A306" s="5"/>
      <c r="B306" s="5"/>
    </row>
    <row r="307" spans="1:2">
      <c r="A307" s="5"/>
      <c r="B307" s="5"/>
    </row>
    <row r="308" spans="1:2">
      <c r="A308" s="5"/>
      <c r="B308" s="5"/>
    </row>
    <row r="309" spans="1:2">
      <c r="A309" s="5"/>
      <c r="B309" s="5"/>
    </row>
    <row r="310" spans="1:2">
      <c r="A310" s="5"/>
      <c r="B310" s="5"/>
    </row>
    <row r="311" spans="1:2">
      <c r="A311" s="5"/>
      <c r="B311" s="5"/>
    </row>
    <row r="312" spans="1:2">
      <c r="A312" s="5"/>
      <c r="B312" s="5"/>
    </row>
    <row r="313" spans="1:2">
      <c r="A313" s="5"/>
      <c r="B313" s="5"/>
    </row>
    <row r="314" spans="1:2">
      <c r="A314" s="5"/>
      <c r="B314" s="5"/>
    </row>
    <row r="315" spans="1:2">
      <c r="A315" s="5"/>
      <c r="B315" s="5"/>
    </row>
    <row r="316" spans="1:2">
      <c r="A316" s="5"/>
      <c r="B316" s="5"/>
    </row>
    <row r="317" spans="1:2">
      <c r="A317" s="5"/>
      <c r="B317" s="5"/>
    </row>
    <row r="318" spans="1:2">
      <c r="A318" s="5"/>
      <c r="B318" s="5"/>
    </row>
    <row r="319" spans="1:2">
      <c r="A319" s="5"/>
      <c r="B319" s="5"/>
    </row>
    <row r="320" spans="1:2">
      <c r="A320" s="5"/>
      <c r="B320" s="5"/>
    </row>
    <row r="321" spans="1:2">
      <c r="A321" s="5"/>
      <c r="B321" s="5"/>
    </row>
    <row r="322" spans="1:2">
      <c r="A322" s="5"/>
      <c r="B322" s="5"/>
    </row>
    <row r="323" spans="1:2">
      <c r="A323" s="5"/>
      <c r="B323" s="5"/>
    </row>
    <row r="324" spans="1:2">
      <c r="A324" s="5"/>
      <c r="B324" s="5"/>
    </row>
    <row r="325" spans="1:2">
      <c r="A325" s="5"/>
      <c r="B325" s="5"/>
    </row>
    <row r="326" spans="1:2">
      <c r="A326" s="5"/>
      <c r="B326" s="5"/>
    </row>
    <row r="327" spans="1:2">
      <c r="A327" s="5"/>
      <c r="B327" s="5"/>
    </row>
    <row r="328" spans="1:2">
      <c r="A328" s="5"/>
      <c r="B328" s="5"/>
    </row>
    <row r="329" spans="1:2">
      <c r="A329" s="5"/>
      <c r="B329" s="5"/>
    </row>
    <row r="330" spans="1:2">
      <c r="A330" s="5"/>
      <c r="B330" s="5"/>
    </row>
    <row r="331" spans="1:2">
      <c r="A331" s="5"/>
      <c r="B331" s="5"/>
    </row>
    <row r="332" spans="1:2">
      <c r="A332" s="5"/>
      <c r="B332" s="5"/>
    </row>
    <row r="333" spans="1:2">
      <c r="A333" s="5"/>
      <c r="B333" s="5"/>
    </row>
    <row r="334" spans="1:2">
      <c r="A334" s="5"/>
      <c r="B334" s="5"/>
    </row>
    <row r="335" spans="1:2">
      <c r="A335" s="5"/>
      <c r="B335" s="5"/>
    </row>
    <row r="336" spans="1:2">
      <c r="A336" s="5"/>
      <c r="B336" s="5"/>
    </row>
    <row r="337" spans="1:2">
      <c r="A337" s="5"/>
      <c r="B337" s="5"/>
    </row>
    <row r="338" spans="1:2">
      <c r="A338" s="5"/>
      <c r="B338" s="5"/>
    </row>
    <row r="339" spans="1:2">
      <c r="A339" s="5"/>
      <c r="B339" s="5"/>
    </row>
    <row r="340" spans="1:2">
      <c r="A340" s="5"/>
      <c r="B340" s="5"/>
    </row>
    <row r="341" spans="1:2">
      <c r="A341" s="5"/>
      <c r="B341" s="5"/>
    </row>
    <row r="342" spans="1:2">
      <c r="A342" s="5"/>
      <c r="B342" s="5"/>
    </row>
    <row r="343" spans="1:2">
      <c r="A343" s="5"/>
      <c r="B343" s="5"/>
    </row>
    <row r="344" spans="1:2">
      <c r="A344" s="5"/>
      <c r="B344" s="5"/>
    </row>
    <row r="345" spans="1:2">
      <c r="A345" s="5"/>
      <c r="B345" s="5"/>
    </row>
    <row r="346" spans="1:2">
      <c r="A346" s="5"/>
      <c r="B346" s="5"/>
    </row>
    <row r="347" spans="1:2">
      <c r="A347" s="5"/>
      <c r="B347" s="5"/>
    </row>
    <row r="348" spans="1:2">
      <c r="A348" s="5"/>
      <c r="B348" s="5"/>
    </row>
    <row r="349" spans="1:2">
      <c r="A349" s="5"/>
      <c r="B349" s="5"/>
    </row>
    <row r="350" spans="1:2">
      <c r="A350" s="5"/>
      <c r="B350" s="5"/>
    </row>
    <row r="351" spans="1:2">
      <c r="A351" s="5"/>
      <c r="B351" s="5"/>
    </row>
    <row r="352" spans="1:2">
      <c r="A352" s="5"/>
      <c r="B352" s="5"/>
    </row>
    <row r="353" spans="1:2">
      <c r="A353" s="5"/>
      <c r="B353" s="5"/>
    </row>
    <row r="354" spans="1:2">
      <c r="A354" s="5"/>
      <c r="B354" s="5"/>
    </row>
    <row r="355" spans="1:2">
      <c r="A355" s="5"/>
      <c r="B355" s="5"/>
    </row>
    <row r="356" spans="1:2">
      <c r="A356" s="5"/>
      <c r="B356" s="5"/>
    </row>
    <row r="357" spans="1:2">
      <c r="A357" s="5"/>
      <c r="B357" s="5"/>
    </row>
    <row r="358" spans="1:2">
      <c r="A358" s="5"/>
      <c r="B358" s="5"/>
    </row>
    <row r="359" spans="1:2">
      <c r="A359" s="5"/>
      <c r="B359" s="5"/>
    </row>
    <row r="360" spans="1:2">
      <c r="A360" s="5"/>
      <c r="B360" s="5"/>
    </row>
    <row r="361" spans="1:2">
      <c r="A361" s="5"/>
      <c r="B361" s="5"/>
    </row>
    <row r="362" spans="1:2">
      <c r="A362" s="5"/>
      <c r="B362" s="5"/>
    </row>
    <row r="363" spans="1:2">
      <c r="A363" s="5"/>
      <c r="B363" s="5"/>
    </row>
    <row r="364" spans="1:2">
      <c r="A364" s="5"/>
      <c r="B364" s="5"/>
    </row>
    <row r="365" spans="1:2">
      <c r="A365" s="5"/>
      <c r="B365" s="5"/>
    </row>
    <row r="366" spans="1:2">
      <c r="A366" s="5"/>
      <c r="B366" s="5"/>
    </row>
    <row r="367" spans="1:2">
      <c r="A367" s="5"/>
      <c r="B367" s="5"/>
    </row>
    <row r="368" spans="1:2">
      <c r="A368" s="5"/>
      <c r="B368" s="5"/>
    </row>
    <row r="369" spans="1:2">
      <c r="A369" s="5"/>
      <c r="B369" s="5"/>
    </row>
    <row r="370" spans="1:2">
      <c r="A370" s="5"/>
      <c r="B370" s="5"/>
    </row>
    <row r="371" spans="1:2">
      <c r="A371" s="5"/>
      <c r="B371" s="5"/>
    </row>
    <row r="372" spans="1:2">
      <c r="A372" s="5"/>
      <c r="B372" s="5"/>
    </row>
    <row r="373" spans="1:2">
      <c r="A373" s="5"/>
      <c r="B373" s="5"/>
    </row>
    <row r="374" spans="1:2">
      <c r="A374" s="5"/>
      <c r="B374" s="5"/>
    </row>
    <row r="375" spans="1:2">
      <c r="A375" s="5"/>
      <c r="B375" s="5"/>
    </row>
    <row r="376" spans="1:2">
      <c r="A376" s="5"/>
      <c r="B376" s="5"/>
    </row>
    <row r="377" spans="1:2">
      <c r="A377" s="5"/>
      <c r="B377" s="5"/>
    </row>
    <row r="378" spans="1:2">
      <c r="A378" s="5"/>
      <c r="B378" s="5"/>
    </row>
    <row r="379" spans="1:2">
      <c r="A379" s="5"/>
      <c r="B379" s="5"/>
    </row>
    <row r="380" spans="1:2">
      <c r="A380" s="5"/>
      <c r="B380" s="5"/>
    </row>
    <row r="381" spans="1:2">
      <c r="A381" s="5"/>
      <c r="B381" s="5"/>
    </row>
    <row r="382" spans="1:2">
      <c r="A382" s="5"/>
      <c r="B382" s="5"/>
    </row>
    <row r="383" spans="1:2">
      <c r="A383" s="5"/>
      <c r="B383" s="5"/>
    </row>
    <row r="384" spans="1:2">
      <c r="A384" s="5"/>
      <c r="B384" s="5"/>
    </row>
    <row r="385" spans="1:2">
      <c r="A385" s="5"/>
      <c r="B385" s="5"/>
    </row>
    <row r="386" spans="1:2">
      <c r="A386" s="5"/>
      <c r="B386" s="5"/>
    </row>
    <row r="387" spans="1:2">
      <c r="A387" s="5"/>
      <c r="B387" s="5"/>
    </row>
    <row r="388" spans="1:2">
      <c r="A388" s="5"/>
      <c r="B388" s="5"/>
    </row>
    <row r="389" spans="1:2">
      <c r="A389" s="5"/>
      <c r="B389" s="5"/>
    </row>
    <row r="390" spans="1:2">
      <c r="A390" s="5"/>
      <c r="B390" s="5"/>
    </row>
    <row r="391" spans="1:2">
      <c r="A391" s="5"/>
      <c r="B391" s="5"/>
    </row>
    <row r="392" spans="1:2">
      <c r="A392" s="5"/>
      <c r="B392" s="5"/>
    </row>
    <row r="393" spans="1:2">
      <c r="A393" s="5"/>
      <c r="B393" s="5"/>
    </row>
    <row r="394" spans="1:2">
      <c r="A394" s="5"/>
      <c r="B394" s="5"/>
    </row>
    <row r="395" spans="1:2">
      <c r="A395" s="5"/>
      <c r="B395" s="5"/>
    </row>
    <row r="396" spans="1:2">
      <c r="A396" s="5"/>
      <c r="B396" s="5"/>
    </row>
    <row r="397" spans="1:2">
      <c r="A397" s="5"/>
      <c r="B397" s="5"/>
    </row>
    <row r="398" spans="1:2">
      <c r="A398" s="5"/>
      <c r="B398" s="5"/>
    </row>
    <row r="399" spans="1:2">
      <c r="A399" s="5"/>
      <c r="B399" s="5"/>
    </row>
    <row r="400" spans="1:2">
      <c r="A400" s="5"/>
      <c r="B400" s="5"/>
    </row>
    <row r="401" spans="1:2">
      <c r="A401" s="5"/>
      <c r="B401" s="5"/>
    </row>
    <row r="402" spans="1:2">
      <c r="A402" s="5"/>
      <c r="B402" s="5"/>
    </row>
    <row r="403" spans="1:2">
      <c r="A403" s="5"/>
      <c r="B403" s="5"/>
    </row>
    <row r="404" spans="1:2">
      <c r="A404" s="5"/>
      <c r="B404" s="5"/>
    </row>
    <row r="405" spans="1:2">
      <c r="A405" s="5"/>
      <c r="B405" s="5"/>
    </row>
    <row r="406" spans="1:2">
      <c r="A406" s="5"/>
      <c r="B406" s="5"/>
    </row>
    <row r="407" spans="1:2">
      <c r="A407" s="5"/>
      <c r="B407" s="5"/>
    </row>
    <row r="408" spans="1:2">
      <c r="A408" s="5"/>
      <c r="B408" s="5"/>
    </row>
    <row r="409" spans="1:2">
      <c r="A409" s="5"/>
      <c r="B409" s="5"/>
    </row>
    <row r="410" spans="1:2">
      <c r="A410" s="5"/>
      <c r="B410" s="5"/>
    </row>
    <row r="411" spans="1:2">
      <c r="A411" s="5"/>
      <c r="B411" s="5"/>
    </row>
    <row r="412" spans="1:2">
      <c r="A412" s="5"/>
      <c r="B412" s="5"/>
    </row>
    <row r="413" spans="1:2">
      <c r="A413" s="5"/>
      <c r="B413" s="5"/>
    </row>
    <row r="414" spans="1:2">
      <c r="A414" s="5"/>
      <c r="B414" s="5"/>
    </row>
    <row r="415" spans="1:2">
      <c r="A415" s="5"/>
      <c r="B415" s="5"/>
    </row>
    <row r="416" spans="1:2">
      <c r="A416" s="5"/>
      <c r="B416" s="5"/>
    </row>
    <row r="417" spans="1:2">
      <c r="A417" s="5"/>
      <c r="B417" s="5"/>
    </row>
    <row r="418" spans="1:2">
      <c r="A418" s="5"/>
      <c r="B418" s="5"/>
    </row>
    <row r="419" spans="1:2">
      <c r="A419" s="5"/>
      <c r="B419" s="5"/>
    </row>
    <row r="420" spans="1:2">
      <c r="A420" s="5"/>
      <c r="B420" s="5"/>
    </row>
    <row r="421" spans="1:2">
      <c r="A421" s="5"/>
      <c r="B421" s="5"/>
    </row>
    <row r="422" spans="1:2">
      <c r="A422" s="5"/>
      <c r="B422" s="5"/>
    </row>
    <row r="423" spans="1:2">
      <c r="A423" s="5"/>
      <c r="B423" s="5"/>
    </row>
    <row r="424" spans="1:2">
      <c r="A424" s="5"/>
      <c r="B424" s="5"/>
    </row>
    <row r="425" spans="1:2">
      <c r="A425" s="5"/>
      <c r="B425" s="5"/>
    </row>
    <row r="426" spans="1:2">
      <c r="A426" s="5"/>
      <c r="B426" s="5"/>
    </row>
    <row r="427" spans="1:2">
      <c r="A427" s="5"/>
      <c r="B427" s="5"/>
    </row>
    <row r="428" spans="1:2">
      <c r="A428" s="5"/>
      <c r="B428" s="5"/>
    </row>
    <row r="429" spans="1:2">
      <c r="A429" s="5"/>
      <c r="B429" s="5"/>
    </row>
    <row r="430" spans="1:2">
      <c r="A430" s="5"/>
      <c r="B430" s="5"/>
    </row>
    <row r="431" spans="1:2">
      <c r="A431" s="5"/>
      <c r="B431" s="5"/>
    </row>
    <row r="432" spans="1:2">
      <c r="A432" s="5"/>
      <c r="B432" s="5"/>
    </row>
    <row r="433" spans="1:2">
      <c r="A433" s="5"/>
      <c r="B433" s="5"/>
    </row>
    <row r="434" spans="1:2">
      <c r="A434" s="5"/>
      <c r="B434" s="5"/>
    </row>
    <row r="435" spans="1:2">
      <c r="A435" s="5"/>
      <c r="B435" s="5"/>
    </row>
    <row r="436" spans="1:2">
      <c r="A436" s="5"/>
      <c r="B436" s="5"/>
    </row>
    <row r="437" spans="1:2">
      <c r="A437" s="5"/>
      <c r="B437" s="5"/>
    </row>
    <row r="438" spans="1:2">
      <c r="A438" s="5"/>
      <c r="B438" s="5"/>
    </row>
    <row r="439" spans="1:2">
      <c r="A439" s="5"/>
      <c r="B439" s="5"/>
    </row>
    <row r="440" spans="1:2">
      <c r="A440" s="5"/>
      <c r="B440" s="5"/>
    </row>
    <row r="441" spans="1:2">
      <c r="A441" s="5"/>
      <c r="B441" s="5"/>
    </row>
    <row r="442" spans="1:2">
      <c r="A442" s="5"/>
      <c r="B442" s="5"/>
    </row>
    <row r="443" spans="1:2">
      <c r="A443" s="5"/>
      <c r="B443" s="5"/>
    </row>
    <row r="444" spans="1:2">
      <c r="A444" s="5"/>
      <c r="B444" s="5"/>
    </row>
    <row r="445" spans="1:2">
      <c r="A445" s="5"/>
      <c r="B445" s="5"/>
    </row>
    <row r="446" spans="1:2">
      <c r="A446" s="5"/>
      <c r="B446" s="5"/>
    </row>
    <row r="447" spans="1:2">
      <c r="A447" s="5"/>
      <c r="B447" s="5"/>
    </row>
    <row r="448" spans="1:2">
      <c r="A448" s="31"/>
      <c r="B448" s="5"/>
    </row>
    <row r="449" spans="1:2">
      <c r="A449" s="5"/>
      <c r="B449" s="5"/>
    </row>
    <row r="450" spans="1:2">
      <c r="A450" s="5"/>
      <c r="B450" s="5"/>
    </row>
    <row r="451" spans="1:2">
      <c r="A451" s="5"/>
      <c r="B451" s="5"/>
    </row>
    <row r="452" spans="1:2">
      <c r="A452" s="5"/>
      <c r="B452" s="5"/>
    </row>
    <row r="453" spans="1:2">
      <c r="A453" s="5"/>
      <c r="B453" s="5"/>
    </row>
    <row r="454" spans="1:2">
      <c r="A454" s="5"/>
      <c r="B454" s="5"/>
    </row>
    <row r="455" spans="1:2">
      <c r="A455" s="5"/>
      <c r="B455" s="5"/>
    </row>
    <row r="456" spans="1:2">
      <c r="A456" s="5"/>
      <c r="B456" s="5"/>
    </row>
    <row r="457" spans="1:2">
      <c r="A457" s="5"/>
      <c r="B457" s="5"/>
    </row>
    <row r="458" spans="1:2">
      <c r="A458" s="5"/>
      <c r="B458" s="5"/>
    </row>
    <row r="459" spans="1:2">
      <c r="A459" s="5"/>
      <c r="B459" s="5"/>
    </row>
    <row r="460" spans="1:2">
      <c r="A460" s="5"/>
      <c r="B460" s="5"/>
    </row>
    <row r="461" spans="1:2">
      <c r="A461" s="5"/>
      <c r="B461" s="5"/>
    </row>
    <row r="462" spans="1:2">
      <c r="A462" s="5"/>
      <c r="B462" s="5"/>
    </row>
    <row r="463" spans="1:2">
      <c r="A463" s="5"/>
      <c r="B463" s="5"/>
    </row>
    <row r="464" spans="1:2">
      <c r="A464" s="5"/>
      <c r="B464" s="5"/>
    </row>
    <row r="465" spans="1:2">
      <c r="A465" s="5"/>
      <c r="B465" s="5"/>
    </row>
    <row r="466" spans="1:2">
      <c r="A466" s="5"/>
      <c r="B466" s="5"/>
    </row>
    <row r="467" spans="1:2">
      <c r="A467" s="5"/>
      <c r="B467" s="5"/>
    </row>
    <row r="468" spans="1:2">
      <c r="A468" s="5"/>
      <c r="B468" s="5"/>
    </row>
    <row r="469" spans="1:2">
      <c r="A469" s="5"/>
      <c r="B469" s="5"/>
    </row>
    <row r="470" spans="1:2">
      <c r="A470" s="5"/>
      <c r="B470" s="5"/>
    </row>
    <row r="471" spans="1:2">
      <c r="A471" s="5"/>
      <c r="B471" s="5"/>
    </row>
    <row r="472" spans="1:2">
      <c r="A472" s="5"/>
      <c r="B472" s="5"/>
    </row>
    <row r="473" spans="1:2">
      <c r="A473" s="5"/>
      <c r="B473" s="5"/>
    </row>
    <row r="474" spans="1:2">
      <c r="A474" s="5"/>
      <c r="B474" s="5"/>
    </row>
    <row r="475" spans="1:2">
      <c r="A475" s="5"/>
      <c r="B475" s="5"/>
    </row>
    <row r="476" spans="1:2">
      <c r="A476" s="5"/>
      <c r="B476" s="5"/>
    </row>
    <row r="477" spans="1:2">
      <c r="A477" s="5"/>
      <c r="B477" s="5"/>
    </row>
    <row r="478" spans="1:2">
      <c r="A478" s="5"/>
      <c r="B478" s="5"/>
    </row>
    <row r="479" spans="1:2">
      <c r="A479" s="5"/>
      <c r="B479" s="5"/>
    </row>
    <row r="480" spans="1:2">
      <c r="A480" s="5"/>
      <c r="B480" s="5"/>
    </row>
    <row r="481" spans="1:2">
      <c r="A481" s="5"/>
      <c r="B481" s="5"/>
    </row>
    <row r="482" spans="1:2">
      <c r="A482" s="5"/>
      <c r="B482" s="5"/>
    </row>
    <row r="483" spans="1:2">
      <c r="A483" s="5"/>
      <c r="B483" s="5"/>
    </row>
    <row r="484" spans="1:2">
      <c r="A484" s="5"/>
      <c r="B484" s="5"/>
    </row>
    <row r="485" spans="1:2">
      <c r="A485" s="5"/>
      <c r="B485" s="5"/>
    </row>
    <row r="486" spans="1:2">
      <c r="A486" s="5"/>
      <c r="B486" s="5"/>
    </row>
    <row r="487" spans="1:2">
      <c r="A487" s="5"/>
      <c r="B487" s="5"/>
    </row>
    <row r="488" spans="1:2">
      <c r="A488" s="5"/>
      <c r="B488" s="5"/>
    </row>
    <row r="489" spans="1:2">
      <c r="A489" s="5"/>
      <c r="B489" s="5"/>
    </row>
    <row r="490" spans="1:2">
      <c r="A490" s="5"/>
      <c r="B490" s="5"/>
    </row>
    <row r="491" spans="1:2">
      <c r="A491" s="5"/>
      <c r="B491" s="5"/>
    </row>
    <row r="492" spans="1:2">
      <c r="A492" s="5"/>
      <c r="B492" s="5"/>
    </row>
    <row r="493" spans="1:2">
      <c r="A493" s="5"/>
      <c r="B493" s="5"/>
    </row>
    <row r="494" spans="1:2">
      <c r="A494" s="5"/>
      <c r="B494" s="5"/>
    </row>
    <row r="495" spans="1:2">
      <c r="A495" s="5"/>
      <c r="B495" s="5"/>
    </row>
    <row r="496" spans="1:2">
      <c r="A496" s="5"/>
      <c r="B496" s="5"/>
    </row>
    <row r="497" spans="1:2">
      <c r="A497" s="5"/>
      <c r="B497" s="5"/>
    </row>
    <row r="498" spans="1:2">
      <c r="A498" s="5"/>
      <c r="B498" s="5"/>
    </row>
    <row r="499" spans="1:2">
      <c r="A499" s="5"/>
      <c r="B499" s="5"/>
    </row>
  </sheetData>
  <autoFilter ref="A1:B1" xr:uid="{E70AE0B6-75A0-4D4A-AA13-55A0FD8E2A5D}"/>
  <phoneticPr fontId="35" type="noConversion"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PAD Summary</vt:lpstr>
      <vt:lpstr>Pad Restock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cktar</dc:creator>
  <cp:lastModifiedBy>rustyw</cp:lastModifiedBy>
  <dcterms:created xsi:type="dcterms:W3CDTF">2021-07-13T20:34:21Z</dcterms:created>
  <dcterms:modified xsi:type="dcterms:W3CDTF">2022-04-26T18:39:54Z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cb881961-d562-4453-bcdf-2815b35621d0</vt:lpwstr>
  </property>
</Properties>
</file>